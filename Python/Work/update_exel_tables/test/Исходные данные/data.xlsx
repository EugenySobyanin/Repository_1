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Titles" localSheetId="0">Лист1!$1:$2</definedName>
  </definedNames>
  <calcPr calcId="125725"/>
</workbook>
</file>

<file path=xl/calcChain.xml><?xml version="1.0" encoding="utf-8"?>
<calcChain xmlns="http://schemas.openxmlformats.org/spreadsheetml/2006/main">
  <c r="U120" i="1"/>
  <c r="T120"/>
  <c r="S120"/>
  <c r="Q120"/>
  <c r="P120"/>
  <c r="O120"/>
  <c r="N120"/>
  <c r="M120"/>
  <c r="L120"/>
  <c r="K120"/>
  <c r="V119"/>
  <c r="V120" s="1"/>
  <c r="R119"/>
  <c r="N119"/>
  <c r="V118"/>
  <c r="R118"/>
  <c r="R120" s="1"/>
  <c r="N118"/>
  <c r="U116"/>
  <c r="T116"/>
  <c r="S116"/>
  <c r="Q116"/>
  <c r="P116"/>
  <c r="O116"/>
  <c r="M116"/>
  <c r="L116"/>
  <c r="K116"/>
  <c r="V115"/>
  <c r="V116" s="1"/>
  <c r="R115"/>
  <c r="R116" s="1"/>
  <c r="N115"/>
  <c r="N116" s="1"/>
  <c r="U113"/>
  <c r="T113"/>
  <c r="S113"/>
  <c r="Q113"/>
  <c r="P113"/>
  <c r="O113"/>
  <c r="M113"/>
  <c r="L113"/>
  <c r="K113"/>
  <c r="V112"/>
  <c r="R112"/>
  <c r="N112"/>
  <c r="V111"/>
  <c r="V113" s="1"/>
  <c r="R111"/>
  <c r="R113" s="1"/>
  <c r="N111"/>
  <c r="N113" s="1"/>
  <c r="U109"/>
  <c r="T109"/>
  <c r="S109"/>
  <c r="Q109"/>
  <c r="P109"/>
  <c r="O109"/>
  <c r="M109"/>
  <c r="L109"/>
  <c r="K109"/>
  <c r="V108"/>
  <c r="R108"/>
  <c r="N108"/>
  <c r="V107"/>
  <c r="R107"/>
  <c r="R109" s="1"/>
  <c r="N107"/>
  <c r="V106"/>
  <c r="V109" s="1"/>
  <c r="R106"/>
  <c r="N106"/>
  <c r="N109" s="1"/>
  <c r="U104"/>
  <c r="T104"/>
  <c r="S104"/>
  <c r="Q104"/>
  <c r="P104"/>
  <c r="O104"/>
  <c r="M104"/>
  <c r="L104"/>
  <c r="K104"/>
  <c r="V103"/>
  <c r="R103"/>
  <c r="N103"/>
  <c r="V102"/>
  <c r="R102"/>
  <c r="N102"/>
  <c r="V101"/>
  <c r="V104" s="1"/>
  <c r="R101"/>
  <c r="R104" s="1"/>
  <c r="N101"/>
  <c r="N104" s="1"/>
  <c r="U99"/>
  <c r="T99"/>
  <c r="S99"/>
  <c r="Q99"/>
  <c r="P99"/>
  <c r="O99"/>
  <c r="M99"/>
  <c r="L99"/>
  <c r="K99"/>
  <c r="V98"/>
  <c r="V99" s="1"/>
  <c r="R98"/>
  <c r="R99" s="1"/>
  <c r="N98"/>
  <c r="N99" s="1"/>
  <c r="U96"/>
  <c r="T96"/>
  <c r="S96"/>
  <c r="Q96"/>
  <c r="P96"/>
  <c r="O96"/>
  <c r="N96"/>
  <c r="M96"/>
  <c r="L96"/>
  <c r="K96"/>
  <c r="V95"/>
  <c r="V96" s="1"/>
  <c r="R95"/>
  <c r="N95"/>
  <c r="V94"/>
  <c r="R94"/>
  <c r="R96" s="1"/>
  <c r="N94"/>
  <c r="U92"/>
  <c r="T92"/>
  <c r="S92"/>
  <c r="Q92"/>
  <c r="P92"/>
  <c r="O92"/>
  <c r="M92"/>
  <c r="L92"/>
  <c r="K92"/>
  <c r="V91"/>
  <c r="R91"/>
  <c r="N91"/>
  <c r="V90"/>
  <c r="R90"/>
  <c r="R92" s="1"/>
  <c r="N90"/>
  <c r="V89"/>
  <c r="V92" s="1"/>
  <c r="R89"/>
  <c r="N89"/>
  <c r="N92" s="1"/>
  <c r="U87"/>
  <c r="T87"/>
  <c r="S87"/>
  <c r="Q87"/>
  <c r="P87"/>
  <c r="O87"/>
  <c r="M87"/>
  <c r="L87"/>
  <c r="K87"/>
  <c r="V86"/>
  <c r="R86"/>
  <c r="N86"/>
  <c r="V85"/>
  <c r="R85"/>
  <c r="R87" s="1"/>
  <c r="N85"/>
  <c r="V84"/>
  <c r="V87" s="1"/>
  <c r="R84"/>
  <c r="N84"/>
  <c r="N87" s="1"/>
  <c r="U82"/>
  <c r="T82"/>
  <c r="S82"/>
  <c r="Q82"/>
  <c r="P82"/>
  <c r="O82"/>
  <c r="M82"/>
  <c r="L82"/>
  <c r="K82"/>
  <c r="V81"/>
  <c r="V82" s="1"/>
  <c r="R81"/>
  <c r="N81"/>
  <c r="V80"/>
  <c r="R80"/>
  <c r="R82" s="1"/>
  <c r="N80"/>
  <c r="N82" s="1"/>
  <c r="U78"/>
  <c r="T78"/>
  <c r="S78"/>
  <c r="Q78"/>
  <c r="P78"/>
  <c r="O78"/>
  <c r="M78"/>
  <c r="L78"/>
  <c r="K78"/>
  <c r="V77"/>
  <c r="V78" s="1"/>
  <c r="R77"/>
  <c r="N77"/>
  <c r="V76"/>
  <c r="R76"/>
  <c r="R78" s="1"/>
  <c r="N76"/>
  <c r="N78" s="1"/>
  <c r="U74"/>
  <c r="T74"/>
  <c r="S74"/>
  <c r="Q74"/>
  <c r="P74"/>
  <c r="O74"/>
  <c r="M74"/>
  <c r="L74"/>
  <c r="K74"/>
  <c r="V73"/>
  <c r="R73"/>
  <c r="N73"/>
  <c r="V72"/>
  <c r="R72"/>
  <c r="N72"/>
  <c r="V71"/>
  <c r="V74" s="1"/>
  <c r="R71"/>
  <c r="R74" s="1"/>
  <c r="N71"/>
  <c r="V70"/>
  <c r="R70"/>
  <c r="N70"/>
  <c r="N74" s="1"/>
  <c r="U68"/>
  <c r="T68"/>
  <c r="S68"/>
  <c r="R68"/>
  <c r="Q68"/>
  <c r="P68"/>
  <c r="O68"/>
  <c r="M68"/>
  <c r="L68"/>
  <c r="K68"/>
  <c r="V67"/>
  <c r="V68" s="1"/>
  <c r="R67"/>
  <c r="N67"/>
  <c r="N68" s="1"/>
  <c r="U65"/>
  <c r="T65"/>
  <c r="S65"/>
  <c r="Q65"/>
  <c r="P65"/>
  <c r="O65"/>
  <c r="M65"/>
  <c r="L65"/>
  <c r="K65"/>
  <c r="V64"/>
  <c r="R64"/>
  <c r="N64"/>
  <c r="V63"/>
  <c r="R63"/>
  <c r="R65" s="1"/>
  <c r="N63"/>
  <c r="V62"/>
  <c r="V65" s="1"/>
  <c r="R62"/>
  <c r="N62"/>
  <c r="N65" s="1"/>
  <c r="U60"/>
  <c r="T60"/>
  <c r="S60"/>
  <c r="Q60"/>
  <c r="P60"/>
  <c r="O60"/>
  <c r="M60"/>
  <c r="L60"/>
  <c r="K60"/>
  <c r="V59"/>
  <c r="R59"/>
  <c r="N59"/>
  <c r="V58"/>
  <c r="R58"/>
  <c r="N58"/>
  <c r="V57"/>
  <c r="R57"/>
  <c r="R60" s="1"/>
  <c r="N57"/>
  <c r="V56"/>
  <c r="V60" s="1"/>
  <c r="R56"/>
  <c r="N56"/>
  <c r="N60" s="1"/>
  <c r="U54"/>
  <c r="T54"/>
  <c r="S54"/>
  <c r="Q54"/>
  <c r="P54"/>
  <c r="O54"/>
  <c r="M54"/>
  <c r="L54"/>
  <c r="K54"/>
  <c r="V53"/>
  <c r="V54" s="1"/>
  <c r="R53"/>
  <c r="N53"/>
  <c r="V52"/>
  <c r="R52"/>
  <c r="R54" s="1"/>
  <c r="N52"/>
  <c r="N54" s="1"/>
  <c r="U50"/>
  <c r="T50"/>
  <c r="S50"/>
  <c r="Q50"/>
  <c r="P50"/>
  <c r="O50"/>
  <c r="N50"/>
  <c r="M50"/>
  <c r="L50"/>
  <c r="K50"/>
  <c r="V49"/>
  <c r="V50" s="1"/>
  <c r="R49"/>
  <c r="N49"/>
  <c r="V48"/>
  <c r="R48"/>
  <c r="R50" s="1"/>
  <c r="N48"/>
  <c r="U46"/>
  <c r="T46"/>
  <c r="S46"/>
  <c r="Q46"/>
  <c r="P46"/>
  <c r="O46"/>
  <c r="M46"/>
  <c r="L46"/>
  <c r="K46"/>
  <c r="V45"/>
  <c r="R45"/>
  <c r="N45"/>
  <c r="V44"/>
  <c r="R44"/>
  <c r="N44"/>
  <c r="V43"/>
  <c r="V46" s="1"/>
  <c r="R43"/>
  <c r="R46" s="1"/>
  <c r="N43"/>
  <c r="N46" s="1"/>
  <c r="U41"/>
  <c r="T41"/>
  <c r="S41"/>
  <c r="Q41"/>
  <c r="P41"/>
  <c r="O41"/>
  <c r="N41"/>
  <c r="M41"/>
  <c r="L41"/>
  <c r="K41"/>
  <c r="V40"/>
  <c r="V41" s="1"/>
  <c r="R40"/>
  <c r="R41" s="1"/>
  <c r="N40"/>
  <c r="U38"/>
  <c r="T38"/>
  <c r="S38"/>
  <c r="Q38"/>
  <c r="P38"/>
  <c r="O38"/>
  <c r="M38"/>
  <c r="L38"/>
  <c r="K38"/>
  <c r="V37"/>
  <c r="V38" s="1"/>
  <c r="R37"/>
  <c r="N37"/>
  <c r="V36"/>
  <c r="R36"/>
  <c r="R38" s="1"/>
  <c r="N36"/>
  <c r="N38" s="1"/>
  <c r="U34"/>
  <c r="U121" s="1"/>
  <c r="T34"/>
  <c r="T121" s="1"/>
  <c r="S34"/>
  <c r="S121" s="1"/>
  <c r="Q34"/>
  <c r="Q121" s="1"/>
  <c r="P34"/>
  <c r="P121" s="1"/>
  <c r="O34"/>
  <c r="O121" s="1"/>
  <c r="N34"/>
  <c r="M34"/>
  <c r="M121" s="1"/>
  <c r="L34"/>
  <c r="L121" s="1"/>
  <c r="K34"/>
  <c r="K121" s="1"/>
  <c r="V33"/>
  <c r="V34" s="1"/>
  <c r="R33"/>
  <c r="R34" s="1"/>
  <c r="N33"/>
  <c r="U30"/>
  <c r="T30"/>
  <c r="S30"/>
  <c r="Q30"/>
  <c r="P30"/>
  <c r="O30"/>
  <c r="M30"/>
  <c r="L30"/>
  <c r="K30"/>
  <c r="V29"/>
  <c r="R29"/>
  <c r="N29"/>
  <c r="V28"/>
  <c r="R28"/>
  <c r="N28"/>
  <c r="V27"/>
  <c r="R27"/>
  <c r="N27"/>
  <c r="N30" s="1"/>
  <c r="V26"/>
  <c r="R26"/>
  <c r="N26"/>
  <c r="V25"/>
  <c r="V30" s="1"/>
  <c r="R25"/>
  <c r="R30" s="1"/>
  <c r="N25"/>
  <c r="U23"/>
  <c r="T23"/>
  <c r="S23"/>
  <c r="Q23"/>
  <c r="P23"/>
  <c r="O23"/>
  <c r="M23"/>
  <c r="L23"/>
  <c r="K23"/>
  <c r="V22"/>
  <c r="R22"/>
  <c r="N22"/>
  <c r="V21"/>
  <c r="R21"/>
  <c r="N21"/>
  <c r="V20"/>
  <c r="R20"/>
  <c r="N20"/>
  <c r="V19"/>
  <c r="R19"/>
  <c r="N19"/>
  <c r="V18"/>
  <c r="R18"/>
  <c r="N18"/>
  <c r="V17"/>
  <c r="R17"/>
  <c r="R23" s="1"/>
  <c r="N17"/>
  <c r="V16"/>
  <c r="R16"/>
  <c r="N16"/>
  <c r="V15"/>
  <c r="R15"/>
  <c r="N15"/>
  <c r="V14"/>
  <c r="V23" s="1"/>
  <c r="R14"/>
  <c r="N14"/>
  <c r="N23" s="1"/>
  <c r="U12"/>
  <c r="T12"/>
  <c r="S12"/>
  <c r="Q12"/>
  <c r="P12"/>
  <c r="O12"/>
  <c r="M12"/>
  <c r="L12"/>
  <c r="K12"/>
  <c r="V11"/>
  <c r="R11"/>
  <c r="N11"/>
  <c r="V10"/>
  <c r="R10"/>
  <c r="R12" s="1"/>
  <c r="N10"/>
  <c r="V9"/>
  <c r="R9"/>
  <c r="N9"/>
  <c r="V8"/>
  <c r="V12" s="1"/>
  <c r="R8"/>
  <c r="N8"/>
  <c r="N12" s="1"/>
  <c r="U6"/>
  <c r="U122" s="1"/>
  <c r="T6"/>
  <c r="T122" s="1"/>
  <c r="S6"/>
  <c r="S122" s="1"/>
  <c r="Q6"/>
  <c r="Q122" s="1"/>
  <c r="P6"/>
  <c r="P122" s="1"/>
  <c r="O6"/>
  <c r="O122" s="1"/>
  <c r="M6"/>
  <c r="M122" s="1"/>
  <c r="L6"/>
  <c r="L122" s="1"/>
  <c r="K6"/>
  <c r="K122" s="1"/>
  <c r="V5"/>
  <c r="R5"/>
  <c r="N5"/>
  <c r="V4"/>
  <c r="V6" s="1"/>
  <c r="R4"/>
  <c r="R6" s="1"/>
  <c r="N4"/>
  <c r="N6" s="1"/>
  <c r="V121" l="1"/>
  <c r="N121"/>
  <c r="V122"/>
  <c r="R122"/>
  <c r="R121"/>
  <c r="N122"/>
</calcChain>
</file>

<file path=xl/sharedStrings.xml><?xml version="1.0" encoding="utf-8"?>
<sst xmlns="http://schemas.openxmlformats.org/spreadsheetml/2006/main" count="604" uniqueCount="132">
  <si>
    <t>КБК</t>
  </si>
  <si>
    <t>Вед</t>
  </si>
  <si>
    <t>Подр</t>
  </si>
  <si>
    <t>ЦСт</t>
  </si>
  <si>
    <t>Расх</t>
  </si>
  <si>
    <t>КОСГУ</t>
  </si>
  <si>
    <t>ДопКласс</t>
  </si>
  <si>
    <t>РегКласс</t>
  </si>
  <si>
    <t>Программа</t>
  </si>
  <si>
    <t>Объект АИП</t>
  </si>
  <si>
    <t>Цель</t>
  </si>
  <si>
    <t>ЛБО на 2025</t>
  </si>
  <si>
    <t>БО на 2025</t>
  </si>
  <si>
    <t>Предв. заявка на закупку на 2025</t>
  </si>
  <si>
    <t>Остаток с учетом гос заказа от Лимитов для принятия БО в 2025</t>
  </si>
  <si>
    <t>ЛБО на 2026</t>
  </si>
  <si>
    <t>БО на 2026</t>
  </si>
  <si>
    <t>Предв. заявка на закупку на 2026</t>
  </si>
  <si>
    <t>Остаток с учетом гос заказа от Лимитов для принятия БО в 2026</t>
  </si>
  <si>
    <t>ЛБО на 2027</t>
  </si>
  <si>
    <t>БО на 2027</t>
  </si>
  <si>
    <t>Предв. заявка на закупку на 2027</t>
  </si>
  <si>
    <t>Остаток с учетом гос заказа от Лимитов для принятия БО в 2027</t>
  </si>
  <si>
    <t xml:space="preserve">Ремнот / Капремонт - Фереральные средтва </t>
  </si>
  <si>
    <t>104</t>
  </si>
  <si>
    <t>0409</t>
  </si>
  <si>
    <t>141И854470</t>
  </si>
  <si>
    <t>243</t>
  </si>
  <si>
    <t>225</t>
  </si>
  <si>
    <t>2554470X204250000000</t>
  </si>
  <si>
    <t>2254</t>
  </si>
  <si>
    <t>1411И81049</t>
  </si>
  <si>
    <t>244</t>
  </si>
  <si>
    <t>Итого</t>
  </si>
  <si>
    <t xml:space="preserve">Ремнот / Капремонт - Областные средтва </t>
  </si>
  <si>
    <t>144019Д007</t>
  </si>
  <si>
    <t>1414013013</t>
  </si>
  <si>
    <t>226</t>
  </si>
  <si>
    <t>2267</t>
  </si>
  <si>
    <t>Содержание</t>
  </si>
  <si>
    <t>144019Д006</t>
  </si>
  <si>
    <t>242</t>
  </si>
  <si>
    <t>221</t>
  </si>
  <si>
    <t>2212</t>
  </si>
  <si>
    <t>1414012012</t>
  </si>
  <si>
    <t>2251</t>
  </si>
  <si>
    <t>228</t>
  </si>
  <si>
    <t>310</t>
  </si>
  <si>
    <t>3103</t>
  </si>
  <si>
    <t>247</t>
  </si>
  <si>
    <t>223</t>
  </si>
  <si>
    <t>2233</t>
  </si>
  <si>
    <t>Транспортная безопасность</t>
  </si>
  <si>
    <t>144019Д401</t>
  </si>
  <si>
    <t>2263</t>
  </si>
  <si>
    <t>1414012042</t>
  </si>
  <si>
    <t>Строительство / Реконструкция</t>
  </si>
  <si>
    <t>Осташков-Волговерховье - 00112</t>
  </si>
  <si>
    <t>5810110000</t>
  </si>
  <si>
    <t>414</t>
  </si>
  <si>
    <t>1.0</t>
  </si>
  <si>
    <t>5810116И00</t>
  </si>
  <si>
    <t>00112</t>
  </si>
  <si>
    <t>Западный мост - 00123</t>
  </si>
  <si>
    <t>25000000001120960758</t>
  </si>
  <si>
    <t>2.0</t>
  </si>
  <si>
    <t>1411И81050</t>
  </si>
  <si>
    <t>00123</t>
  </si>
  <si>
    <t>Конаково Ривер Клаб - 00145</t>
  </si>
  <si>
    <t>144019Д004</t>
  </si>
  <si>
    <t>1414011010</t>
  </si>
  <si>
    <t>00145</t>
  </si>
  <si>
    <t>Большое Эскино – Трестино – Жданово - 00154</t>
  </si>
  <si>
    <t>144019Д003</t>
  </si>
  <si>
    <t>1414011009</t>
  </si>
  <si>
    <t>00154</t>
  </si>
  <si>
    <t>"Москва-Санкт-Петербург"-Чуприяновка-Старый Погост - 00187</t>
  </si>
  <si>
    <t>5810153900</t>
  </si>
  <si>
    <t>21228500000000210001</t>
  </si>
  <si>
    <t>5810121И00</t>
  </si>
  <si>
    <t>00187</t>
  </si>
  <si>
    <t>Шоша (4 этап)" - 00200</t>
  </si>
  <si>
    <t>0412</t>
  </si>
  <si>
    <t>081П1А3380</t>
  </si>
  <si>
    <t>0831П11097</t>
  </si>
  <si>
    <t>00200</t>
  </si>
  <si>
    <t>ТПУ "Завидово" - 00273 (Контракт 1-3)</t>
  </si>
  <si>
    <t>0408</t>
  </si>
  <si>
    <t>0840398001</t>
  </si>
  <si>
    <t>982228001</t>
  </si>
  <si>
    <t>0834031058</t>
  </si>
  <si>
    <t>00273</t>
  </si>
  <si>
    <t>08403К8001</t>
  </si>
  <si>
    <t>Бежецкое шоссе на участке от ул. Богородицерождественская - 00278</t>
  </si>
  <si>
    <t>00278</t>
  </si>
  <si>
    <t>9999</t>
  </si>
  <si>
    <t xml:space="preserve"> Фрунзе - 00279</t>
  </si>
  <si>
    <t>00279</t>
  </si>
  <si>
    <t>"Москва – Санкт-Петербург" - Конаково – Иваньково (М-10) - 00315</t>
  </si>
  <si>
    <t>141J153380</t>
  </si>
  <si>
    <t>24000000001120962348</t>
  </si>
  <si>
    <t>1411J11007</t>
  </si>
  <si>
    <t>00315</t>
  </si>
  <si>
    <t>141П153380</t>
  </si>
  <si>
    <t>25000000001120962348</t>
  </si>
  <si>
    <t>1411П11053</t>
  </si>
  <si>
    <t>"Боровлево-2" до «ПК Аквариус» - 00326</t>
  </si>
  <si>
    <t>00326</t>
  </si>
  <si>
    <t>Подъезд к школе Радужный - 00331</t>
  </si>
  <si>
    <t>00331</t>
  </si>
  <si>
    <t>ЛНО Нелидово - 00333</t>
  </si>
  <si>
    <t>144019Д005</t>
  </si>
  <si>
    <t>1414011011</t>
  </si>
  <si>
    <t>00333</t>
  </si>
  <si>
    <t>ЛНО Западная Двина - 00334</t>
  </si>
  <si>
    <t>00334</t>
  </si>
  <si>
    <t>Туполева - 00336</t>
  </si>
  <si>
    <t>00336</t>
  </si>
  <si>
    <t>Подъезд к спорткомплексу в с. Тургиново - 00427</t>
  </si>
  <si>
    <t>00427</t>
  </si>
  <si>
    <t>Вертолетные площадки - 00429</t>
  </si>
  <si>
    <t>00429</t>
  </si>
  <si>
    <t>Бежецкая ЦРБ 1 этап - 00488</t>
  </si>
  <si>
    <t>00488</t>
  </si>
  <si>
    <t>Бежецкая ЦРБ 2 этап - 00489</t>
  </si>
  <si>
    <t>00489</t>
  </si>
  <si>
    <t>Петербургское шоссе - 00518</t>
  </si>
  <si>
    <t>00518</t>
  </si>
  <si>
    <t>Бежецкое шоссе на участке от ул. Богородицерождественская 2 этап - 00540</t>
  </si>
  <si>
    <t>00540</t>
  </si>
  <si>
    <t>Итого по всем объектам АИП</t>
  </si>
  <si>
    <t>ИТОГО (по всем объектам)</t>
  </si>
</sst>
</file>

<file path=xl/styles.xml><?xml version="1.0" encoding="utf-8"?>
<styleSheet xmlns="http://schemas.openxmlformats.org/spreadsheetml/2006/main">
  <numFmts count="1">
    <numFmt numFmtId="164" formatCode="\@"/>
  </numFmts>
  <fonts count="20">
    <font>
      <sz val="11"/>
      <color theme="1"/>
      <name val="Calibri"/>
      <family val="2"/>
      <charset val="204"/>
      <scheme val="minor"/>
    </font>
    <font>
      <sz val="10"/>
      <color rgb="FF000000"/>
      <name val="Arial Cyr"/>
    </font>
    <font>
      <sz val="10"/>
      <color rgb="FF008000"/>
      <name val="Arial Cyr"/>
    </font>
    <font>
      <b/>
      <sz val="10"/>
      <color rgb="FF000000"/>
      <name val="Arial Cyr&quot;, sans-serif"/>
    </font>
    <font>
      <sz val="10"/>
      <color theme="1" tint="0.499984740745262"/>
      <name val="Arial Cyr"/>
    </font>
    <font>
      <b/>
      <sz val="11"/>
      <color theme="0"/>
      <name val="Arial Cyr&quot;, sans-serif"/>
    </font>
    <font>
      <sz val="10"/>
      <color rgb="FFFF0000"/>
      <name val="Arial Cyr"/>
    </font>
    <font>
      <sz val="10"/>
      <color theme="3" tint="-0.499984740745262"/>
      <name val="Arial Cyr"/>
    </font>
    <font>
      <sz val="10"/>
      <color rgb="FF044210"/>
      <name val="Arial Cyr"/>
    </font>
    <font>
      <sz val="10"/>
      <color theme="1" tint="0.34998626667073579"/>
      <name val="Arial Cyr"/>
    </font>
    <font>
      <b/>
      <sz val="16"/>
      <color theme="0"/>
      <name val="Arial Cyr&quot;, sans-serif"/>
    </font>
    <font>
      <sz val="10"/>
      <color rgb="FF076F1B"/>
      <name val="Arial Cyr"/>
    </font>
    <font>
      <sz val="10"/>
      <color theme="1" tint="4.9989318521683403E-2"/>
      <name val="Arial Cyr"/>
    </font>
    <font>
      <b/>
      <sz val="10"/>
      <color theme="1" tint="4.9989318521683403E-2"/>
      <name val="Arial Cyr"/>
      <charset val="204"/>
    </font>
    <font>
      <b/>
      <sz val="10"/>
      <color theme="3" tint="-0.499984740745262"/>
      <name val="Arial Cyr"/>
      <charset val="204"/>
    </font>
    <font>
      <b/>
      <sz val="10"/>
      <color theme="1" tint="0.499984740745262"/>
      <name val="Arial Cyr"/>
      <charset val="204"/>
    </font>
    <font>
      <b/>
      <sz val="10"/>
      <color rgb="FF076F1B"/>
      <name val="Arial Cyr"/>
      <charset val="204"/>
    </font>
    <font>
      <b/>
      <i/>
      <sz val="14"/>
      <name val="Arial Cyr&quot;, sans-serif"/>
      <charset val="204"/>
    </font>
    <font>
      <b/>
      <i/>
      <sz val="10"/>
      <color rgb="FF000000"/>
      <name val="Arial Cyr&quot;, sans-serif"/>
      <charset val="204"/>
    </font>
    <font>
      <b/>
      <sz val="10"/>
      <color rgb="FFFF0000"/>
      <name val="Arial Cyr"/>
      <charset val="204"/>
    </font>
  </fonts>
  <fills count="12">
    <fill>
      <patternFill patternType="none"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 style="medium">
        <color theme="1" tint="0.14999847407452621"/>
      </top>
      <bottom style="thin">
        <color theme="0" tint="-0.499984740745262"/>
      </bottom>
      <diagonal/>
    </border>
    <border>
      <left/>
      <right style="medium">
        <color theme="1" tint="0.14999847407452621"/>
      </right>
      <top style="medium">
        <color theme="1" tint="0.14999847407452621"/>
      </top>
      <bottom style="thin">
        <color theme="0" tint="-0.499984740745262"/>
      </bottom>
      <diagonal/>
    </border>
    <border>
      <left style="medium">
        <color theme="1" tint="0.1499984740745262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1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1" tint="0.1499984740745262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theme="1" tint="0.14999847407452621"/>
      </right>
      <top style="thin">
        <color theme="0" tint="-0.499984740745262"/>
      </top>
      <bottom style="medium">
        <color theme="1" tint="0.14999847407452621"/>
      </bottom>
      <diagonal/>
    </border>
    <border>
      <left style="medium">
        <color theme="1" tint="0.14999847407452621"/>
      </left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/>
      <right/>
      <top style="medium">
        <color theme="1" tint="0.14999847407452621"/>
      </top>
      <bottom style="medium">
        <color theme="1" tint="0.14999847407452621"/>
      </bottom>
      <diagonal/>
    </border>
    <border>
      <left/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 style="medium">
        <color theme="1" tint="0.14999847407452621"/>
      </left>
      <right style="medium">
        <color theme="1" tint="0.14999847407452621"/>
      </right>
      <top style="medium">
        <color theme="1" tint="0.14999847407452621"/>
      </top>
      <bottom style="medium">
        <color theme="1" tint="0.14999847407452621"/>
      </bottom>
      <diagonal/>
    </border>
    <border>
      <left style="medium">
        <color theme="1" tint="0.14999847407452621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1"/>
      </bottom>
      <diagonal/>
    </border>
    <border>
      <left style="medium">
        <color theme="1" tint="0.14999847407452621"/>
      </left>
      <right style="medium">
        <color theme="1" tint="0.14999847407452621"/>
      </right>
      <top style="medium">
        <color theme="1" tint="0.14999847407452621"/>
      </top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theme="1" tint="0.1499984740745262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indexed="64"/>
      </right>
      <top style="medium">
        <color theme="1" tint="0.14999847407452621"/>
      </top>
      <bottom style="medium">
        <color theme="1" tint="0.14999847407452621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ck">
        <color theme="3" tint="-0.499984740745262"/>
      </bottom>
      <diagonal/>
    </border>
  </borders>
  <cellStyleXfs count="5">
    <xf numFmtId="0" fontId="0" fillId="0" borderId="0"/>
    <xf numFmtId="164" fontId="1" fillId="0" borderId="1">
      <alignment vertical="top" wrapText="1"/>
    </xf>
    <xf numFmtId="4" fontId="2" fillId="0" borderId="1">
      <alignment vertical="top" shrinkToFit="1"/>
    </xf>
    <xf numFmtId="0" fontId="3" fillId="2" borderId="1">
      <alignment horizontal="center" vertical="center" wrapText="1"/>
    </xf>
    <xf numFmtId="0" fontId="3" fillId="2" borderId="1">
      <alignment horizontal="center" vertical="center" wrapText="1"/>
    </xf>
  </cellStyleXfs>
  <cellXfs count="112">
    <xf numFmtId="0" fontId="0" fillId="0" borderId="0" xfId="0"/>
    <xf numFmtId="0" fontId="5" fillId="4" borderId="2" xfId="3" applyFont="1" applyFill="1" applyBorder="1" applyAlignment="1">
      <alignment horizontal="center" vertical="center" wrapText="1"/>
    </xf>
    <xf numFmtId="0" fontId="5" fillId="4" borderId="3" xfId="3" applyFont="1" applyFill="1" applyBorder="1" applyAlignment="1">
      <alignment horizontal="center" vertical="center" wrapText="1"/>
    </xf>
    <xf numFmtId="0" fontId="5" fillId="4" borderId="3" xfId="4" applyFont="1" applyFill="1" applyBorder="1" applyAlignment="1">
      <alignment horizontal="center" vertical="center" wrapText="1"/>
    </xf>
    <xf numFmtId="0" fontId="5" fillId="4" borderId="4" xfId="4" applyFont="1" applyFill="1" applyBorder="1" applyAlignment="1">
      <alignment horizontal="center" vertical="center" wrapText="1"/>
    </xf>
    <xf numFmtId="0" fontId="0" fillId="3" borderId="0" xfId="0" applyFill="1"/>
    <xf numFmtId="49" fontId="9" fillId="9" borderId="8" xfId="1" applyNumberFormat="1" applyFont="1" applyFill="1" applyBorder="1" applyAlignment="1">
      <alignment vertical="top" wrapText="1"/>
    </xf>
    <xf numFmtId="49" fontId="1" fillId="9" borderId="8" xfId="1" quotePrefix="1" applyNumberFormat="1" applyFill="1" applyBorder="1" applyAlignment="1">
      <alignment vertical="top" wrapText="1"/>
    </xf>
    <xf numFmtId="4" fontId="7" fillId="6" borderId="8" xfId="2" applyFont="1" applyFill="1" applyBorder="1" applyAlignment="1">
      <alignment vertical="top" shrinkToFit="1"/>
    </xf>
    <xf numFmtId="4" fontId="4" fillId="6" borderId="8" xfId="2" applyFont="1" applyFill="1" applyBorder="1" applyAlignment="1">
      <alignment vertical="top" shrinkToFit="1"/>
    </xf>
    <xf numFmtId="4" fontId="4" fillId="9" borderId="8" xfId="2" applyFont="1" applyFill="1" applyBorder="1" applyAlignment="1">
      <alignment vertical="top" shrinkToFit="1"/>
    </xf>
    <xf numFmtId="4" fontId="7" fillId="9" borderId="8" xfId="2" applyFont="1" applyFill="1" applyBorder="1" applyAlignment="1">
      <alignment vertical="top" shrinkToFit="1"/>
    </xf>
    <xf numFmtId="49" fontId="9" fillId="9" borderId="8" xfId="1" quotePrefix="1" applyNumberFormat="1" applyFont="1" applyFill="1" applyBorder="1" applyAlignment="1">
      <alignment vertical="top" wrapText="1"/>
    </xf>
    <xf numFmtId="4" fontId="4" fillId="8" borderId="8" xfId="2" applyFont="1" applyFill="1" applyBorder="1" applyAlignment="1">
      <alignment vertical="top" shrinkToFit="1"/>
    </xf>
    <xf numFmtId="4" fontId="7" fillId="8" borderId="8" xfId="2" applyFont="1" applyFill="1" applyBorder="1" applyAlignment="1">
      <alignment vertical="top" shrinkToFit="1"/>
    </xf>
    <xf numFmtId="49" fontId="9" fillId="10" borderId="8" xfId="1" applyNumberFormat="1" applyFont="1" applyFill="1" applyBorder="1" applyAlignment="1">
      <alignment vertical="top" wrapText="1"/>
    </xf>
    <xf numFmtId="49" fontId="9" fillId="10" borderId="8" xfId="1" quotePrefix="1" applyNumberFormat="1" applyFont="1" applyFill="1" applyBorder="1" applyAlignment="1">
      <alignment vertical="top" wrapText="1"/>
    </xf>
    <xf numFmtId="49" fontId="1" fillId="10" borderId="8" xfId="1" quotePrefix="1" applyNumberFormat="1" applyFill="1" applyBorder="1" applyAlignment="1">
      <alignment vertical="top" wrapText="1"/>
    </xf>
    <xf numFmtId="4" fontId="4" fillId="10" borderId="8" xfId="2" applyFont="1" applyFill="1" applyBorder="1" applyAlignment="1">
      <alignment vertical="top" shrinkToFit="1"/>
    </xf>
    <xf numFmtId="4" fontId="12" fillId="6" borderId="8" xfId="2" applyFont="1" applyFill="1" applyBorder="1" applyAlignment="1">
      <alignment vertical="top" shrinkToFit="1"/>
    </xf>
    <xf numFmtId="49" fontId="9" fillId="9" borderId="11" xfId="1" applyNumberFormat="1" applyFont="1" applyFill="1" applyBorder="1" applyAlignment="1">
      <alignment vertical="top" wrapText="1"/>
    </xf>
    <xf numFmtId="4" fontId="4" fillId="6" borderId="12" xfId="2" applyFont="1" applyFill="1" applyBorder="1" applyAlignment="1">
      <alignment vertical="top" shrinkToFit="1"/>
    </xf>
    <xf numFmtId="4" fontId="11" fillId="6" borderId="12" xfId="2" applyFont="1" applyFill="1" applyBorder="1" applyAlignment="1">
      <alignment vertical="top" shrinkToFit="1"/>
    </xf>
    <xf numFmtId="4" fontId="14" fillId="6" borderId="14" xfId="2" applyFont="1" applyFill="1" applyBorder="1" applyAlignment="1">
      <alignment vertical="top" shrinkToFit="1"/>
    </xf>
    <xf numFmtId="4" fontId="15" fillId="6" borderId="14" xfId="2" applyFont="1" applyFill="1" applyBorder="1" applyAlignment="1">
      <alignment vertical="top" shrinkToFit="1"/>
    </xf>
    <xf numFmtId="4" fontId="14" fillId="9" borderId="14" xfId="2" applyFont="1" applyFill="1" applyBorder="1" applyAlignment="1">
      <alignment vertical="top" shrinkToFit="1"/>
    </xf>
    <xf numFmtId="4" fontId="16" fillId="6" borderId="15" xfId="2" applyFont="1" applyFill="1" applyBorder="1" applyAlignment="1">
      <alignment vertical="top" shrinkToFit="1"/>
    </xf>
    <xf numFmtId="4" fontId="14" fillId="6" borderId="15" xfId="2" applyFont="1" applyFill="1" applyBorder="1" applyAlignment="1">
      <alignment vertical="top" shrinkToFit="1"/>
    </xf>
    <xf numFmtId="4" fontId="14" fillId="8" borderId="14" xfId="2" applyFont="1" applyFill="1" applyBorder="1" applyAlignment="1">
      <alignment vertical="top" shrinkToFit="1"/>
    </xf>
    <xf numFmtId="4" fontId="4" fillId="8" borderId="14" xfId="2" applyFont="1" applyFill="1" applyBorder="1" applyAlignment="1">
      <alignment vertical="top" shrinkToFit="1"/>
    </xf>
    <xf numFmtId="4" fontId="12" fillId="10" borderId="8" xfId="2" applyFont="1" applyFill="1" applyBorder="1" applyAlignment="1">
      <alignment vertical="top" shrinkToFit="1"/>
    </xf>
    <xf numFmtId="49" fontId="9" fillId="10" borderId="19" xfId="1" applyNumberFormat="1" applyFont="1" applyFill="1" applyBorder="1" applyAlignment="1">
      <alignment vertical="top" wrapText="1"/>
    </xf>
    <xf numFmtId="4" fontId="4" fillId="6" borderId="20" xfId="2" applyFont="1" applyFill="1" applyBorder="1" applyAlignment="1">
      <alignment vertical="top" shrinkToFit="1"/>
    </xf>
    <xf numFmtId="4" fontId="15" fillId="6" borderId="23" xfId="2" applyFont="1" applyFill="1" applyBorder="1" applyAlignment="1">
      <alignment vertical="top" shrinkToFit="1"/>
    </xf>
    <xf numFmtId="4" fontId="13" fillId="6" borderId="23" xfId="2" applyFont="1" applyFill="1" applyBorder="1" applyAlignment="1">
      <alignment vertical="top" shrinkToFit="1"/>
    </xf>
    <xf numFmtId="4" fontId="15" fillId="10" borderId="23" xfId="2" applyFont="1" applyFill="1" applyBorder="1" applyAlignment="1">
      <alignment vertical="top" shrinkToFit="1"/>
    </xf>
    <xf numFmtId="4" fontId="15" fillId="6" borderId="24" xfId="2" applyFont="1" applyFill="1" applyBorder="1" applyAlignment="1">
      <alignment vertical="top" shrinkToFit="1"/>
    </xf>
    <xf numFmtId="4" fontId="13" fillId="10" borderId="23" xfId="2" applyFont="1" applyFill="1" applyBorder="1" applyAlignment="1">
      <alignment vertical="top" shrinkToFit="1"/>
    </xf>
    <xf numFmtId="4" fontId="11" fillId="6" borderId="20" xfId="2" applyFont="1" applyFill="1" applyBorder="1" applyAlignment="1">
      <alignment vertical="top" shrinkToFit="1"/>
    </xf>
    <xf numFmtId="4" fontId="16" fillId="6" borderId="24" xfId="2" applyFont="1" applyFill="1" applyBorder="1" applyAlignment="1">
      <alignment vertical="top" shrinkToFit="1"/>
    </xf>
    <xf numFmtId="4" fontId="6" fillId="6" borderId="20" xfId="2" applyFont="1" applyFill="1" applyBorder="1" applyAlignment="1">
      <alignment vertical="top" shrinkToFit="1"/>
    </xf>
    <xf numFmtId="4" fontId="19" fillId="6" borderId="24" xfId="2" applyFont="1" applyFill="1" applyBorder="1" applyAlignment="1">
      <alignment vertical="top" shrinkToFit="1"/>
    </xf>
    <xf numFmtId="4" fontId="13" fillId="6" borderId="25" xfId="2" applyFont="1" applyFill="1" applyBorder="1" applyAlignment="1">
      <alignment horizontal="right" vertical="center" shrinkToFit="1"/>
    </xf>
    <xf numFmtId="4" fontId="13" fillId="6" borderId="26" xfId="2" applyFont="1" applyFill="1" applyBorder="1" applyAlignment="1">
      <alignment horizontal="right" vertical="center" shrinkToFit="1"/>
    </xf>
    <xf numFmtId="4" fontId="13" fillId="10" borderId="26" xfId="2" applyFont="1" applyFill="1" applyBorder="1" applyAlignment="1">
      <alignment horizontal="right" vertical="center" shrinkToFit="1"/>
    </xf>
    <xf numFmtId="4" fontId="19" fillId="6" borderId="27" xfId="2" applyFont="1" applyFill="1" applyBorder="1" applyAlignment="1">
      <alignment horizontal="right" vertical="center" shrinkToFit="1"/>
    </xf>
    <xf numFmtId="0" fontId="0" fillId="3" borderId="0" xfId="0" applyFill="1" applyAlignment="1">
      <alignment horizontal="right" vertical="center"/>
    </xf>
    <xf numFmtId="4" fontId="16" fillId="6" borderId="23" xfId="2" applyFont="1" applyFill="1" applyBorder="1" applyAlignment="1">
      <alignment horizontal="right" vertical="center" shrinkToFit="1"/>
    </xf>
    <xf numFmtId="0" fontId="10" fillId="7" borderId="33" xfId="3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49" fontId="13" fillId="10" borderId="30" xfId="1" applyNumberFormat="1" applyFont="1" applyFill="1" applyBorder="1" applyAlignment="1">
      <alignment horizontal="right" vertical="center" wrapText="1"/>
    </xf>
    <xf numFmtId="0" fontId="0" fillId="0" borderId="28" xfId="0" applyBorder="1"/>
    <xf numFmtId="0" fontId="0" fillId="0" borderId="29" xfId="0" applyBorder="1"/>
    <xf numFmtId="49" fontId="13" fillId="10" borderId="31" xfId="1" applyNumberFormat="1" applyFont="1" applyFill="1" applyBorder="1" applyAlignment="1">
      <alignment horizontal="right" vertical="top" wrapText="1"/>
    </xf>
    <xf numFmtId="0" fontId="0" fillId="0" borderId="21" xfId="0" applyBorder="1"/>
    <xf numFmtId="0" fontId="0" fillId="0" borderId="22" xfId="0" applyBorder="1"/>
    <xf numFmtId="0" fontId="18" fillId="11" borderId="32" xfId="3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9" fontId="13" fillId="9" borderId="13" xfId="1" applyNumberFormat="1" applyFont="1" applyFill="1" applyBorder="1" applyAlignment="1">
      <alignment horizontal="right" vertical="top" wrapText="1"/>
    </xf>
    <xf numFmtId="0" fontId="0" fillId="0" borderId="34" xfId="0" applyBorder="1"/>
    <xf numFmtId="0" fontId="0" fillId="0" borderId="35" xfId="0" applyBorder="1"/>
    <xf numFmtId="0" fontId="17" fillId="5" borderId="37" xfId="3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16" xfId="0" applyBorder="1"/>
    <xf numFmtId="0" fontId="10" fillId="7" borderId="5" xfId="3" applyFont="1" applyFill="1" applyBorder="1" applyAlignment="1">
      <alignment horizontal="center" vertical="center" wrapText="1"/>
    </xf>
    <xf numFmtId="0" fontId="17" fillId="5" borderId="36" xfId="3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4" fontId="4" fillId="10" borderId="39" xfId="2" applyFont="1" applyFill="1" applyBorder="1" applyAlignment="1">
      <alignment vertical="top" shrinkToFit="1"/>
    </xf>
    <xf numFmtId="4" fontId="15" fillId="10" borderId="22" xfId="2" applyFont="1" applyFill="1" applyBorder="1" applyAlignment="1">
      <alignment vertical="top" shrinkToFit="1"/>
    </xf>
    <xf numFmtId="4" fontId="11" fillId="6" borderId="40" xfId="2" applyFont="1" applyFill="1" applyBorder="1" applyAlignment="1">
      <alignment vertical="top" shrinkToFit="1"/>
    </xf>
    <xf numFmtId="4" fontId="16" fillId="6" borderId="38" xfId="2" applyFont="1" applyFill="1" applyBorder="1" applyAlignment="1">
      <alignment vertical="top" shrinkToFit="1"/>
    </xf>
    <xf numFmtId="4" fontId="4" fillId="6" borderId="40" xfId="2" applyFont="1" applyFill="1" applyBorder="1" applyAlignment="1">
      <alignment vertical="top" shrinkToFit="1"/>
    </xf>
    <xf numFmtId="4" fontId="6" fillId="6" borderId="40" xfId="2" applyFont="1" applyFill="1" applyBorder="1" applyAlignment="1">
      <alignment vertical="top" shrinkToFit="1"/>
    </xf>
    <xf numFmtId="4" fontId="19" fillId="6" borderId="38" xfId="2" applyFont="1" applyFill="1" applyBorder="1" applyAlignment="1">
      <alignment vertical="top" shrinkToFit="1"/>
    </xf>
    <xf numFmtId="4" fontId="15" fillId="6" borderId="22" xfId="2" applyFont="1" applyFill="1" applyBorder="1" applyAlignment="1">
      <alignment vertical="top" shrinkToFit="1"/>
    </xf>
    <xf numFmtId="4" fontId="12" fillId="10" borderId="39" xfId="2" applyFont="1" applyFill="1" applyBorder="1" applyAlignment="1">
      <alignment vertical="top" shrinkToFit="1"/>
    </xf>
    <xf numFmtId="4" fontId="13" fillId="10" borderId="22" xfId="2" applyFont="1" applyFill="1" applyBorder="1" applyAlignment="1">
      <alignment vertical="top" shrinkToFit="1"/>
    </xf>
    <xf numFmtId="4" fontId="15" fillId="6" borderId="38" xfId="2" applyFont="1" applyFill="1" applyBorder="1" applyAlignment="1">
      <alignment vertical="top" shrinkToFit="1"/>
    </xf>
    <xf numFmtId="4" fontId="13" fillId="10" borderId="41" xfId="2" applyFont="1" applyFill="1" applyBorder="1" applyAlignment="1">
      <alignment horizontal="right" vertical="center" shrinkToFit="1"/>
    </xf>
    <xf numFmtId="4" fontId="19" fillId="6" borderId="42" xfId="2" applyFont="1" applyFill="1" applyBorder="1" applyAlignment="1">
      <alignment horizontal="right" vertical="center" shrinkToFit="1"/>
    </xf>
    <xf numFmtId="4" fontId="16" fillId="6" borderId="38" xfId="2" applyFont="1" applyFill="1" applyBorder="1" applyAlignment="1">
      <alignment horizontal="right" vertical="center" shrinkToFit="1"/>
    </xf>
    <xf numFmtId="4" fontId="4" fillId="9" borderId="39" xfId="2" applyFont="1" applyFill="1" applyBorder="1" applyAlignment="1">
      <alignment vertical="top" shrinkToFit="1"/>
    </xf>
    <xf numFmtId="4" fontId="7" fillId="9" borderId="39" xfId="2" applyFont="1" applyFill="1" applyBorder="1" applyAlignment="1">
      <alignment vertical="top" shrinkToFit="1"/>
    </xf>
    <xf numFmtId="4" fontId="14" fillId="9" borderId="35" xfId="2" applyFont="1" applyFill="1" applyBorder="1" applyAlignment="1">
      <alignment vertical="top" shrinkToFit="1"/>
    </xf>
    <xf numFmtId="4" fontId="16" fillId="6" borderId="43" xfId="2" applyFont="1" applyFill="1" applyBorder="1" applyAlignment="1">
      <alignment vertical="top" shrinkToFit="1"/>
    </xf>
    <xf numFmtId="4" fontId="14" fillId="8" borderId="35" xfId="2" applyFont="1" applyFill="1" applyBorder="1" applyAlignment="1">
      <alignment vertical="top" shrinkToFit="1"/>
    </xf>
    <xf numFmtId="4" fontId="14" fillId="6" borderId="43" xfId="2" applyFont="1" applyFill="1" applyBorder="1" applyAlignment="1">
      <alignment vertical="top" shrinkToFit="1"/>
    </xf>
    <xf numFmtId="4" fontId="4" fillId="8" borderId="39" xfId="2" applyFont="1" applyFill="1" applyBorder="1" applyAlignment="1">
      <alignment vertical="top" shrinkToFit="1"/>
    </xf>
    <xf numFmtId="4" fontId="7" fillId="8" borderId="39" xfId="2" applyFont="1" applyFill="1" applyBorder="1" applyAlignment="1">
      <alignment vertical="top" shrinkToFit="1"/>
    </xf>
    <xf numFmtId="4" fontId="4" fillId="6" borderId="39" xfId="2" applyFont="1" applyFill="1" applyBorder="1" applyAlignment="1">
      <alignment vertical="top" shrinkToFit="1"/>
    </xf>
    <xf numFmtId="4" fontId="7" fillId="6" borderId="39" xfId="2" applyFont="1" applyFill="1" applyBorder="1" applyAlignment="1">
      <alignment vertical="top" shrinkToFit="1"/>
    </xf>
    <xf numFmtId="4" fontId="14" fillId="6" borderId="35" xfId="2" applyFont="1" applyFill="1" applyBorder="1" applyAlignment="1">
      <alignment vertical="top" shrinkToFit="1"/>
    </xf>
    <xf numFmtId="4" fontId="4" fillId="9" borderId="40" xfId="2" applyFont="1" applyFill="1" applyBorder="1" applyAlignment="1">
      <alignment vertical="top" shrinkToFit="1"/>
    </xf>
    <xf numFmtId="4" fontId="11" fillId="9" borderId="40" xfId="2" applyFont="1" applyFill="1" applyBorder="1" applyAlignment="1">
      <alignment vertical="top" shrinkToFit="1"/>
    </xf>
    <xf numFmtId="4" fontId="16" fillId="9" borderId="43" xfId="2" applyFont="1" applyFill="1" applyBorder="1" applyAlignment="1">
      <alignment vertical="top" shrinkToFit="1"/>
    </xf>
    <xf numFmtId="4" fontId="16" fillId="8" borderId="43" xfId="2" applyFont="1" applyFill="1" applyBorder="1" applyAlignment="1">
      <alignment vertical="top" shrinkToFit="1"/>
    </xf>
    <xf numFmtId="4" fontId="8" fillId="6" borderId="39" xfId="2" applyFont="1" applyFill="1" applyBorder="1" applyAlignment="1">
      <alignment vertical="top" shrinkToFit="1"/>
    </xf>
    <xf numFmtId="4" fontId="4" fillId="8" borderId="40" xfId="2" applyFont="1" applyFill="1" applyBorder="1" applyAlignment="1">
      <alignment vertical="top" shrinkToFit="1"/>
    </xf>
    <xf numFmtId="4" fontId="11" fillId="8" borderId="40" xfId="2" applyFont="1" applyFill="1" applyBorder="1" applyAlignment="1">
      <alignment vertical="top" shrinkToFit="1"/>
    </xf>
    <xf numFmtId="4" fontId="4" fillId="10" borderId="40" xfId="2" applyFont="1" applyFill="1" applyBorder="1" applyAlignment="1">
      <alignment vertical="top" shrinkToFit="1"/>
    </xf>
    <xf numFmtId="4" fontId="15" fillId="10" borderId="38" xfId="2" applyFont="1" applyFill="1" applyBorder="1" applyAlignment="1">
      <alignment vertical="top" shrinkToFit="1"/>
    </xf>
    <xf numFmtId="4" fontId="11" fillId="10" borderId="40" xfId="2" applyFont="1" applyFill="1" applyBorder="1" applyAlignment="1">
      <alignment vertical="top" shrinkToFit="1"/>
    </xf>
    <xf numFmtId="4" fontId="16" fillId="10" borderId="38" xfId="2" applyFont="1" applyFill="1" applyBorder="1" applyAlignment="1">
      <alignment vertical="top" shrinkToFit="1"/>
    </xf>
    <xf numFmtId="4" fontId="12" fillId="6" borderId="39" xfId="2" applyFont="1" applyFill="1" applyBorder="1" applyAlignment="1">
      <alignment vertical="top" shrinkToFit="1"/>
    </xf>
    <xf numFmtId="4" fontId="13" fillId="6" borderId="22" xfId="2" applyFont="1" applyFill="1" applyBorder="1" applyAlignment="1">
      <alignment vertical="top" shrinkToFit="1"/>
    </xf>
    <xf numFmtId="4" fontId="6" fillId="10" borderId="40" xfId="2" applyFont="1" applyFill="1" applyBorder="1" applyAlignment="1">
      <alignment vertical="top" shrinkToFit="1"/>
    </xf>
    <xf numFmtId="4" fontId="19" fillId="10" borderId="38" xfId="2" applyFont="1" applyFill="1" applyBorder="1" applyAlignment="1">
      <alignment vertical="top" shrinkToFit="1"/>
    </xf>
    <xf numFmtId="4" fontId="13" fillId="6" borderId="41" xfId="2" applyFont="1" applyFill="1" applyBorder="1" applyAlignment="1">
      <alignment horizontal="right" vertical="center" shrinkToFit="1"/>
    </xf>
    <xf numFmtId="4" fontId="16" fillId="10" borderId="38" xfId="2" applyFont="1" applyFill="1" applyBorder="1" applyAlignment="1">
      <alignment vertical="center" shrinkToFit="1"/>
    </xf>
  </cellXfs>
  <cellStyles count="5">
    <cellStyle name="st16" xfId="1"/>
    <cellStyle name="st17" xfId="4"/>
    <cellStyle name="st19" xfId="2"/>
    <cellStyle name="xl24" xfId="3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128"/>
  <sheetViews>
    <sheetView tabSelected="1" zoomScale="85" zoomScaleNormal="85" workbookViewId="0">
      <pane ySplit="2" topLeftCell="A54" activePane="bottomLeft" state="frozen"/>
      <selection pane="bottomLeft" activeCell="O115" sqref="O115"/>
    </sheetView>
  </sheetViews>
  <sheetFormatPr defaultRowHeight="15"/>
  <cols>
    <col min="1" max="2" width="9.140625" style="5" hidden="1" customWidth="1"/>
    <col min="3" max="3" width="13.140625" style="5" hidden="1" customWidth="1"/>
    <col min="4" max="4" width="9.140625" style="5" customWidth="1"/>
    <col min="5" max="5" width="9" style="5" customWidth="1"/>
    <col min="6" max="6" width="22.28515625" style="5" hidden="1" customWidth="1"/>
    <col min="7" max="7" width="11.7109375" style="5" hidden="1" customWidth="1"/>
    <col min="8" max="8" width="13.7109375" style="5" hidden="1" customWidth="1"/>
    <col min="9" max="9" width="9" style="5" customWidth="1"/>
    <col min="10" max="10" width="7.42578125" style="5" customWidth="1"/>
    <col min="11" max="12" width="16.85546875" style="5" customWidth="1"/>
    <col min="13" max="13" width="12.85546875" style="5" customWidth="1"/>
    <col min="14" max="14" width="16.7109375" style="5" customWidth="1"/>
    <col min="15" max="15" width="17" style="5" customWidth="1"/>
    <col min="16" max="16" width="16.42578125" style="5" customWidth="1"/>
    <col min="17" max="17" width="16.85546875" style="5" customWidth="1"/>
    <col min="18" max="18" width="17.42578125" style="5" customWidth="1"/>
    <col min="19" max="19" width="15" style="5" customWidth="1"/>
    <col min="20" max="20" width="15.28515625" style="5" customWidth="1"/>
    <col min="21" max="21" width="14.5703125" style="5" customWidth="1"/>
    <col min="22" max="22" width="15.140625" style="5" customWidth="1"/>
    <col min="23" max="23" width="18.7109375" style="5" customWidth="1"/>
    <col min="24" max="24" width="27" style="5" customWidth="1"/>
    <col min="25" max="25" width="28.7109375" style="5" customWidth="1"/>
    <col min="26" max="26" width="25.28515625" style="5" customWidth="1"/>
    <col min="27" max="27" width="9.140625" style="5" customWidth="1"/>
    <col min="28" max="16384" width="9.140625" style="5"/>
  </cols>
  <sheetData>
    <row r="1" spans="1:22" ht="27" customHeight="1" thickBot="1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50"/>
      <c r="K1" s="66">
        <v>2025</v>
      </c>
      <c r="L1" s="49"/>
      <c r="M1" s="49"/>
      <c r="N1" s="49"/>
      <c r="O1" s="66">
        <v>2026</v>
      </c>
      <c r="P1" s="49"/>
      <c r="Q1" s="49"/>
      <c r="R1" s="49"/>
      <c r="S1" s="66">
        <v>2027</v>
      </c>
      <c r="T1" s="49"/>
      <c r="U1" s="49"/>
      <c r="V1" s="49"/>
    </row>
    <row r="2" spans="1:22" ht="94.5" customHeight="1" thickBot="1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3" t="s">
        <v>11</v>
      </c>
      <c r="L2" s="3" t="s">
        <v>12</v>
      </c>
      <c r="M2" s="3" t="s">
        <v>13</v>
      </c>
      <c r="N2" s="4" t="s">
        <v>14</v>
      </c>
      <c r="O2" s="3" t="s">
        <v>15</v>
      </c>
      <c r="P2" s="3" t="s">
        <v>16</v>
      </c>
      <c r="Q2" s="3" t="s">
        <v>17</v>
      </c>
      <c r="R2" s="4" t="s">
        <v>18</v>
      </c>
      <c r="S2" s="3" t="s">
        <v>19</v>
      </c>
      <c r="T2" s="3" t="s">
        <v>20</v>
      </c>
      <c r="U2" s="3" t="s">
        <v>21</v>
      </c>
      <c r="V2" s="4" t="s">
        <v>22</v>
      </c>
    </row>
    <row r="3" spans="1:22" ht="30" customHeight="1" thickTop="1">
      <c r="A3" s="67" t="s">
        <v>23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9"/>
    </row>
    <row r="4" spans="1:22">
      <c r="A4" s="20" t="s">
        <v>24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29</v>
      </c>
      <c r="G4" s="6" t="s">
        <v>30</v>
      </c>
      <c r="H4" s="6" t="s">
        <v>31</v>
      </c>
      <c r="I4" s="7"/>
      <c r="J4" s="7"/>
      <c r="K4" s="8">
        <v>51790498.280000001</v>
      </c>
      <c r="L4" s="8">
        <v>51790498.280000001</v>
      </c>
      <c r="M4" s="9">
        <v>0</v>
      </c>
      <c r="N4" s="74">
        <f>K4-L4-M4</f>
        <v>0</v>
      </c>
      <c r="O4" s="84">
        <v>0</v>
      </c>
      <c r="P4" s="10">
        <v>0</v>
      </c>
      <c r="Q4" s="10">
        <v>0</v>
      </c>
      <c r="R4" s="95">
        <f>O4-P4-Q4</f>
        <v>0</v>
      </c>
      <c r="S4" s="92">
        <v>0</v>
      </c>
      <c r="T4" s="9">
        <v>0</v>
      </c>
      <c r="U4" s="9">
        <v>0</v>
      </c>
      <c r="V4" s="21">
        <f>S4-T4-U4</f>
        <v>0</v>
      </c>
    </row>
    <row r="5" spans="1:22">
      <c r="A5" s="20" t="s">
        <v>24</v>
      </c>
      <c r="B5" s="6" t="s">
        <v>25</v>
      </c>
      <c r="C5" s="6" t="s">
        <v>26</v>
      </c>
      <c r="D5" s="6" t="s">
        <v>32</v>
      </c>
      <c r="E5" s="6" t="s">
        <v>28</v>
      </c>
      <c r="F5" s="6" t="s">
        <v>29</v>
      </c>
      <c r="G5" s="6" t="s">
        <v>30</v>
      </c>
      <c r="H5" s="6" t="s">
        <v>31</v>
      </c>
      <c r="I5" s="7"/>
      <c r="J5" s="7"/>
      <c r="K5" s="8">
        <v>6054024001.7200003</v>
      </c>
      <c r="L5" s="8">
        <v>6054024001.7200003</v>
      </c>
      <c r="M5" s="9">
        <v>0</v>
      </c>
      <c r="N5" s="72">
        <f>K5-L5-M5</f>
        <v>0</v>
      </c>
      <c r="O5" s="85">
        <v>1651991900</v>
      </c>
      <c r="P5" s="11">
        <v>1037668195.96</v>
      </c>
      <c r="Q5" s="11">
        <v>263941664.77000001</v>
      </c>
      <c r="R5" s="96">
        <f>O5-P5-Q5</f>
        <v>350382039.26999998</v>
      </c>
      <c r="S5" s="93">
        <v>5984474800</v>
      </c>
      <c r="T5" s="8">
        <v>0</v>
      </c>
      <c r="U5" s="9">
        <v>0</v>
      </c>
      <c r="V5" s="22">
        <f>S5-T5-U5</f>
        <v>5984474800</v>
      </c>
    </row>
    <row r="6" spans="1:22" ht="15.75" customHeight="1" thickBot="1">
      <c r="A6" s="60" t="s">
        <v>33</v>
      </c>
      <c r="B6" s="61"/>
      <c r="C6" s="61"/>
      <c r="D6" s="61"/>
      <c r="E6" s="61"/>
      <c r="F6" s="61"/>
      <c r="G6" s="61"/>
      <c r="H6" s="61"/>
      <c r="I6" s="61"/>
      <c r="J6" s="62"/>
      <c r="K6" s="23">
        <f t="shared" ref="K6:V6" si="0">SUM(K4:K5)</f>
        <v>6105814500</v>
      </c>
      <c r="L6" s="23">
        <f t="shared" si="0"/>
        <v>6105814500</v>
      </c>
      <c r="M6" s="24">
        <f t="shared" si="0"/>
        <v>0</v>
      </c>
      <c r="N6" s="87">
        <f t="shared" si="0"/>
        <v>0</v>
      </c>
      <c r="O6" s="86">
        <f t="shared" si="0"/>
        <v>1651991900</v>
      </c>
      <c r="P6" s="25">
        <f t="shared" si="0"/>
        <v>1037668195.96</v>
      </c>
      <c r="Q6" s="25">
        <f t="shared" si="0"/>
        <v>263941664.77000001</v>
      </c>
      <c r="R6" s="97">
        <f t="shared" si="0"/>
        <v>350382039.26999998</v>
      </c>
      <c r="S6" s="94">
        <f t="shared" si="0"/>
        <v>5984474800</v>
      </c>
      <c r="T6" s="23">
        <f t="shared" si="0"/>
        <v>0</v>
      </c>
      <c r="U6" s="23">
        <f t="shared" si="0"/>
        <v>0</v>
      </c>
      <c r="V6" s="26">
        <f t="shared" si="0"/>
        <v>5984474800</v>
      </c>
    </row>
    <row r="7" spans="1:22" ht="30" customHeight="1" thickTop="1">
      <c r="A7" s="67" t="s">
        <v>34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9"/>
    </row>
    <row r="8" spans="1:22">
      <c r="A8" s="20" t="s">
        <v>24</v>
      </c>
      <c r="B8" s="6" t="s">
        <v>25</v>
      </c>
      <c r="C8" s="6" t="s">
        <v>35</v>
      </c>
      <c r="D8" s="6" t="s">
        <v>27</v>
      </c>
      <c r="E8" s="6" t="s">
        <v>28</v>
      </c>
      <c r="F8" s="12"/>
      <c r="G8" s="6" t="s">
        <v>30</v>
      </c>
      <c r="H8" s="6" t="s">
        <v>36</v>
      </c>
      <c r="I8" s="7"/>
      <c r="J8" s="7"/>
      <c r="K8" s="8">
        <v>708740377.51999998</v>
      </c>
      <c r="L8" s="8">
        <v>708740377.51999998</v>
      </c>
      <c r="M8" s="9">
        <v>0</v>
      </c>
      <c r="N8" s="72">
        <f>K8-L8-M8</f>
        <v>0</v>
      </c>
      <c r="O8" s="85">
        <v>20168677.170000002</v>
      </c>
      <c r="P8" s="11">
        <v>20168677.170000002</v>
      </c>
      <c r="Q8" s="10">
        <v>0</v>
      </c>
      <c r="R8" s="95">
        <f>O8-P8-Q8</f>
        <v>0</v>
      </c>
      <c r="S8" s="92">
        <v>0</v>
      </c>
      <c r="T8" s="9">
        <v>0</v>
      </c>
      <c r="U8" s="9">
        <v>0</v>
      </c>
      <c r="V8" s="21">
        <f>S8-T8-U8</f>
        <v>0</v>
      </c>
    </row>
    <row r="9" spans="1:22">
      <c r="A9" s="20" t="s">
        <v>24</v>
      </c>
      <c r="B9" s="6" t="s">
        <v>25</v>
      </c>
      <c r="C9" s="6" t="s">
        <v>35</v>
      </c>
      <c r="D9" s="6" t="s">
        <v>27</v>
      </c>
      <c r="E9" s="6" t="s">
        <v>37</v>
      </c>
      <c r="F9" s="12"/>
      <c r="G9" s="6" t="s">
        <v>38</v>
      </c>
      <c r="H9" s="6" t="s">
        <v>36</v>
      </c>
      <c r="I9" s="7"/>
      <c r="J9" s="7"/>
      <c r="K9" s="8">
        <v>16400226.109999999</v>
      </c>
      <c r="L9" s="8">
        <v>16105526.109999999</v>
      </c>
      <c r="M9" s="9">
        <v>0</v>
      </c>
      <c r="N9" s="72">
        <f>K9-L9-M9</f>
        <v>294700</v>
      </c>
      <c r="O9" s="85">
        <v>422535</v>
      </c>
      <c r="P9" s="11">
        <v>420422.33</v>
      </c>
      <c r="Q9" s="10">
        <v>0</v>
      </c>
      <c r="R9" s="96">
        <f>O9-P9-Q9</f>
        <v>2112.6699999999837</v>
      </c>
      <c r="S9" s="92">
        <v>0</v>
      </c>
      <c r="T9" s="9">
        <v>0</v>
      </c>
      <c r="U9" s="9">
        <v>0</v>
      </c>
      <c r="V9" s="21">
        <f>S9-T9-U9</f>
        <v>0</v>
      </c>
    </row>
    <row r="10" spans="1:22" ht="20.100000000000001" customHeight="1">
      <c r="A10" s="20" t="s">
        <v>24</v>
      </c>
      <c r="B10" s="6" t="s">
        <v>25</v>
      </c>
      <c r="C10" s="6" t="s">
        <v>35</v>
      </c>
      <c r="D10" s="6" t="s">
        <v>32</v>
      </c>
      <c r="E10" s="6" t="s">
        <v>28</v>
      </c>
      <c r="F10" s="12"/>
      <c r="G10" s="6" t="s">
        <v>30</v>
      </c>
      <c r="H10" s="6" t="s">
        <v>36</v>
      </c>
      <c r="I10" s="7"/>
      <c r="J10" s="7"/>
      <c r="K10" s="8">
        <v>4706634363.3699999</v>
      </c>
      <c r="L10" s="8">
        <v>3476532568.6100001</v>
      </c>
      <c r="M10" s="9">
        <v>0</v>
      </c>
      <c r="N10" s="72">
        <f>K10-L10-M10</f>
        <v>1230101794.7599998</v>
      </c>
      <c r="O10" s="85">
        <v>3319376187.8299999</v>
      </c>
      <c r="P10" s="11">
        <v>1888408757.9200001</v>
      </c>
      <c r="Q10" s="11">
        <v>18104985.329999998</v>
      </c>
      <c r="R10" s="96">
        <f>O10-P10-Q10</f>
        <v>1412862444.5799999</v>
      </c>
      <c r="S10" s="93">
        <v>902289500</v>
      </c>
      <c r="T10" s="8">
        <v>186495032.31</v>
      </c>
      <c r="U10" s="9">
        <v>0</v>
      </c>
      <c r="V10" s="22">
        <f>S10-T10-U10</f>
        <v>715794467.69000006</v>
      </c>
    </row>
    <row r="11" spans="1:22">
      <c r="A11" s="20" t="s">
        <v>24</v>
      </c>
      <c r="B11" s="6" t="s">
        <v>25</v>
      </c>
      <c r="C11" s="6" t="s">
        <v>35</v>
      </c>
      <c r="D11" s="6" t="s">
        <v>32</v>
      </c>
      <c r="E11" s="6" t="s">
        <v>37</v>
      </c>
      <c r="F11" s="12"/>
      <c r="G11" s="6" t="s">
        <v>38</v>
      </c>
      <c r="H11" s="6" t="s">
        <v>36</v>
      </c>
      <c r="I11" s="7"/>
      <c r="J11" s="7"/>
      <c r="K11" s="8">
        <v>6347033</v>
      </c>
      <c r="L11" s="8">
        <v>6324986.21</v>
      </c>
      <c r="M11" s="9">
        <v>0</v>
      </c>
      <c r="N11" s="72">
        <f>K11-L11-M11</f>
        <v>22046.790000000037</v>
      </c>
      <c r="O11" s="84">
        <v>0</v>
      </c>
      <c r="P11" s="10">
        <v>0</v>
      </c>
      <c r="Q11" s="10">
        <v>0</v>
      </c>
      <c r="R11" s="95">
        <f>O11-P11-Q11</f>
        <v>0</v>
      </c>
      <c r="S11" s="92">
        <v>0</v>
      </c>
      <c r="T11" s="9">
        <v>0</v>
      </c>
      <c r="U11" s="9">
        <v>0</v>
      </c>
      <c r="V11" s="21">
        <f>S11-T11-U11</f>
        <v>0</v>
      </c>
    </row>
    <row r="12" spans="1:22" ht="15.75" customHeight="1" thickBot="1">
      <c r="A12" s="60" t="s">
        <v>33</v>
      </c>
      <c r="B12" s="61"/>
      <c r="C12" s="61"/>
      <c r="D12" s="61"/>
      <c r="E12" s="61"/>
      <c r="F12" s="61"/>
      <c r="G12" s="61"/>
      <c r="H12" s="61"/>
      <c r="I12" s="61"/>
      <c r="J12" s="62"/>
      <c r="K12" s="23">
        <f t="shared" ref="K12:V12" si="1">SUM(K8:K11)</f>
        <v>5438122000</v>
      </c>
      <c r="L12" s="23">
        <f t="shared" si="1"/>
        <v>4207703458.4500003</v>
      </c>
      <c r="M12" s="23">
        <f t="shared" si="1"/>
        <v>0</v>
      </c>
      <c r="N12" s="89">
        <f t="shared" si="1"/>
        <v>1230418541.5499997</v>
      </c>
      <c r="O12" s="88">
        <f t="shared" si="1"/>
        <v>3339967400</v>
      </c>
      <c r="P12" s="28">
        <f t="shared" si="1"/>
        <v>1908997857.4200001</v>
      </c>
      <c r="Q12" s="11">
        <f t="shared" si="1"/>
        <v>18104985.329999998</v>
      </c>
      <c r="R12" s="98">
        <f t="shared" si="1"/>
        <v>1412864557.25</v>
      </c>
      <c r="S12" s="94">
        <f t="shared" si="1"/>
        <v>902289500</v>
      </c>
      <c r="T12" s="23">
        <f t="shared" si="1"/>
        <v>186495032.31</v>
      </c>
      <c r="U12" s="23">
        <f t="shared" si="1"/>
        <v>0</v>
      </c>
      <c r="V12" s="27">
        <f t="shared" si="1"/>
        <v>715794467.69000006</v>
      </c>
    </row>
    <row r="13" spans="1:22" ht="30" customHeight="1" thickTop="1">
      <c r="A13" s="67" t="s">
        <v>39</v>
      </c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9"/>
    </row>
    <row r="14" spans="1:22">
      <c r="A14" s="20" t="s">
        <v>24</v>
      </c>
      <c r="B14" s="6" t="s">
        <v>25</v>
      </c>
      <c r="C14" s="6" t="s">
        <v>40</v>
      </c>
      <c r="D14" s="6" t="s">
        <v>41</v>
      </c>
      <c r="E14" s="6" t="s">
        <v>42</v>
      </c>
      <c r="F14" s="12"/>
      <c r="G14" s="6" t="s">
        <v>43</v>
      </c>
      <c r="H14" s="6" t="s">
        <v>44</v>
      </c>
      <c r="I14" s="7"/>
      <c r="J14" s="7"/>
      <c r="K14" s="8">
        <v>107040</v>
      </c>
      <c r="L14" s="8">
        <v>107040</v>
      </c>
      <c r="M14" s="9">
        <v>0</v>
      </c>
      <c r="N14" s="74">
        <f t="shared" ref="N14:N22" si="2">K14-L14-M14</f>
        <v>0</v>
      </c>
      <c r="O14" s="90">
        <v>0</v>
      </c>
      <c r="P14" s="13">
        <v>0</v>
      </c>
      <c r="Q14" s="13">
        <v>0</v>
      </c>
      <c r="R14" s="100">
        <f t="shared" ref="R14:R22" si="3">O14-P14-Q14</f>
        <v>0</v>
      </c>
      <c r="S14" s="92">
        <v>0</v>
      </c>
      <c r="T14" s="9">
        <v>0</v>
      </c>
      <c r="U14" s="9">
        <v>0</v>
      </c>
      <c r="V14" s="21">
        <f t="shared" ref="V14:V22" si="4">S14-T14-U14</f>
        <v>0</v>
      </c>
    </row>
    <row r="15" spans="1:22">
      <c r="A15" s="20" t="s">
        <v>24</v>
      </c>
      <c r="B15" s="6" t="s">
        <v>25</v>
      </c>
      <c r="C15" s="6" t="s">
        <v>40</v>
      </c>
      <c r="D15" s="6" t="s">
        <v>41</v>
      </c>
      <c r="E15" s="6" t="s">
        <v>28</v>
      </c>
      <c r="F15" s="12"/>
      <c r="G15" s="6" t="s">
        <v>45</v>
      </c>
      <c r="H15" s="6" t="s">
        <v>44</v>
      </c>
      <c r="I15" s="7"/>
      <c r="J15" s="7"/>
      <c r="K15" s="8">
        <v>928140</v>
      </c>
      <c r="L15" s="8">
        <v>928140</v>
      </c>
      <c r="M15" s="9">
        <v>0</v>
      </c>
      <c r="N15" s="74">
        <f t="shared" si="2"/>
        <v>0</v>
      </c>
      <c r="O15" s="90">
        <v>0</v>
      </c>
      <c r="P15" s="13">
        <v>0</v>
      </c>
      <c r="Q15" s="13">
        <v>0</v>
      </c>
      <c r="R15" s="100">
        <f t="shared" si="3"/>
        <v>0</v>
      </c>
      <c r="S15" s="92">
        <v>0</v>
      </c>
      <c r="T15" s="9">
        <v>0</v>
      </c>
      <c r="U15" s="9">
        <v>0</v>
      </c>
      <c r="V15" s="21">
        <f t="shared" si="4"/>
        <v>0</v>
      </c>
    </row>
    <row r="16" spans="1:22">
      <c r="A16" s="20" t="s">
        <v>24</v>
      </c>
      <c r="B16" s="6" t="s">
        <v>25</v>
      </c>
      <c r="C16" s="6" t="s">
        <v>40</v>
      </c>
      <c r="D16" s="6" t="s">
        <v>41</v>
      </c>
      <c r="E16" s="6" t="s">
        <v>37</v>
      </c>
      <c r="F16" s="12"/>
      <c r="G16" s="6" t="s">
        <v>38</v>
      </c>
      <c r="H16" s="6" t="s">
        <v>44</v>
      </c>
      <c r="I16" s="7"/>
      <c r="J16" s="7"/>
      <c r="K16" s="8">
        <v>58969.03</v>
      </c>
      <c r="L16" s="8">
        <v>58969.03</v>
      </c>
      <c r="M16" s="9">
        <v>0</v>
      </c>
      <c r="N16" s="74">
        <f t="shared" si="2"/>
        <v>0</v>
      </c>
      <c r="O16" s="90">
        <v>0</v>
      </c>
      <c r="P16" s="13">
        <v>0</v>
      </c>
      <c r="Q16" s="13">
        <v>0</v>
      </c>
      <c r="R16" s="100">
        <f t="shared" si="3"/>
        <v>0</v>
      </c>
      <c r="S16" s="92">
        <v>0</v>
      </c>
      <c r="T16" s="9">
        <v>0</v>
      </c>
      <c r="U16" s="9">
        <v>0</v>
      </c>
      <c r="V16" s="21">
        <f t="shared" si="4"/>
        <v>0</v>
      </c>
    </row>
    <row r="17" spans="1:22">
      <c r="A17" s="20" t="s">
        <v>24</v>
      </c>
      <c r="B17" s="6" t="s">
        <v>25</v>
      </c>
      <c r="C17" s="6" t="s">
        <v>40</v>
      </c>
      <c r="D17" s="6" t="s">
        <v>32</v>
      </c>
      <c r="E17" s="6" t="s">
        <v>28</v>
      </c>
      <c r="F17" s="12"/>
      <c r="G17" s="6" t="s">
        <v>45</v>
      </c>
      <c r="H17" s="6" t="s">
        <v>44</v>
      </c>
      <c r="I17" s="7"/>
      <c r="J17" s="7"/>
      <c r="K17" s="8">
        <v>20000</v>
      </c>
      <c r="L17" s="8">
        <v>20000</v>
      </c>
      <c r="M17" s="9">
        <v>0</v>
      </c>
      <c r="N17" s="74">
        <f t="shared" si="2"/>
        <v>0</v>
      </c>
      <c r="O17" s="90">
        <v>0</v>
      </c>
      <c r="P17" s="13">
        <v>0</v>
      </c>
      <c r="Q17" s="13">
        <v>0</v>
      </c>
      <c r="R17" s="100">
        <f t="shared" si="3"/>
        <v>0</v>
      </c>
      <c r="S17" s="92">
        <v>0</v>
      </c>
      <c r="T17" s="9">
        <v>0</v>
      </c>
      <c r="U17" s="9">
        <v>0</v>
      </c>
      <c r="V17" s="21">
        <f t="shared" si="4"/>
        <v>0</v>
      </c>
    </row>
    <row r="18" spans="1:22">
      <c r="A18" s="20" t="s">
        <v>24</v>
      </c>
      <c r="B18" s="6" t="s">
        <v>25</v>
      </c>
      <c r="C18" s="6" t="s">
        <v>40</v>
      </c>
      <c r="D18" s="6" t="s">
        <v>32</v>
      </c>
      <c r="E18" s="6" t="s">
        <v>28</v>
      </c>
      <c r="F18" s="12"/>
      <c r="G18" s="6" t="s">
        <v>30</v>
      </c>
      <c r="H18" s="6" t="s">
        <v>44</v>
      </c>
      <c r="I18" s="7"/>
      <c r="J18" s="7"/>
      <c r="K18" s="8">
        <v>2870947331.8099999</v>
      </c>
      <c r="L18" s="8">
        <v>2870947331.8099999</v>
      </c>
      <c r="M18" s="9">
        <v>0</v>
      </c>
      <c r="N18" s="74">
        <f t="shared" si="2"/>
        <v>0</v>
      </c>
      <c r="O18" s="91">
        <v>3024299033.4000001</v>
      </c>
      <c r="P18" s="14">
        <v>2927082394.3600001</v>
      </c>
      <c r="Q18" s="13">
        <v>0</v>
      </c>
      <c r="R18" s="101">
        <f t="shared" si="3"/>
        <v>97216639.039999962</v>
      </c>
      <c r="S18" s="93">
        <v>3142252220.79</v>
      </c>
      <c r="T18" s="8">
        <v>1962209182</v>
      </c>
      <c r="U18" s="9">
        <v>0</v>
      </c>
      <c r="V18" s="22">
        <f t="shared" si="4"/>
        <v>1180043038.79</v>
      </c>
    </row>
    <row r="19" spans="1:22">
      <c r="A19" s="20" t="s">
        <v>24</v>
      </c>
      <c r="B19" s="6" t="s">
        <v>25</v>
      </c>
      <c r="C19" s="6" t="s">
        <v>40</v>
      </c>
      <c r="D19" s="6" t="s">
        <v>32</v>
      </c>
      <c r="E19" s="6" t="s">
        <v>37</v>
      </c>
      <c r="F19" s="12"/>
      <c r="G19" s="6" t="s">
        <v>38</v>
      </c>
      <c r="H19" s="6" t="s">
        <v>44</v>
      </c>
      <c r="I19" s="7"/>
      <c r="J19" s="7"/>
      <c r="K19" s="8">
        <v>10154781.76</v>
      </c>
      <c r="L19" s="8">
        <v>8249356.1699999999</v>
      </c>
      <c r="M19" s="9">
        <v>0</v>
      </c>
      <c r="N19" s="72">
        <f t="shared" si="2"/>
        <v>1905425.5899999999</v>
      </c>
      <c r="O19" s="91">
        <v>145416</v>
      </c>
      <c r="P19" s="13">
        <v>0</v>
      </c>
      <c r="Q19" s="13">
        <v>0</v>
      </c>
      <c r="R19" s="101">
        <f t="shared" si="3"/>
        <v>145416</v>
      </c>
      <c r="S19" s="93">
        <v>145416</v>
      </c>
      <c r="T19" s="9">
        <v>0</v>
      </c>
      <c r="U19" s="9">
        <v>0</v>
      </c>
      <c r="V19" s="22">
        <f t="shared" si="4"/>
        <v>145416</v>
      </c>
    </row>
    <row r="20" spans="1:22">
      <c r="A20" s="20" t="s">
        <v>24</v>
      </c>
      <c r="B20" s="6" t="s">
        <v>25</v>
      </c>
      <c r="C20" s="6" t="s">
        <v>40</v>
      </c>
      <c r="D20" s="6" t="s">
        <v>32</v>
      </c>
      <c r="E20" s="6" t="s">
        <v>46</v>
      </c>
      <c r="F20" s="12"/>
      <c r="G20" s="12"/>
      <c r="H20" s="6" t="s">
        <v>44</v>
      </c>
      <c r="I20" s="7"/>
      <c r="J20" s="7"/>
      <c r="K20" s="8">
        <v>383157.24</v>
      </c>
      <c r="L20" s="8">
        <v>383153.31</v>
      </c>
      <c r="M20" s="9">
        <v>0</v>
      </c>
      <c r="N20" s="72">
        <f t="shared" si="2"/>
        <v>3.9299999999930151</v>
      </c>
      <c r="O20" s="90">
        <v>0</v>
      </c>
      <c r="P20" s="13">
        <v>0</v>
      </c>
      <c r="Q20" s="13">
        <v>0</v>
      </c>
      <c r="R20" s="100">
        <f t="shared" si="3"/>
        <v>0</v>
      </c>
      <c r="S20" s="99">
        <v>0</v>
      </c>
      <c r="T20" s="9">
        <v>0</v>
      </c>
      <c r="U20" s="9">
        <v>0</v>
      </c>
      <c r="V20" s="21">
        <f t="shared" si="4"/>
        <v>0</v>
      </c>
    </row>
    <row r="21" spans="1:22">
      <c r="A21" s="20" t="s">
        <v>24</v>
      </c>
      <c r="B21" s="6" t="s">
        <v>25</v>
      </c>
      <c r="C21" s="6" t="s">
        <v>40</v>
      </c>
      <c r="D21" s="6" t="s">
        <v>32</v>
      </c>
      <c r="E21" s="6" t="s">
        <v>47</v>
      </c>
      <c r="F21" s="12"/>
      <c r="G21" s="6" t="s">
        <v>48</v>
      </c>
      <c r="H21" s="6" t="s">
        <v>44</v>
      </c>
      <c r="I21" s="7"/>
      <c r="J21" s="7"/>
      <c r="K21" s="8">
        <v>28319126.120000001</v>
      </c>
      <c r="L21" s="8">
        <v>28319126.120000001</v>
      </c>
      <c r="M21" s="9">
        <v>0</v>
      </c>
      <c r="N21" s="74">
        <f t="shared" si="2"/>
        <v>0</v>
      </c>
      <c r="O21" s="90">
        <v>0</v>
      </c>
      <c r="P21" s="13">
        <v>0</v>
      </c>
      <c r="Q21" s="13">
        <v>0</v>
      </c>
      <c r="R21" s="100">
        <f t="shared" si="3"/>
        <v>0</v>
      </c>
      <c r="S21" s="92">
        <v>0</v>
      </c>
      <c r="T21" s="9">
        <v>0</v>
      </c>
      <c r="U21" s="9">
        <v>0</v>
      </c>
      <c r="V21" s="21">
        <f t="shared" si="4"/>
        <v>0</v>
      </c>
    </row>
    <row r="22" spans="1:22">
      <c r="A22" s="20" t="s">
        <v>24</v>
      </c>
      <c r="B22" s="6" t="s">
        <v>25</v>
      </c>
      <c r="C22" s="6" t="s">
        <v>40</v>
      </c>
      <c r="D22" s="6" t="s">
        <v>49</v>
      </c>
      <c r="E22" s="6" t="s">
        <v>50</v>
      </c>
      <c r="F22" s="12"/>
      <c r="G22" s="6" t="s">
        <v>51</v>
      </c>
      <c r="H22" s="6" t="s">
        <v>44</v>
      </c>
      <c r="I22" s="7"/>
      <c r="J22" s="7"/>
      <c r="K22" s="8">
        <v>27107454.039999999</v>
      </c>
      <c r="L22" s="8">
        <v>26373397.640000001</v>
      </c>
      <c r="M22" s="9">
        <v>0</v>
      </c>
      <c r="N22" s="72">
        <f t="shared" si="2"/>
        <v>734056.39999999851</v>
      </c>
      <c r="O22" s="91">
        <v>28119650.600000001</v>
      </c>
      <c r="P22" s="13">
        <v>0</v>
      </c>
      <c r="Q22" s="13">
        <v>0</v>
      </c>
      <c r="R22" s="101">
        <f t="shared" si="3"/>
        <v>28119650.600000001</v>
      </c>
      <c r="S22" s="93">
        <v>29207063.210000001</v>
      </c>
      <c r="T22" s="9">
        <v>0</v>
      </c>
      <c r="U22" s="9">
        <v>0</v>
      </c>
      <c r="V22" s="22">
        <f t="shared" si="4"/>
        <v>29207063.210000001</v>
      </c>
    </row>
    <row r="23" spans="1:22" ht="15.75" customHeight="1" thickBot="1">
      <c r="A23" s="60" t="s">
        <v>33</v>
      </c>
      <c r="B23" s="61"/>
      <c r="C23" s="61"/>
      <c r="D23" s="61"/>
      <c r="E23" s="61"/>
      <c r="F23" s="61"/>
      <c r="G23" s="61"/>
      <c r="H23" s="61"/>
      <c r="I23" s="61"/>
      <c r="J23" s="62"/>
      <c r="K23" s="23">
        <f t="shared" ref="K23:V23" si="5">SUM(K14:K22)</f>
        <v>2938026000</v>
      </c>
      <c r="L23" s="23">
        <f t="shared" si="5"/>
        <v>2935386514.0799999</v>
      </c>
      <c r="M23" s="24">
        <f t="shared" si="5"/>
        <v>0</v>
      </c>
      <c r="N23" s="87">
        <f t="shared" si="5"/>
        <v>2639485.9199999981</v>
      </c>
      <c r="O23" s="88">
        <f t="shared" si="5"/>
        <v>3052564100</v>
      </c>
      <c r="P23" s="28">
        <f t="shared" si="5"/>
        <v>2927082394.3600001</v>
      </c>
      <c r="Q23" s="29">
        <f t="shared" si="5"/>
        <v>0</v>
      </c>
      <c r="R23" s="98">
        <f t="shared" si="5"/>
        <v>125481705.63999996</v>
      </c>
      <c r="S23" s="94">
        <f t="shared" si="5"/>
        <v>3171604700</v>
      </c>
      <c r="T23" s="23">
        <f t="shared" si="5"/>
        <v>1962209182</v>
      </c>
      <c r="U23" s="24">
        <f t="shared" si="5"/>
        <v>0</v>
      </c>
      <c r="V23" s="26">
        <f t="shared" si="5"/>
        <v>1209395518</v>
      </c>
    </row>
    <row r="24" spans="1:22" ht="30" customHeight="1" thickTop="1">
      <c r="A24" s="67" t="s">
        <v>52</v>
      </c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9"/>
    </row>
    <row r="25" spans="1:22">
      <c r="A25" s="20" t="s">
        <v>24</v>
      </c>
      <c r="B25" s="6" t="s">
        <v>25</v>
      </c>
      <c r="C25" s="6" t="s">
        <v>53</v>
      </c>
      <c r="D25" s="6" t="s">
        <v>32</v>
      </c>
      <c r="E25" s="6" t="s">
        <v>37</v>
      </c>
      <c r="F25" s="12"/>
      <c r="G25" s="6" t="s">
        <v>54</v>
      </c>
      <c r="H25" s="6" t="s">
        <v>55</v>
      </c>
      <c r="I25" s="7"/>
      <c r="J25" s="7"/>
      <c r="K25" s="8">
        <v>10937576.52</v>
      </c>
      <c r="L25" s="8">
        <v>10404666.720000001</v>
      </c>
      <c r="M25" s="9">
        <v>0</v>
      </c>
      <c r="N25" s="72">
        <f>K25-L25-M25</f>
        <v>532909.79999999888</v>
      </c>
      <c r="O25" s="85">
        <v>16100000</v>
      </c>
      <c r="P25" s="11">
        <v>12960000</v>
      </c>
      <c r="Q25" s="10">
        <v>0</v>
      </c>
      <c r="R25" s="96">
        <f>O25-P25-Q25</f>
        <v>3140000</v>
      </c>
      <c r="S25" s="93">
        <v>13500000</v>
      </c>
      <c r="T25" s="8">
        <v>10800000</v>
      </c>
      <c r="U25" s="9">
        <v>0</v>
      </c>
      <c r="V25" s="22">
        <f>S25-T25-U25</f>
        <v>2700000</v>
      </c>
    </row>
    <row r="26" spans="1:22">
      <c r="A26" s="20" t="s">
        <v>24</v>
      </c>
      <c r="B26" s="6" t="s">
        <v>25</v>
      </c>
      <c r="C26" s="6" t="s">
        <v>53</v>
      </c>
      <c r="D26" s="6" t="s">
        <v>32</v>
      </c>
      <c r="E26" s="6" t="s">
        <v>28</v>
      </c>
      <c r="F26" s="12"/>
      <c r="G26" s="6" t="s">
        <v>45</v>
      </c>
      <c r="H26" s="6" t="s">
        <v>55</v>
      </c>
      <c r="I26" s="7"/>
      <c r="J26" s="7"/>
      <c r="K26" s="8">
        <v>4384203.3</v>
      </c>
      <c r="L26" s="8">
        <v>3675603.3</v>
      </c>
      <c r="M26" s="9">
        <v>0</v>
      </c>
      <c r="N26" s="72">
        <f>K26-L26-M26</f>
        <v>708600</v>
      </c>
      <c r="O26" s="85">
        <v>6480000</v>
      </c>
      <c r="P26" s="11">
        <v>3645600</v>
      </c>
      <c r="Q26" s="10">
        <v>0</v>
      </c>
      <c r="R26" s="96">
        <f>O26-P26-Q26</f>
        <v>2834400</v>
      </c>
      <c r="S26" s="93">
        <v>5000000</v>
      </c>
      <c r="T26" s="8">
        <v>2734200</v>
      </c>
      <c r="U26" s="9">
        <v>0</v>
      </c>
      <c r="V26" s="22">
        <f>S26-T26-U26</f>
        <v>2265800</v>
      </c>
    </row>
    <row r="27" spans="1:22">
      <c r="A27" s="20" t="s">
        <v>24</v>
      </c>
      <c r="B27" s="6" t="s">
        <v>25</v>
      </c>
      <c r="C27" s="6" t="s">
        <v>53</v>
      </c>
      <c r="D27" s="6" t="s">
        <v>32</v>
      </c>
      <c r="E27" s="6" t="s">
        <v>37</v>
      </c>
      <c r="F27" s="12"/>
      <c r="G27" s="6" t="s">
        <v>38</v>
      </c>
      <c r="H27" s="6" t="s">
        <v>55</v>
      </c>
      <c r="I27" s="7"/>
      <c r="J27" s="7"/>
      <c r="K27" s="8">
        <v>295000</v>
      </c>
      <c r="L27" s="8">
        <v>295000</v>
      </c>
      <c r="M27" s="9">
        <v>0</v>
      </c>
      <c r="N27" s="74">
        <f>K27-L27-M27</f>
        <v>0</v>
      </c>
      <c r="O27" s="84">
        <v>0</v>
      </c>
      <c r="P27" s="10">
        <v>0</v>
      </c>
      <c r="Q27" s="10">
        <v>0</v>
      </c>
      <c r="R27" s="95">
        <f>O27-P27-Q27</f>
        <v>0</v>
      </c>
      <c r="S27" s="92">
        <v>0</v>
      </c>
      <c r="T27" s="9">
        <v>0</v>
      </c>
      <c r="U27" s="9">
        <v>0</v>
      </c>
      <c r="V27" s="21">
        <f>S27-T27-U27</f>
        <v>0</v>
      </c>
    </row>
    <row r="28" spans="1:22">
      <c r="A28" s="20" t="s">
        <v>24</v>
      </c>
      <c r="B28" s="6" t="s">
        <v>25</v>
      </c>
      <c r="C28" s="6" t="s">
        <v>53</v>
      </c>
      <c r="D28" s="6" t="s">
        <v>32</v>
      </c>
      <c r="E28" s="6" t="s">
        <v>46</v>
      </c>
      <c r="F28" s="12"/>
      <c r="G28" s="12"/>
      <c r="H28" s="6" t="s">
        <v>55</v>
      </c>
      <c r="I28" s="7"/>
      <c r="J28" s="7"/>
      <c r="K28" s="8">
        <v>4762520.18</v>
      </c>
      <c r="L28" s="8">
        <v>4762520.18</v>
      </c>
      <c r="M28" s="9">
        <v>0</v>
      </c>
      <c r="N28" s="74">
        <f>K28-L28-M28</f>
        <v>0</v>
      </c>
      <c r="O28" s="85">
        <v>5270000</v>
      </c>
      <c r="P28" s="10">
        <v>0</v>
      </c>
      <c r="Q28" s="10">
        <v>0</v>
      </c>
      <c r="R28" s="96">
        <f>O28-P28-Q28</f>
        <v>5270000</v>
      </c>
      <c r="S28" s="92">
        <v>0</v>
      </c>
      <c r="T28" s="9">
        <v>0</v>
      </c>
      <c r="U28" s="9">
        <v>0</v>
      </c>
      <c r="V28" s="21">
        <f>S28-T28-U28</f>
        <v>0</v>
      </c>
    </row>
    <row r="29" spans="1:22">
      <c r="A29" s="20" t="s">
        <v>24</v>
      </c>
      <c r="B29" s="6" t="s">
        <v>25</v>
      </c>
      <c r="C29" s="6" t="s">
        <v>53</v>
      </c>
      <c r="D29" s="6" t="s">
        <v>32</v>
      </c>
      <c r="E29" s="6" t="s">
        <v>47</v>
      </c>
      <c r="F29" s="12"/>
      <c r="G29" s="6" t="s">
        <v>48</v>
      </c>
      <c r="H29" s="6" t="s">
        <v>55</v>
      </c>
      <c r="I29" s="7"/>
      <c r="J29" s="7"/>
      <c r="K29" s="8">
        <v>38853200</v>
      </c>
      <c r="L29" s="8">
        <v>33364503.68</v>
      </c>
      <c r="M29" s="9">
        <v>0</v>
      </c>
      <c r="N29" s="72">
        <f>K29-L29-M29</f>
        <v>5488696.3200000003</v>
      </c>
      <c r="O29" s="85">
        <v>47711000</v>
      </c>
      <c r="P29" s="11">
        <v>41453563.549999997</v>
      </c>
      <c r="Q29" s="10">
        <v>0</v>
      </c>
      <c r="R29" s="96">
        <f>O29-P29-Q29</f>
        <v>6257436.450000003</v>
      </c>
      <c r="S29" s="93">
        <v>71865300</v>
      </c>
      <c r="T29" s="8">
        <v>23087411.960000001</v>
      </c>
      <c r="U29" s="9">
        <v>0</v>
      </c>
      <c r="V29" s="22">
        <f>S29-T29-U29</f>
        <v>48777888.039999999</v>
      </c>
    </row>
    <row r="30" spans="1:22" ht="15.75" customHeight="1" thickBot="1">
      <c r="A30" s="60" t="s">
        <v>33</v>
      </c>
      <c r="B30" s="61"/>
      <c r="C30" s="61"/>
      <c r="D30" s="61"/>
      <c r="E30" s="61"/>
      <c r="F30" s="61"/>
      <c r="G30" s="61"/>
      <c r="H30" s="61"/>
      <c r="I30" s="61"/>
      <c r="J30" s="62"/>
      <c r="K30" s="23">
        <f t="shared" ref="K30:V30" si="6">SUM(K25:K29)</f>
        <v>59232500</v>
      </c>
      <c r="L30" s="23">
        <f t="shared" si="6"/>
        <v>52502293.879999995</v>
      </c>
      <c r="M30" s="23">
        <f t="shared" si="6"/>
        <v>0</v>
      </c>
      <c r="N30" s="87">
        <f t="shared" si="6"/>
        <v>6730206.1199999992</v>
      </c>
      <c r="O30" s="86">
        <f t="shared" si="6"/>
        <v>75561000</v>
      </c>
      <c r="P30" s="25">
        <f t="shared" si="6"/>
        <v>58059163.549999997</v>
      </c>
      <c r="Q30" s="25">
        <f t="shared" si="6"/>
        <v>0</v>
      </c>
      <c r="R30" s="97">
        <f t="shared" si="6"/>
        <v>17501836.450000003</v>
      </c>
      <c r="S30" s="94">
        <f t="shared" si="6"/>
        <v>90365300</v>
      </c>
      <c r="T30" s="23">
        <f t="shared" si="6"/>
        <v>36621611.960000001</v>
      </c>
      <c r="U30" s="23">
        <f t="shared" si="6"/>
        <v>0</v>
      </c>
      <c r="V30" s="26">
        <f t="shared" si="6"/>
        <v>53743688.039999999</v>
      </c>
    </row>
    <row r="31" spans="1:22" ht="30" customHeight="1" thickTop="1" thickBot="1">
      <c r="A31" s="63" t="s">
        <v>56</v>
      </c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5"/>
    </row>
    <row r="32" spans="1:22" ht="20.100000000000001" customHeight="1">
      <c r="A32" s="57" t="s">
        <v>57</v>
      </c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9"/>
    </row>
    <row r="33" spans="1:22">
      <c r="A33" s="31" t="s">
        <v>24</v>
      </c>
      <c r="B33" s="15" t="s">
        <v>25</v>
      </c>
      <c r="C33" s="15" t="s">
        <v>58</v>
      </c>
      <c r="D33" s="15" t="s">
        <v>59</v>
      </c>
      <c r="E33" s="15" t="s">
        <v>46</v>
      </c>
      <c r="F33" s="16"/>
      <c r="G33" s="15" t="s">
        <v>60</v>
      </c>
      <c r="H33" s="15" t="s">
        <v>61</v>
      </c>
      <c r="I33" s="16" t="s">
        <v>62</v>
      </c>
      <c r="J33" s="17"/>
      <c r="K33" s="9">
        <v>0</v>
      </c>
      <c r="L33" s="19">
        <v>25461000</v>
      </c>
      <c r="M33" s="9">
        <v>0</v>
      </c>
      <c r="N33" s="75">
        <f>K33-L33-M33</f>
        <v>-25461000</v>
      </c>
      <c r="O33" s="70">
        <v>0</v>
      </c>
      <c r="P33" s="18">
        <v>0</v>
      </c>
      <c r="Q33" s="18">
        <v>0</v>
      </c>
      <c r="R33" s="102">
        <f>O33-P33-Q33</f>
        <v>0</v>
      </c>
      <c r="S33" s="92">
        <v>0</v>
      </c>
      <c r="T33" s="9">
        <v>0</v>
      </c>
      <c r="U33" s="9">
        <v>0</v>
      </c>
      <c r="V33" s="32">
        <f>S33-T33-U33</f>
        <v>0</v>
      </c>
    </row>
    <row r="34" spans="1:22" ht="15.75" customHeight="1" thickBot="1">
      <c r="A34" s="54" t="s">
        <v>33</v>
      </c>
      <c r="B34" s="55"/>
      <c r="C34" s="55"/>
      <c r="D34" s="55"/>
      <c r="E34" s="55"/>
      <c r="F34" s="55"/>
      <c r="G34" s="55"/>
      <c r="H34" s="55"/>
      <c r="I34" s="55"/>
      <c r="J34" s="56"/>
      <c r="K34" s="33">
        <f t="shared" ref="K34:V34" si="7">SUM(K33)</f>
        <v>0</v>
      </c>
      <c r="L34" s="34">
        <f t="shared" si="7"/>
        <v>25461000</v>
      </c>
      <c r="M34" s="33">
        <f t="shared" si="7"/>
        <v>0</v>
      </c>
      <c r="N34" s="76">
        <f t="shared" si="7"/>
        <v>-25461000</v>
      </c>
      <c r="O34" s="71">
        <f t="shared" si="7"/>
        <v>0</v>
      </c>
      <c r="P34" s="35">
        <f t="shared" si="7"/>
        <v>0</v>
      </c>
      <c r="Q34" s="35">
        <f t="shared" si="7"/>
        <v>0</v>
      </c>
      <c r="R34" s="103">
        <f t="shared" si="7"/>
        <v>0</v>
      </c>
      <c r="S34" s="77">
        <f t="shared" si="7"/>
        <v>0</v>
      </c>
      <c r="T34" s="33">
        <f t="shared" si="7"/>
        <v>0</v>
      </c>
      <c r="U34" s="33">
        <f t="shared" si="7"/>
        <v>0</v>
      </c>
      <c r="V34" s="36">
        <f t="shared" si="7"/>
        <v>0</v>
      </c>
    </row>
    <row r="35" spans="1:22" ht="20.100000000000001" customHeight="1">
      <c r="A35" s="57" t="s">
        <v>63</v>
      </c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9"/>
    </row>
    <row r="36" spans="1:22">
      <c r="A36" s="31" t="s">
        <v>24</v>
      </c>
      <c r="B36" s="15" t="s">
        <v>25</v>
      </c>
      <c r="C36" s="15" t="s">
        <v>26</v>
      </c>
      <c r="D36" s="15" t="s">
        <v>59</v>
      </c>
      <c r="E36" s="15" t="s">
        <v>46</v>
      </c>
      <c r="F36" s="16" t="s">
        <v>64</v>
      </c>
      <c r="G36" s="15" t="s">
        <v>65</v>
      </c>
      <c r="H36" s="15" t="s">
        <v>66</v>
      </c>
      <c r="I36" s="16" t="s">
        <v>67</v>
      </c>
      <c r="J36" s="17"/>
      <c r="K36" s="19">
        <v>144924174.97</v>
      </c>
      <c r="L36" s="19">
        <v>144924174.97</v>
      </c>
      <c r="M36" s="9">
        <v>0</v>
      </c>
      <c r="N36" s="74">
        <f>K36-L36-M36</f>
        <v>0</v>
      </c>
      <c r="O36" s="78">
        <v>64482970.049999997</v>
      </c>
      <c r="P36" s="30">
        <v>64482970.049999997</v>
      </c>
      <c r="Q36" s="18">
        <v>0</v>
      </c>
      <c r="R36" s="102">
        <f>O36-P36-Q36</f>
        <v>0</v>
      </c>
      <c r="S36" s="92">
        <v>0</v>
      </c>
      <c r="T36" s="9">
        <v>0</v>
      </c>
      <c r="U36" s="9">
        <v>0</v>
      </c>
      <c r="V36" s="32">
        <f>S36-T36-U36</f>
        <v>0</v>
      </c>
    </row>
    <row r="37" spans="1:22">
      <c r="A37" s="31" t="s">
        <v>24</v>
      </c>
      <c r="B37" s="15" t="s">
        <v>25</v>
      </c>
      <c r="C37" s="15" t="s">
        <v>26</v>
      </c>
      <c r="D37" s="15" t="s">
        <v>59</v>
      </c>
      <c r="E37" s="15" t="s">
        <v>47</v>
      </c>
      <c r="F37" s="16" t="s">
        <v>64</v>
      </c>
      <c r="G37" s="15" t="s">
        <v>65</v>
      </c>
      <c r="H37" s="15" t="s">
        <v>66</v>
      </c>
      <c r="I37" s="16" t="s">
        <v>67</v>
      </c>
      <c r="J37" s="17"/>
      <c r="K37" s="19">
        <v>4351570425.0299997</v>
      </c>
      <c r="L37" s="19">
        <v>4351570425.0299997</v>
      </c>
      <c r="M37" s="9">
        <v>0</v>
      </c>
      <c r="N37" s="74">
        <f>K37-L37-M37</f>
        <v>0</v>
      </c>
      <c r="O37" s="78">
        <v>7376354629.9499998</v>
      </c>
      <c r="P37" s="30">
        <v>5253879540.3100004</v>
      </c>
      <c r="Q37" s="18">
        <v>0</v>
      </c>
      <c r="R37" s="104">
        <f>O37-P37-Q37</f>
        <v>2122475089.6399994</v>
      </c>
      <c r="S37" s="92">
        <v>0</v>
      </c>
      <c r="T37" s="9">
        <v>0</v>
      </c>
      <c r="U37" s="9">
        <v>0</v>
      </c>
      <c r="V37" s="32">
        <f>S37-T37-U37</f>
        <v>0</v>
      </c>
    </row>
    <row r="38" spans="1:22" ht="15.75" customHeight="1" thickBot="1">
      <c r="A38" s="54" t="s">
        <v>33</v>
      </c>
      <c r="B38" s="55"/>
      <c r="C38" s="55"/>
      <c r="D38" s="55"/>
      <c r="E38" s="55"/>
      <c r="F38" s="55"/>
      <c r="G38" s="55"/>
      <c r="H38" s="55"/>
      <c r="I38" s="55"/>
      <c r="J38" s="56"/>
      <c r="K38" s="34">
        <f t="shared" ref="K38:V38" si="8">SUM(K36:K37)</f>
        <v>4496494600</v>
      </c>
      <c r="L38" s="34">
        <f t="shared" si="8"/>
        <v>4496494600</v>
      </c>
      <c r="M38" s="33">
        <f t="shared" si="8"/>
        <v>0</v>
      </c>
      <c r="N38" s="80">
        <f t="shared" si="8"/>
        <v>0</v>
      </c>
      <c r="O38" s="79">
        <f t="shared" si="8"/>
        <v>7440837600</v>
      </c>
      <c r="P38" s="37">
        <f t="shared" si="8"/>
        <v>5318362510.3600006</v>
      </c>
      <c r="Q38" s="35">
        <f t="shared" si="8"/>
        <v>0</v>
      </c>
      <c r="R38" s="105">
        <f t="shared" si="8"/>
        <v>2122475089.6399994</v>
      </c>
      <c r="S38" s="77">
        <f t="shared" si="8"/>
        <v>0</v>
      </c>
      <c r="T38" s="33">
        <f t="shared" si="8"/>
        <v>0</v>
      </c>
      <c r="U38" s="33">
        <f t="shared" si="8"/>
        <v>0</v>
      </c>
      <c r="V38" s="36">
        <f t="shared" si="8"/>
        <v>0</v>
      </c>
    </row>
    <row r="39" spans="1:22" ht="20.100000000000001" customHeight="1">
      <c r="A39" s="57" t="s">
        <v>68</v>
      </c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9"/>
    </row>
    <row r="40" spans="1:22">
      <c r="A40" s="31" t="s">
        <v>24</v>
      </c>
      <c r="B40" s="15" t="s">
        <v>25</v>
      </c>
      <c r="C40" s="15" t="s">
        <v>69</v>
      </c>
      <c r="D40" s="15" t="s">
        <v>59</v>
      </c>
      <c r="E40" s="15" t="s">
        <v>47</v>
      </c>
      <c r="F40" s="16"/>
      <c r="G40" s="15" t="s">
        <v>65</v>
      </c>
      <c r="H40" s="15" t="s">
        <v>70</v>
      </c>
      <c r="I40" s="16" t="s">
        <v>71</v>
      </c>
      <c r="J40" s="17"/>
      <c r="K40" s="19">
        <v>4201400</v>
      </c>
      <c r="L40" s="19">
        <v>4201346</v>
      </c>
      <c r="M40" s="9">
        <v>0</v>
      </c>
      <c r="N40" s="72">
        <f>K40-L40-M40</f>
        <v>54</v>
      </c>
      <c r="O40" s="70">
        <v>0</v>
      </c>
      <c r="P40" s="18">
        <v>0</v>
      </c>
      <c r="Q40" s="18">
        <v>0</v>
      </c>
      <c r="R40" s="102">
        <f>O40-P40-Q40</f>
        <v>0</v>
      </c>
      <c r="S40" s="92">
        <v>0</v>
      </c>
      <c r="T40" s="9">
        <v>0</v>
      </c>
      <c r="U40" s="9">
        <v>0</v>
      </c>
      <c r="V40" s="32">
        <f>S40-T40-U40</f>
        <v>0</v>
      </c>
    </row>
    <row r="41" spans="1:22" ht="15.75" customHeight="1" thickBot="1">
      <c r="A41" s="54" t="s">
        <v>33</v>
      </c>
      <c r="B41" s="55"/>
      <c r="C41" s="55"/>
      <c r="D41" s="55"/>
      <c r="E41" s="55"/>
      <c r="F41" s="55"/>
      <c r="G41" s="55"/>
      <c r="H41" s="55"/>
      <c r="I41" s="55"/>
      <c r="J41" s="56"/>
      <c r="K41" s="34">
        <f t="shared" ref="K41:V41" si="9">SUM(K40)</f>
        <v>4201400</v>
      </c>
      <c r="L41" s="34">
        <f t="shared" si="9"/>
        <v>4201346</v>
      </c>
      <c r="M41" s="33">
        <f t="shared" si="9"/>
        <v>0</v>
      </c>
      <c r="N41" s="73">
        <f t="shared" si="9"/>
        <v>54</v>
      </c>
      <c r="O41" s="71">
        <f t="shared" si="9"/>
        <v>0</v>
      </c>
      <c r="P41" s="35">
        <f t="shared" si="9"/>
        <v>0</v>
      </c>
      <c r="Q41" s="35">
        <f t="shared" si="9"/>
        <v>0</v>
      </c>
      <c r="R41" s="103">
        <f t="shared" si="9"/>
        <v>0</v>
      </c>
      <c r="S41" s="77">
        <f t="shared" si="9"/>
        <v>0</v>
      </c>
      <c r="T41" s="33">
        <f t="shared" si="9"/>
        <v>0</v>
      </c>
      <c r="U41" s="33">
        <f t="shared" si="9"/>
        <v>0</v>
      </c>
      <c r="V41" s="36">
        <f t="shared" si="9"/>
        <v>0</v>
      </c>
    </row>
    <row r="42" spans="1:22" ht="20.100000000000001" customHeight="1">
      <c r="A42" s="57" t="s">
        <v>72</v>
      </c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9"/>
    </row>
    <row r="43" spans="1:22">
      <c r="A43" s="31" t="s">
        <v>24</v>
      </c>
      <c r="B43" s="15" t="s">
        <v>25</v>
      </c>
      <c r="C43" s="15" t="s">
        <v>73</v>
      </c>
      <c r="D43" s="15" t="s">
        <v>59</v>
      </c>
      <c r="E43" s="15" t="s">
        <v>46</v>
      </c>
      <c r="F43" s="16"/>
      <c r="G43" s="15" t="s">
        <v>60</v>
      </c>
      <c r="H43" s="15" t="s">
        <v>74</v>
      </c>
      <c r="I43" s="16" t="s">
        <v>75</v>
      </c>
      <c r="J43" s="17"/>
      <c r="K43" s="19">
        <v>11452700</v>
      </c>
      <c r="L43" s="19">
        <v>11452613.699999999</v>
      </c>
      <c r="M43" s="9">
        <v>0</v>
      </c>
      <c r="N43" s="72">
        <f>K43-L43-M43</f>
        <v>86.300000000745058</v>
      </c>
      <c r="O43" s="70">
        <v>0</v>
      </c>
      <c r="P43" s="18">
        <v>0</v>
      </c>
      <c r="Q43" s="18">
        <v>0</v>
      </c>
      <c r="R43" s="102">
        <f>O43-P43-Q43</f>
        <v>0</v>
      </c>
      <c r="S43" s="92">
        <v>0</v>
      </c>
      <c r="T43" s="9">
        <v>0</v>
      </c>
      <c r="U43" s="9">
        <v>0</v>
      </c>
      <c r="V43" s="32">
        <f>S43-T43-U43</f>
        <v>0</v>
      </c>
    </row>
    <row r="44" spans="1:22">
      <c r="A44" s="31" t="s">
        <v>24</v>
      </c>
      <c r="B44" s="15" t="s">
        <v>25</v>
      </c>
      <c r="C44" s="15" t="s">
        <v>73</v>
      </c>
      <c r="D44" s="15" t="s">
        <v>59</v>
      </c>
      <c r="E44" s="15" t="s">
        <v>46</v>
      </c>
      <c r="F44" s="16"/>
      <c r="G44" s="15" t="s">
        <v>65</v>
      </c>
      <c r="H44" s="15" t="s">
        <v>74</v>
      </c>
      <c r="I44" s="16" t="s">
        <v>75</v>
      </c>
      <c r="J44" s="17"/>
      <c r="K44" s="19">
        <v>2505900</v>
      </c>
      <c r="L44" s="19">
        <v>2505900</v>
      </c>
      <c r="M44" s="9">
        <v>0</v>
      </c>
      <c r="N44" s="74">
        <f>K44-L44-M44</f>
        <v>0</v>
      </c>
      <c r="O44" s="70">
        <v>0</v>
      </c>
      <c r="P44" s="18">
        <v>0</v>
      </c>
      <c r="Q44" s="18">
        <v>0</v>
      </c>
      <c r="R44" s="102">
        <f>O44-P44-Q44</f>
        <v>0</v>
      </c>
      <c r="S44" s="92">
        <v>0</v>
      </c>
      <c r="T44" s="9">
        <v>0</v>
      </c>
      <c r="U44" s="9">
        <v>0</v>
      </c>
      <c r="V44" s="32">
        <f>S44-T44-U44</f>
        <v>0</v>
      </c>
    </row>
    <row r="45" spans="1:22">
      <c r="A45" s="31" t="s">
        <v>24</v>
      </c>
      <c r="B45" s="15" t="s">
        <v>25</v>
      </c>
      <c r="C45" s="15" t="s">
        <v>73</v>
      </c>
      <c r="D45" s="15" t="s">
        <v>59</v>
      </c>
      <c r="E45" s="15" t="s">
        <v>47</v>
      </c>
      <c r="F45" s="16"/>
      <c r="G45" s="15" t="s">
        <v>65</v>
      </c>
      <c r="H45" s="15" t="s">
        <v>74</v>
      </c>
      <c r="I45" s="16" t="s">
        <v>75</v>
      </c>
      <c r="J45" s="17"/>
      <c r="K45" s="19">
        <v>1275369800</v>
      </c>
      <c r="L45" s="19">
        <v>1271101606.5899999</v>
      </c>
      <c r="M45" s="9">
        <v>0</v>
      </c>
      <c r="N45" s="72">
        <f>K45-L45-M45</f>
        <v>4268193.4100000858</v>
      </c>
      <c r="O45" s="70">
        <v>0</v>
      </c>
      <c r="P45" s="18">
        <v>0</v>
      </c>
      <c r="Q45" s="18">
        <v>0</v>
      </c>
      <c r="R45" s="102">
        <f>O45-P45-Q45</f>
        <v>0</v>
      </c>
      <c r="S45" s="92">
        <v>0</v>
      </c>
      <c r="T45" s="9">
        <v>0</v>
      </c>
      <c r="U45" s="9">
        <v>0</v>
      </c>
      <c r="V45" s="32">
        <f>S45-T45-U45</f>
        <v>0</v>
      </c>
    </row>
    <row r="46" spans="1:22" ht="15.75" customHeight="1" thickBot="1">
      <c r="A46" s="54" t="s">
        <v>33</v>
      </c>
      <c r="B46" s="55"/>
      <c r="C46" s="55"/>
      <c r="D46" s="55"/>
      <c r="E46" s="55"/>
      <c r="F46" s="55"/>
      <c r="G46" s="55"/>
      <c r="H46" s="55"/>
      <c r="I46" s="55"/>
      <c r="J46" s="56"/>
      <c r="K46" s="34">
        <f t="shared" ref="K46:V46" si="10">SUM(K43:K45)</f>
        <v>1289328400</v>
      </c>
      <c r="L46" s="34">
        <f t="shared" si="10"/>
        <v>1285060120.29</v>
      </c>
      <c r="M46" s="33">
        <f t="shared" si="10"/>
        <v>0</v>
      </c>
      <c r="N46" s="73">
        <f t="shared" si="10"/>
        <v>4268279.7100000866</v>
      </c>
      <c r="O46" s="71">
        <f t="shared" si="10"/>
        <v>0</v>
      </c>
      <c r="P46" s="35">
        <f t="shared" si="10"/>
        <v>0</v>
      </c>
      <c r="Q46" s="35">
        <f t="shared" si="10"/>
        <v>0</v>
      </c>
      <c r="R46" s="103">
        <f t="shared" si="10"/>
        <v>0</v>
      </c>
      <c r="S46" s="77">
        <f t="shared" si="10"/>
        <v>0</v>
      </c>
      <c r="T46" s="33">
        <f t="shared" si="10"/>
        <v>0</v>
      </c>
      <c r="U46" s="33">
        <f t="shared" si="10"/>
        <v>0</v>
      </c>
      <c r="V46" s="36">
        <f t="shared" si="10"/>
        <v>0</v>
      </c>
    </row>
    <row r="47" spans="1:22" ht="20.100000000000001" customHeight="1">
      <c r="A47" s="57" t="s">
        <v>76</v>
      </c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9"/>
    </row>
    <row r="48" spans="1:22">
      <c r="A48" s="31" t="s">
        <v>24</v>
      </c>
      <c r="B48" s="15" t="s">
        <v>25</v>
      </c>
      <c r="C48" s="15" t="s">
        <v>77</v>
      </c>
      <c r="D48" s="15" t="s">
        <v>59</v>
      </c>
      <c r="E48" s="15" t="s">
        <v>46</v>
      </c>
      <c r="F48" s="16" t="s">
        <v>78</v>
      </c>
      <c r="G48" s="15" t="s">
        <v>65</v>
      </c>
      <c r="H48" s="15" t="s">
        <v>79</v>
      </c>
      <c r="I48" s="16" t="s">
        <v>80</v>
      </c>
      <c r="J48" s="17"/>
      <c r="K48" s="9">
        <v>0</v>
      </c>
      <c r="L48" s="19">
        <v>3316134.94</v>
      </c>
      <c r="M48" s="9">
        <v>0</v>
      </c>
      <c r="N48" s="75">
        <f>K48-L48-M48</f>
        <v>-3316134.94</v>
      </c>
      <c r="O48" s="70">
        <v>0</v>
      </c>
      <c r="P48" s="18">
        <v>0</v>
      </c>
      <c r="Q48" s="18">
        <v>0</v>
      </c>
      <c r="R48" s="102">
        <f>O48-P48-Q48</f>
        <v>0</v>
      </c>
      <c r="S48" s="92">
        <v>0</v>
      </c>
      <c r="T48" s="9">
        <v>0</v>
      </c>
      <c r="U48" s="9">
        <v>0</v>
      </c>
      <c r="V48" s="32">
        <f>S48-T48-U48</f>
        <v>0</v>
      </c>
    </row>
    <row r="49" spans="1:22" ht="15" customHeight="1">
      <c r="A49" s="31" t="s">
        <v>24</v>
      </c>
      <c r="B49" s="15" t="s">
        <v>25</v>
      </c>
      <c r="C49" s="15" t="s">
        <v>77</v>
      </c>
      <c r="D49" s="15" t="s">
        <v>59</v>
      </c>
      <c r="E49" s="15" t="s">
        <v>47</v>
      </c>
      <c r="F49" s="16" t="s">
        <v>78</v>
      </c>
      <c r="G49" s="15" t="s">
        <v>65</v>
      </c>
      <c r="H49" s="15" t="s">
        <v>79</v>
      </c>
      <c r="I49" s="16" t="s">
        <v>80</v>
      </c>
      <c r="J49" s="17"/>
      <c r="K49" s="9">
        <v>0</v>
      </c>
      <c r="L49" s="19">
        <v>239631088.59999999</v>
      </c>
      <c r="M49" s="9">
        <v>0</v>
      </c>
      <c r="N49" s="75">
        <f>K49-L49-M49</f>
        <v>-239631088.59999999</v>
      </c>
      <c r="O49" s="70">
        <v>0</v>
      </c>
      <c r="P49" s="18">
        <v>0</v>
      </c>
      <c r="Q49" s="18">
        <v>0</v>
      </c>
      <c r="R49" s="102">
        <f>O49-P49-Q49</f>
        <v>0</v>
      </c>
      <c r="S49" s="92">
        <v>0</v>
      </c>
      <c r="T49" s="9">
        <v>0</v>
      </c>
      <c r="U49" s="9">
        <v>0</v>
      </c>
      <c r="V49" s="32">
        <f>S49-T49-U49</f>
        <v>0</v>
      </c>
    </row>
    <row r="50" spans="1:22" ht="15" customHeight="1" thickBot="1">
      <c r="A50" s="54" t="s">
        <v>33</v>
      </c>
      <c r="B50" s="55"/>
      <c r="C50" s="55"/>
      <c r="D50" s="55"/>
      <c r="E50" s="55"/>
      <c r="F50" s="55"/>
      <c r="G50" s="55"/>
      <c r="H50" s="55"/>
      <c r="I50" s="55"/>
      <c r="J50" s="56"/>
      <c r="K50" s="33">
        <f t="shared" ref="K50:V50" si="11">SUM(K48:K49)</f>
        <v>0</v>
      </c>
      <c r="L50" s="34">
        <f t="shared" si="11"/>
        <v>242947223.53999999</v>
      </c>
      <c r="M50" s="33">
        <f t="shared" si="11"/>
        <v>0</v>
      </c>
      <c r="N50" s="76">
        <f t="shared" si="11"/>
        <v>-242947223.53999999</v>
      </c>
      <c r="O50" s="71">
        <f t="shared" si="11"/>
        <v>0</v>
      </c>
      <c r="P50" s="35">
        <f t="shared" si="11"/>
        <v>0</v>
      </c>
      <c r="Q50" s="35">
        <f t="shared" si="11"/>
        <v>0</v>
      </c>
      <c r="R50" s="103">
        <f t="shared" si="11"/>
        <v>0</v>
      </c>
      <c r="S50" s="77">
        <f t="shared" si="11"/>
        <v>0</v>
      </c>
      <c r="T50" s="33">
        <f t="shared" si="11"/>
        <v>0</v>
      </c>
      <c r="U50" s="33">
        <f t="shared" si="11"/>
        <v>0</v>
      </c>
      <c r="V50" s="36">
        <f t="shared" si="11"/>
        <v>0</v>
      </c>
    </row>
    <row r="51" spans="1:22" ht="20.100000000000001" customHeight="1">
      <c r="A51" s="57" t="s">
        <v>81</v>
      </c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9"/>
    </row>
    <row r="52" spans="1:22" ht="15" customHeight="1">
      <c r="A52" s="31" t="s">
        <v>24</v>
      </c>
      <c r="B52" s="15" t="s">
        <v>82</v>
      </c>
      <c r="C52" s="15" t="s">
        <v>83</v>
      </c>
      <c r="D52" s="15" t="s">
        <v>59</v>
      </c>
      <c r="E52" s="15" t="s">
        <v>46</v>
      </c>
      <c r="F52" s="16"/>
      <c r="G52" s="15" t="s">
        <v>65</v>
      </c>
      <c r="H52" s="15" t="s">
        <v>84</v>
      </c>
      <c r="I52" s="16" t="s">
        <v>85</v>
      </c>
      <c r="J52" s="17"/>
      <c r="K52" s="19">
        <v>789929.58</v>
      </c>
      <c r="L52" s="19">
        <v>789929.58</v>
      </c>
      <c r="M52" s="9">
        <v>0</v>
      </c>
      <c r="N52" s="74">
        <f>K52-L52-M52</f>
        <v>0</v>
      </c>
      <c r="O52" s="70">
        <v>0</v>
      </c>
      <c r="P52" s="18">
        <v>0</v>
      </c>
      <c r="Q52" s="18">
        <v>0</v>
      </c>
      <c r="R52" s="102">
        <f>O52-P52-Q52</f>
        <v>0</v>
      </c>
      <c r="S52" s="92">
        <v>0</v>
      </c>
      <c r="T52" s="9">
        <v>0</v>
      </c>
      <c r="U52" s="9">
        <v>0</v>
      </c>
      <c r="V52" s="32">
        <f>S52-T52-U52</f>
        <v>0</v>
      </c>
    </row>
    <row r="53" spans="1:22" ht="15" customHeight="1">
      <c r="A53" s="31" t="s">
        <v>24</v>
      </c>
      <c r="B53" s="15" t="s">
        <v>82</v>
      </c>
      <c r="C53" s="15" t="s">
        <v>83</v>
      </c>
      <c r="D53" s="15" t="s">
        <v>59</v>
      </c>
      <c r="E53" s="15" t="s">
        <v>47</v>
      </c>
      <c r="F53" s="16"/>
      <c r="G53" s="15" t="s">
        <v>65</v>
      </c>
      <c r="H53" s="15" t="s">
        <v>84</v>
      </c>
      <c r="I53" s="16" t="s">
        <v>85</v>
      </c>
      <c r="J53" s="17"/>
      <c r="K53" s="19">
        <v>85136670.420000002</v>
      </c>
      <c r="L53" s="19">
        <v>83469909.230000004</v>
      </c>
      <c r="M53" s="9">
        <v>0</v>
      </c>
      <c r="N53" s="72">
        <f>K53-L53-M53</f>
        <v>1666761.1899999976</v>
      </c>
      <c r="O53" s="70">
        <v>0</v>
      </c>
      <c r="P53" s="18">
        <v>0</v>
      </c>
      <c r="Q53" s="18">
        <v>0</v>
      </c>
      <c r="R53" s="102">
        <f>O53-P53-Q53</f>
        <v>0</v>
      </c>
      <c r="S53" s="92">
        <v>0</v>
      </c>
      <c r="T53" s="9">
        <v>0</v>
      </c>
      <c r="U53" s="9">
        <v>0</v>
      </c>
      <c r="V53" s="32">
        <f>S53-T53-U53</f>
        <v>0</v>
      </c>
    </row>
    <row r="54" spans="1:22" ht="15" customHeight="1" thickBot="1">
      <c r="A54" s="54" t="s">
        <v>33</v>
      </c>
      <c r="B54" s="55"/>
      <c r="C54" s="55"/>
      <c r="D54" s="55"/>
      <c r="E54" s="55"/>
      <c r="F54" s="55"/>
      <c r="G54" s="55"/>
      <c r="H54" s="55"/>
      <c r="I54" s="55"/>
      <c r="J54" s="56"/>
      <c r="K54" s="34">
        <f t="shared" ref="K54:V54" si="12">SUM(K52:K53)</f>
        <v>85926600</v>
      </c>
      <c r="L54" s="34">
        <f t="shared" si="12"/>
        <v>84259838.810000002</v>
      </c>
      <c r="M54" s="33">
        <f t="shared" si="12"/>
        <v>0</v>
      </c>
      <c r="N54" s="73">
        <f t="shared" si="12"/>
        <v>1666761.1899999976</v>
      </c>
      <c r="O54" s="71">
        <f t="shared" si="12"/>
        <v>0</v>
      </c>
      <c r="P54" s="35">
        <f t="shared" si="12"/>
        <v>0</v>
      </c>
      <c r="Q54" s="35">
        <f t="shared" si="12"/>
        <v>0</v>
      </c>
      <c r="R54" s="103">
        <f t="shared" si="12"/>
        <v>0</v>
      </c>
      <c r="S54" s="77">
        <f t="shared" si="12"/>
        <v>0</v>
      </c>
      <c r="T54" s="33">
        <f t="shared" si="12"/>
        <v>0</v>
      </c>
      <c r="U54" s="33">
        <f t="shared" si="12"/>
        <v>0</v>
      </c>
      <c r="V54" s="36">
        <f t="shared" si="12"/>
        <v>0</v>
      </c>
    </row>
    <row r="55" spans="1:22" ht="20.100000000000001" customHeight="1">
      <c r="A55" s="57" t="s">
        <v>86</v>
      </c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9"/>
    </row>
    <row r="56" spans="1:22" ht="15" customHeight="1">
      <c r="A56" s="31" t="s">
        <v>24</v>
      </c>
      <c r="B56" s="15" t="s">
        <v>87</v>
      </c>
      <c r="C56" s="15" t="s">
        <v>88</v>
      </c>
      <c r="D56" s="15" t="s">
        <v>59</v>
      </c>
      <c r="E56" s="15" t="s">
        <v>47</v>
      </c>
      <c r="F56" s="16" t="s">
        <v>89</v>
      </c>
      <c r="G56" s="15" t="s">
        <v>65</v>
      </c>
      <c r="H56" s="15" t="s">
        <v>90</v>
      </c>
      <c r="I56" s="16" t="s">
        <v>91</v>
      </c>
      <c r="J56" s="17"/>
      <c r="K56" s="19">
        <v>5115216000</v>
      </c>
      <c r="L56" s="19">
        <v>5115216000</v>
      </c>
      <c r="M56" s="9">
        <v>0</v>
      </c>
      <c r="N56" s="74">
        <f>K56-L56-M56</f>
        <v>0</v>
      </c>
      <c r="O56" s="70">
        <v>0</v>
      </c>
      <c r="P56" s="18">
        <v>0</v>
      </c>
      <c r="Q56" s="18">
        <v>0</v>
      </c>
      <c r="R56" s="102">
        <f>O56-P56-Q56</f>
        <v>0</v>
      </c>
      <c r="S56" s="92">
        <v>0</v>
      </c>
      <c r="T56" s="9">
        <v>0</v>
      </c>
      <c r="U56" s="9">
        <v>0</v>
      </c>
      <c r="V56" s="32">
        <f>S56-T56-U56</f>
        <v>0</v>
      </c>
    </row>
    <row r="57" spans="1:22" ht="15" customHeight="1">
      <c r="A57" s="31" t="s">
        <v>24</v>
      </c>
      <c r="B57" s="15" t="s">
        <v>87</v>
      </c>
      <c r="C57" s="15" t="s">
        <v>92</v>
      </c>
      <c r="D57" s="15" t="s">
        <v>59</v>
      </c>
      <c r="E57" s="15" t="s">
        <v>46</v>
      </c>
      <c r="F57" s="16"/>
      <c r="G57" s="15" t="s">
        <v>60</v>
      </c>
      <c r="H57" s="15" t="s">
        <v>90</v>
      </c>
      <c r="I57" s="16" t="s">
        <v>91</v>
      </c>
      <c r="J57" s="17"/>
      <c r="K57" s="19">
        <v>32283900</v>
      </c>
      <c r="L57" s="19">
        <v>32283826</v>
      </c>
      <c r="M57" s="9">
        <v>0</v>
      </c>
      <c r="N57" s="72">
        <f>K57-L57-M57</f>
        <v>74</v>
      </c>
      <c r="O57" s="70">
        <v>0</v>
      </c>
      <c r="P57" s="18">
        <v>0</v>
      </c>
      <c r="Q57" s="18">
        <v>0</v>
      </c>
      <c r="R57" s="102">
        <f>O57-P57-Q57</f>
        <v>0</v>
      </c>
      <c r="S57" s="92">
        <v>0</v>
      </c>
      <c r="T57" s="9">
        <v>0</v>
      </c>
      <c r="U57" s="9">
        <v>0</v>
      </c>
      <c r="V57" s="32">
        <f>S57-T57-U57</f>
        <v>0</v>
      </c>
    </row>
    <row r="58" spans="1:22" ht="15" customHeight="1">
      <c r="A58" s="31" t="s">
        <v>24</v>
      </c>
      <c r="B58" s="15" t="s">
        <v>87</v>
      </c>
      <c r="C58" s="15" t="s">
        <v>92</v>
      </c>
      <c r="D58" s="15" t="s">
        <v>59</v>
      </c>
      <c r="E58" s="15" t="s">
        <v>46</v>
      </c>
      <c r="F58" s="16"/>
      <c r="G58" s="15" t="s">
        <v>65</v>
      </c>
      <c r="H58" s="15" t="s">
        <v>90</v>
      </c>
      <c r="I58" s="16" t="s">
        <v>91</v>
      </c>
      <c r="J58" s="17"/>
      <c r="K58" s="9">
        <v>0</v>
      </c>
      <c r="L58" s="9">
        <v>0</v>
      </c>
      <c r="M58" s="9">
        <v>0</v>
      </c>
      <c r="N58" s="74">
        <f>K58-L58-M58</f>
        <v>0</v>
      </c>
      <c r="O58" s="70">
        <v>0</v>
      </c>
      <c r="P58" s="18">
        <v>0</v>
      </c>
      <c r="Q58" s="18">
        <v>0</v>
      </c>
      <c r="R58" s="102">
        <f>O58-P58-Q58</f>
        <v>0</v>
      </c>
      <c r="S58" s="106">
        <v>75276209.5</v>
      </c>
      <c r="T58" s="9">
        <v>0</v>
      </c>
      <c r="U58" s="19">
        <v>75276209.5</v>
      </c>
      <c r="V58" s="32">
        <f>S58-T58-U58</f>
        <v>0</v>
      </c>
    </row>
    <row r="59" spans="1:22" ht="15" customHeight="1">
      <c r="A59" s="31" t="s">
        <v>24</v>
      </c>
      <c r="B59" s="15" t="s">
        <v>87</v>
      </c>
      <c r="C59" s="15" t="s">
        <v>92</v>
      </c>
      <c r="D59" s="15" t="s">
        <v>59</v>
      </c>
      <c r="E59" s="15" t="s">
        <v>47</v>
      </c>
      <c r="F59" s="16"/>
      <c r="G59" s="15" t="s">
        <v>65</v>
      </c>
      <c r="H59" s="15" t="s">
        <v>90</v>
      </c>
      <c r="I59" s="16" t="s">
        <v>91</v>
      </c>
      <c r="J59" s="17"/>
      <c r="K59" s="9">
        <v>0</v>
      </c>
      <c r="L59" s="9">
        <v>0</v>
      </c>
      <c r="M59" s="9">
        <v>0</v>
      </c>
      <c r="N59" s="74">
        <f>K59-L59-M59</f>
        <v>0</v>
      </c>
      <c r="O59" s="70">
        <v>0</v>
      </c>
      <c r="P59" s="18">
        <v>0</v>
      </c>
      <c r="Q59" s="18">
        <v>0</v>
      </c>
      <c r="R59" s="102">
        <f>O59-P59-Q59</f>
        <v>0</v>
      </c>
      <c r="S59" s="106">
        <v>829025390.5</v>
      </c>
      <c r="T59" s="19">
        <v>823038099.98000002</v>
      </c>
      <c r="U59" s="9">
        <v>0</v>
      </c>
      <c r="V59" s="38">
        <f>S59-T59-U59</f>
        <v>5987290.5199999809</v>
      </c>
    </row>
    <row r="60" spans="1:22" ht="15" customHeight="1" thickBot="1">
      <c r="A60" s="54" t="s">
        <v>33</v>
      </c>
      <c r="B60" s="55"/>
      <c r="C60" s="55"/>
      <c r="D60" s="55"/>
      <c r="E60" s="55"/>
      <c r="F60" s="55"/>
      <c r="G60" s="55"/>
      <c r="H60" s="55"/>
      <c r="I60" s="55"/>
      <c r="J60" s="56"/>
      <c r="K60" s="34">
        <f t="shared" ref="K60:V60" si="13">SUM(K56:K59)</f>
        <v>5147499900</v>
      </c>
      <c r="L60" s="34">
        <f t="shared" si="13"/>
        <v>5147499826</v>
      </c>
      <c r="M60" s="33">
        <f t="shared" si="13"/>
        <v>0</v>
      </c>
      <c r="N60" s="73">
        <f t="shared" si="13"/>
        <v>74</v>
      </c>
      <c r="O60" s="71">
        <f t="shared" si="13"/>
        <v>0</v>
      </c>
      <c r="P60" s="35">
        <f t="shared" si="13"/>
        <v>0</v>
      </c>
      <c r="Q60" s="35">
        <f t="shared" si="13"/>
        <v>0</v>
      </c>
      <c r="R60" s="103">
        <f t="shared" si="13"/>
        <v>0</v>
      </c>
      <c r="S60" s="107">
        <f t="shared" si="13"/>
        <v>904301600</v>
      </c>
      <c r="T60" s="34">
        <f t="shared" si="13"/>
        <v>823038099.98000002</v>
      </c>
      <c r="U60" s="34">
        <f t="shared" si="13"/>
        <v>75276209.5</v>
      </c>
      <c r="V60" s="39">
        <f t="shared" si="13"/>
        <v>5987290.5199999809</v>
      </c>
    </row>
    <row r="61" spans="1:22" ht="20.100000000000001" customHeight="1">
      <c r="A61" s="57" t="s">
        <v>93</v>
      </c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9"/>
    </row>
    <row r="62" spans="1:22" ht="15" customHeight="1">
      <c r="A62" s="31" t="s">
        <v>24</v>
      </c>
      <c r="B62" s="15" t="s">
        <v>25</v>
      </c>
      <c r="C62" s="15" t="s">
        <v>73</v>
      </c>
      <c r="D62" s="15" t="s">
        <v>59</v>
      </c>
      <c r="E62" s="15" t="s">
        <v>46</v>
      </c>
      <c r="F62" s="16"/>
      <c r="G62" s="15" t="s">
        <v>65</v>
      </c>
      <c r="H62" s="15" t="s">
        <v>74</v>
      </c>
      <c r="I62" s="16" t="s">
        <v>94</v>
      </c>
      <c r="J62" s="16"/>
      <c r="K62" s="19">
        <v>6095297.6500000004</v>
      </c>
      <c r="L62" s="19">
        <v>4700454.68</v>
      </c>
      <c r="M62" s="9">
        <v>0</v>
      </c>
      <c r="N62" s="72">
        <f>K62-L62-M62</f>
        <v>1394842.9700000007</v>
      </c>
      <c r="O62" s="70">
        <v>0</v>
      </c>
      <c r="P62" s="18">
        <v>0</v>
      </c>
      <c r="Q62" s="18">
        <v>0</v>
      </c>
      <c r="R62" s="102">
        <f>O62-P62-Q62</f>
        <v>0</v>
      </c>
      <c r="S62" s="92">
        <v>0</v>
      </c>
      <c r="T62" s="9">
        <v>0</v>
      </c>
      <c r="U62" s="9">
        <v>0</v>
      </c>
      <c r="V62" s="32">
        <f>S62-T62-U62</f>
        <v>0</v>
      </c>
    </row>
    <row r="63" spans="1:22" ht="15" customHeight="1">
      <c r="A63" s="31" t="s">
        <v>24</v>
      </c>
      <c r="B63" s="15" t="s">
        <v>25</v>
      </c>
      <c r="C63" s="15" t="s">
        <v>73</v>
      </c>
      <c r="D63" s="15" t="s">
        <v>59</v>
      </c>
      <c r="E63" s="15" t="s">
        <v>47</v>
      </c>
      <c r="F63" s="16"/>
      <c r="G63" s="15" t="s">
        <v>65</v>
      </c>
      <c r="H63" s="15" t="s">
        <v>74</v>
      </c>
      <c r="I63" s="16" t="s">
        <v>94</v>
      </c>
      <c r="J63" s="16"/>
      <c r="K63" s="19">
        <v>731992302.35000002</v>
      </c>
      <c r="L63" s="19">
        <v>556238102.35000002</v>
      </c>
      <c r="M63" s="9">
        <v>0</v>
      </c>
      <c r="N63" s="72">
        <f>K63-L63-M63</f>
        <v>175754200</v>
      </c>
      <c r="O63" s="70">
        <v>0</v>
      </c>
      <c r="P63" s="18">
        <v>0</v>
      </c>
      <c r="Q63" s="18">
        <v>0</v>
      </c>
      <c r="R63" s="102">
        <f>O63-P63-Q63</f>
        <v>0</v>
      </c>
      <c r="S63" s="92">
        <v>0</v>
      </c>
      <c r="T63" s="9">
        <v>0</v>
      </c>
      <c r="U63" s="9">
        <v>0</v>
      </c>
      <c r="V63" s="32">
        <f>S63-T63-U63</f>
        <v>0</v>
      </c>
    </row>
    <row r="64" spans="1:22" ht="15" customHeight="1">
      <c r="A64" s="31" t="s">
        <v>24</v>
      </c>
      <c r="B64" s="15" t="s">
        <v>25</v>
      </c>
      <c r="C64" s="15" t="s">
        <v>73</v>
      </c>
      <c r="D64" s="15" t="s">
        <v>59</v>
      </c>
      <c r="E64" s="15" t="s">
        <v>47</v>
      </c>
      <c r="F64" s="16"/>
      <c r="G64" s="15" t="s">
        <v>65</v>
      </c>
      <c r="H64" s="15" t="s">
        <v>74</v>
      </c>
      <c r="I64" s="16" t="s">
        <v>94</v>
      </c>
      <c r="J64" s="16" t="s">
        <v>95</v>
      </c>
      <c r="K64" s="9">
        <v>0</v>
      </c>
      <c r="L64" s="19">
        <v>4181227.75</v>
      </c>
      <c r="M64" s="9">
        <v>0</v>
      </c>
      <c r="N64" s="75">
        <f>K64-L64-M64</f>
        <v>-4181227.75</v>
      </c>
      <c r="O64" s="70">
        <v>0</v>
      </c>
      <c r="P64" s="18">
        <v>0</v>
      </c>
      <c r="Q64" s="18">
        <v>0</v>
      </c>
      <c r="R64" s="102">
        <f>O64-P64-Q64</f>
        <v>0</v>
      </c>
      <c r="S64" s="92">
        <v>0</v>
      </c>
      <c r="T64" s="9">
        <v>0</v>
      </c>
      <c r="U64" s="9">
        <v>0</v>
      </c>
      <c r="V64" s="32">
        <f>S64-T64-U64</f>
        <v>0</v>
      </c>
    </row>
    <row r="65" spans="1:22" ht="15" customHeight="1" thickBot="1">
      <c r="A65" s="54" t="s">
        <v>33</v>
      </c>
      <c r="B65" s="55"/>
      <c r="C65" s="55"/>
      <c r="D65" s="55"/>
      <c r="E65" s="55"/>
      <c r="F65" s="55"/>
      <c r="G65" s="55"/>
      <c r="H65" s="55"/>
      <c r="I65" s="55"/>
      <c r="J65" s="56"/>
      <c r="K65" s="34">
        <f t="shared" ref="K65:V65" si="14">SUM(K62:K64)</f>
        <v>738087600</v>
      </c>
      <c r="L65" s="34">
        <f t="shared" si="14"/>
        <v>565119784.77999997</v>
      </c>
      <c r="M65" s="33">
        <f t="shared" si="14"/>
        <v>0</v>
      </c>
      <c r="N65" s="73">
        <f t="shared" si="14"/>
        <v>172967815.22</v>
      </c>
      <c r="O65" s="77">
        <f t="shared" si="14"/>
        <v>0</v>
      </c>
      <c r="P65" s="33">
        <f t="shared" si="14"/>
        <v>0</v>
      </c>
      <c r="Q65" s="33">
        <f t="shared" si="14"/>
        <v>0</v>
      </c>
      <c r="R65" s="80">
        <f t="shared" si="14"/>
        <v>0</v>
      </c>
      <c r="S65" s="77">
        <f t="shared" si="14"/>
        <v>0</v>
      </c>
      <c r="T65" s="33">
        <f t="shared" si="14"/>
        <v>0</v>
      </c>
      <c r="U65" s="33">
        <f t="shared" si="14"/>
        <v>0</v>
      </c>
      <c r="V65" s="36">
        <f t="shared" si="14"/>
        <v>0</v>
      </c>
    </row>
    <row r="66" spans="1:22" ht="20.100000000000001" customHeight="1">
      <c r="A66" s="57" t="s">
        <v>96</v>
      </c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9"/>
    </row>
    <row r="67" spans="1:22" ht="15" customHeight="1">
      <c r="A67" s="31" t="s">
        <v>24</v>
      </c>
      <c r="B67" s="15" t="s">
        <v>25</v>
      </c>
      <c r="C67" s="15" t="s">
        <v>69</v>
      </c>
      <c r="D67" s="15" t="s">
        <v>59</v>
      </c>
      <c r="E67" s="15" t="s">
        <v>47</v>
      </c>
      <c r="F67" s="16"/>
      <c r="G67" s="15" t="s">
        <v>65</v>
      </c>
      <c r="H67" s="15" t="s">
        <v>70</v>
      </c>
      <c r="I67" s="16" t="s">
        <v>97</v>
      </c>
      <c r="J67" s="17"/>
      <c r="K67" s="19">
        <v>124505800</v>
      </c>
      <c r="L67" s="19">
        <v>122031904</v>
      </c>
      <c r="M67" s="9">
        <v>0</v>
      </c>
      <c r="N67" s="72">
        <f>K67-L67-M67</f>
        <v>2473896</v>
      </c>
      <c r="O67" s="70">
        <v>0</v>
      </c>
      <c r="P67" s="18">
        <v>0</v>
      </c>
      <c r="Q67" s="18">
        <v>0</v>
      </c>
      <c r="R67" s="102">
        <f>O67-P67-Q67</f>
        <v>0</v>
      </c>
      <c r="S67" s="92">
        <v>0</v>
      </c>
      <c r="T67" s="9">
        <v>0</v>
      </c>
      <c r="U67" s="9">
        <v>0</v>
      </c>
      <c r="V67" s="32">
        <f>S67-T67-U67</f>
        <v>0</v>
      </c>
    </row>
    <row r="68" spans="1:22" ht="15" customHeight="1" thickBot="1">
      <c r="A68" s="54" t="s">
        <v>33</v>
      </c>
      <c r="B68" s="55"/>
      <c r="C68" s="55"/>
      <c r="D68" s="55"/>
      <c r="E68" s="55"/>
      <c r="F68" s="55"/>
      <c r="G68" s="55"/>
      <c r="H68" s="55"/>
      <c r="I68" s="55"/>
      <c r="J68" s="56"/>
      <c r="K68" s="34">
        <f t="shared" ref="K68:V68" si="15">SUM(K67)</f>
        <v>124505800</v>
      </c>
      <c r="L68" s="34">
        <f t="shared" si="15"/>
        <v>122031904</v>
      </c>
      <c r="M68" s="33">
        <f t="shared" si="15"/>
        <v>0</v>
      </c>
      <c r="N68" s="73">
        <f t="shared" si="15"/>
        <v>2473896</v>
      </c>
      <c r="O68" s="71">
        <f t="shared" si="15"/>
        <v>0</v>
      </c>
      <c r="P68" s="35">
        <f t="shared" si="15"/>
        <v>0</v>
      </c>
      <c r="Q68" s="35">
        <f t="shared" si="15"/>
        <v>0</v>
      </c>
      <c r="R68" s="103">
        <f t="shared" si="15"/>
        <v>0</v>
      </c>
      <c r="S68" s="77">
        <f t="shared" si="15"/>
        <v>0</v>
      </c>
      <c r="T68" s="33">
        <f t="shared" si="15"/>
        <v>0</v>
      </c>
      <c r="U68" s="33">
        <f t="shared" si="15"/>
        <v>0</v>
      </c>
      <c r="V68" s="36">
        <f t="shared" si="15"/>
        <v>0</v>
      </c>
    </row>
    <row r="69" spans="1:22" ht="20.100000000000001" customHeight="1">
      <c r="A69" s="57" t="s">
        <v>98</v>
      </c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9"/>
    </row>
    <row r="70" spans="1:22" ht="15" customHeight="1">
      <c r="A70" s="31" t="s">
        <v>24</v>
      </c>
      <c r="B70" s="15" t="s">
        <v>25</v>
      </c>
      <c r="C70" s="15" t="s">
        <v>99</v>
      </c>
      <c r="D70" s="15" t="s">
        <v>59</v>
      </c>
      <c r="E70" s="15" t="s">
        <v>46</v>
      </c>
      <c r="F70" s="16" t="s">
        <v>100</v>
      </c>
      <c r="G70" s="15" t="s">
        <v>60</v>
      </c>
      <c r="H70" s="15" t="s">
        <v>101</v>
      </c>
      <c r="I70" s="16" t="s">
        <v>102</v>
      </c>
      <c r="J70" s="16" t="s">
        <v>95</v>
      </c>
      <c r="K70" s="9">
        <v>0</v>
      </c>
      <c r="L70" s="19">
        <v>21913422.989999998</v>
      </c>
      <c r="M70" s="9">
        <v>0</v>
      </c>
      <c r="N70" s="75">
        <f>K70-L70-M70</f>
        <v>-21913422.989999998</v>
      </c>
      <c r="O70" s="70">
        <v>0</v>
      </c>
      <c r="P70" s="18">
        <v>0</v>
      </c>
      <c r="Q70" s="18">
        <v>0</v>
      </c>
      <c r="R70" s="102">
        <f>O70-P70-Q70</f>
        <v>0</v>
      </c>
      <c r="S70" s="92">
        <v>0</v>
      </c>
      <c r="T70" s="9">
        <v>0</v>
      </c>
      <c r="U70" s="9">
        <v>0</v>
      </c>
      <c r="V70" s="32">
        <f>S70-T70-U70</f>
        <v>0</v>
      </c>
    </row>
    <row r="71" spans="1:22" ht="15" customHeight="1">
      <c r="A71" s="31" t="s">
        <v>24</v>
      </c>
      <c r="B71" s="15" t="s">
        <v>25</v>
      </c>
      <c r="C71" s="15" t="s">
        <v>99</v>
      </c>
      <c r="D71" s="15" t="s">
        <v>59</v>
      </c>
      <c r="E71" s="15" t="s">
        <v>47</v>
      </c>
      <c r="F71" s="16" t="s">
        <v>100</v>
      </c>
      <c r="G71" s="15" t="s">
        <v>65</v>
      </c>
      <c r="H71" s="15" t="s">
        <v>101</v>
      </c>
      <c r="I71" s="16" t="s">
        <v>102</v>
      </c>
      <c r="J71" s="16"/>
      <c r="K71" s="9">
        <v>0</v>
      </c>
      <c r="L71" s="19">
        <v>29618700</v>
      </c>
      <c r="M71" s="9">
        <v>0</v>
      </c>
      <c r="N71" s="75">
        <f>K71-L71-M71</f>
        <v>-29618700</v>
      </c>
      <c r="O71" s="70">
        <v>0</v>
      </c>
      <c r="P71" s="30">
        <v>29203700</v>
      </c>
      <c r="Q71" s="18">
        <v>0</v>
      </c>
      <c r="R71" s="108">
        <f>O71-P71-Q71</f>
        <v>-29203700</v>
      </c>
      <c r="S71" s="92">
        <v>0</v>
      </c>
      <c r="T71" s="19">
        <v>1581873252.97</v>
      </c>
      <c r="U71" s="9">
        <v>0</v>
      </c>
      <c r="V71" s="40">
        <f>S71-T71-U71</f>
        <v>-1581873252.97</v>
      </c>
    </row>
    <row r="72" spans="1:22" ht="15" customHeight="1">
      <c r="A72" s="31" t="s">
        <v>24</v>
      </c>
      <c r="B72" s="15" t="s">
        <v>25</v>
      </c>
      <c r="C72" s="15" t="s">
        <v>99</v>
      </c>
      <c r="D72" s="15" t="s">
        <v>59</v>
      </c>
      <c r="E72" s="15" t="s">
        <v>47</v>
      </c>
      <c r="F72" s="16" t="s">
        <v>100</v>
      </c>
      <c r="G72" s="15" t="s">
        <v>65</v>
      </c>
      <c r="H72" s="15" t="s">
        <v>101</v>
      </c>
      <c r="I72" s="16" t="s">
        <v>102</v>
      </c>
      <c r="J72" s="16" t="s">
        <v>95</v>
      </c>
      <c r="K72" s="9">
        <v>0</v>
      </c>
      <c r="L72" s="19">
        <v>1028759420.8</v>
      </c>
      <c r="M72" s="9">
        <v>0</v>
      </c>
      <c r="N72" s="75">
        <f>K72-L72-M72</f>
        <v>-1028759420.8</v>
      </c>
      <c r="O72" s="70">
        <v>0</v>
      </c>
      <c r="P72" s="30">
        <v>925721126.11000001</v>
      </c>
      <c r="Q72" s="18">
        <v>0</v>
      </c>
      <c r="R72" s="108">
        <f>O72-P72-Q72</f>
        <v>-925721126.11000001</v>
      </c>
      <c r="S72" s="92">
        <v>0</v>
      </c>
      <c r="T72" s="9">
        <v>0</v>
      </c>
      <c r="U72" s="9">
        <v>0</v>
      </c>
      <c r="V72" s="32">
        <f>S72-T72-U72</f>
        <v>0</v>
      </c>
    </row>
    <row r="73" spans="1:22" ht="15" customHeight="1">
      <c r="A73" s="31" t="s">
        <v>24</v>
      </c>
      <c r="B73" s="15" t="s">
        <v>25</v>
      </c>
      <c r="C73" s="15" t="s">
        <v>103</v>
      </c>
      <c r="D73" s="15" t="s">
        <v>59</v>
      </c>
      <c r="E73" s="15" t="s">
        <v>47</v>
      </c>
      <c r="F73" s="16" t="s">
        <v>104</v>
      </c>
      <c r="G73" s="15" t="s">
        <v>65</v>
      </c>
      <c r="H73" s="15" t="s">
        <v>105</v>
      </c>
      <c r="I73" s="16" t="s">
        <v>102</v>
      </c>
      <c r="J73" s="16"/>
      <c r="K73" s="9">
        <v>0</v>
      </c>
      <c r="L73" s="9">
        <v>0</v>
      </c>
      <c r="M73" s="9">
        <v>0</v>
      </c>
      <c r="N73" s="74">
        <f>K73-L73-M73</f>
        <v>0</v>
      </c>
      <c r="O73" s="78">
        <v>369072200</v>
      </c>
      <c r="P73" s="18">
        <v>0</v>
      </c>
      <c r="Q73" s="18">
        <v>0</v>
      </c>
      <c r="R73" s="104">
        <f>O73-P73-Q73</f>
        <v>369072200</v>
      </c>
      <c r="S73" s="106">
        <v>748453600</v>
      </c>
      <c r="T73" s="9">
        <v>0</v>
      </c>
      <c r="U73" s="9">
        <v>0</v>
      </c>
      <c r="V73" s="38">
        <f>S73-T73-U73</f>
        <v>748453600</v>
      </c>
    </row>
    <row r="74" spans="1:22" ht="15" customHeight="1" thickBot="1">
      <c r="A74" s="54" t="s">
        <v>33</v>
      </c>
      <c r="B74" s="55"/>
      <c r="C74" s="55"/>
      <c r="D74" s="55"/>
      <c r="E74" s="55"/>
      <c r="F74" s="55"/>
      <c r="G74" s="55"/>
      <c r="H74" s="55"/>
      <c r="I74" s="55"/>
      <c r="J74" s="56"/>
      <c r="K74" s="33">
        <f t="shared" ref="K74:V74" si="16">SUM(K70:K73)</f>
        <v>0</v>
      </c>
      <c r="L74" s="34">
        <f t="shared" si="16"/>
        <v>1080291543.79</v>
      </c>
      <c r="M74" s="33">
        <f t="shared" si="16"/>
        <v>0</v>
      </c>
      <c r="N74" s="76">
        <f t="shared" si="16"/>
        <v>-1080291543.79</v>
      </c>
      <c r="O74" s="79">
        <f t="shared" si="16"/>
        <v>369072200</v>
      </c>
      <c r="P74" s="37">
        <f t="shared" si="16"/>
        <v>954924826.11000001</v>
      </c>
      <c r="Q74" s="35">
        <f t="shared" si="16"/>
        <v>0</v>
      </c>
      <c r="R74" s="109">
        <f t="shared" si="16"/>
        <v>-585852626.11000001</v>
      </c>
      <c r="S74" s="107">
        <f t="shared" si="16"/>
        <v>748453600</v>
      </c>
      <c r="T74" s="34">
        <f t="shared" si="16"/>
        <v>1581873252.97</v>
      </c>
      <c r="U74" s="33">
        <f t="shared" si="16"/>
        <v>0</v>
      </c>
      <c r="V74" s="41">
        <f t="shared" si="16"/>
        <v>-833419652.97000003</v>
      </c>
    </row>
    <row r="75" spans="1:22" ht="20.100000000000001" customHeight="1">
      <c r="A75" s="57" t="s">
        <v>106</v>
      </c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9"/>
    </row>
    <row r="76" spans="1:22" ht="15" customHeight="1">
      <c r="A76" s="31" t="s">
        <v>24</v>
      </c>
      <c r="B76" s="15" t="s">
        <v>25</v>
      </c>
      <c r="C76" s="15" t="s">
        <v>73</v>
      </c>
      <c r="D76" s="15" t="s">
        <v>59</v>
      </c>
      <c r="E76" s="15" t="s">
        <v>46</v>
      </c>
      <c r="F76" s="16"/>
      <c r="G76" s="15" t="s">
        <v>65</v>
      </c>
      <c r="H76" s="15" t="s">
        <v>74</v>
      </c>
      <c r="I76" s="16" t="s">
        <v>107</v>
      </c>
      <c r="J76" s="16"/>
      <c r="K76" s="19">
        <v>87442.26</v>
      </c>
      <c r="L76" s="19">
        <v>87442.26</v>
      </c>
      <c r="M76" s="9">
        <v>0</v>
      </c>
      <c r="N76" s="74">
        <f>K76-L76-M76</f>
        <v>0</v>
      </c>
      <c r="O76" s="70">
        <v>0</v>
      </c>
      <c r="P76" s="18">
        <v>0</v>
      </c>
      <c r="Q76" s="18">
        <v>0</v>
      </c>
      <c r="R76" s="102">
        <f>O76-P76-Q76</f>
        <v>0</v>
      </c>
      <c r="S76" s="92">
        <v>0</v>
      </c>
      <c r="T76" s="9">
        <v>0</v>
      </c>
      <c r="U76" s="9">
        <v>0</v>
      </c>
      <c r="V76" s="32">
        <f>S76-T76-U76</f>
        <v>0</v>
      </c>
    </row>
    <row r="77" spans="1:22" ht="15" customHeight="1">
      <c r="A77" s="31" t="s">
        <v>24</v>
      </c>
      <c r="B77" s="15" t="s">
        <v>25</v>
      </c>
      <c r="C77" s="15" t="s">
        <v>73</v>
      </c>
      <c r="D77" s="15" t="s">
        <v>59</v>
      </c>
      <c r="E77" s="15" t="s">
        <v>47</v>
      </c>
      <c r="F77" s="16"/>
      <c r="G77" s="15" t="s">
        <v>65</v>
      </c>
      <c r="H77" s="15" t="s">
        <v>74</v>
      </c>
      <c r="I77" s="16" t="s">
        <v>107</v>
      </c>
      <c r="J77" s="16"/>
      <c r="K77" s="19">
        <v>6877957.7400000002</v>
      </c>
      <c r="L77" s="19">
        <v>6877831.2400000002</v>
      </c>
      <c r="M77" s="9">
        <v>0</v>
      </c>
      <c r="N77" s="72">
        <f>K77-L77-M77</f>
        <v>126.5</v>
      </c>
      <c r="O77" s="70">
        <v>0</v>
      </c>
      <c r="P77" s="18">
        <v>0</v>
      </c>
      <c r="Q77" s="18">
        <v>0</v>
      </c>
      <c r="R77" s="102">
        <f>O77-P77-Q77</f>
        <v>0</v>
      </c>
      <c r="S77" s="92">
        <v>0</v>
      </c>
      <c r="T77" s="9">
        <v>0</v>
      </c>
      <c r="U77" s="9">
        <v>0</v>
      </c>
      <c r="V77" s="32">
        <f>S77-T77-U77</f>
        <v>0</v>
      </c>
    </row>
    <row r="78" spans="1:22" ht="15" customHeight="1" thickBot="1">
      <c r="A78" s="54" t="s">
        <v>33</v>
      </c>
      <c r="B78" s="55"/>
      <c r="C78" s="55"/>
      <c r="D78" s="55"/>
      <c r="E78" s="55"/>
      <c r="F78" s="55"/>
      <c r="G78" s="55"/>
      <c r="H78" s="55"/>
      <c r="I78" s="55"/>
      <c r="J78" s="56"/>
      <c r="K78" s="34">
        <f t="shared" ref="K78:V78" si="17">SUM(K76:K77)</f>
        <v>6965400</v>
      </c>
      <c r="L78" s="34">
        <f t="shared" si="17"/>
        <v>6965273.5</v>
      </c>
      <c r="M78" s="33">
        <f t="shared" si="17"/>
        <v>0</v>
      </c>
      <c r="N78" s="73">
        <f t="shared" si="17"/>
        <v>126.5</v>
      </c>
      <c r="O78" s="71">
        <f t="shared" si="17"/>
        <v>0</v>
      </c>
      <c r="P78" s="35">
        <f t="shared" si="17"/>
        <v>0</v>
      </c>
      <c r="Q78" s="35">
        <f t="shared" si="17"/>
        <v>0</v>
      </c>
      <c r="R78" s="103">
        <f t="shared" si="17"/>
        <v>0</v>
      </c>
      <c r="S78" s="77">
        <f t="shared" si="17"/>
        <v>0</v>
      </c>
      <c r="T78" s="33">
        <f t="shared" si="17"/>
        <v>0</v>
      </c>
      <c r="U78" s="33">
        <f t="shared" si="17"/>
        <v>0</v>
      </c>
      <c r="V78" s="36">
        <f t="shared" si="17"/>
        <v>0</v>
      </c>
    </row>
    <row r="79" spans="1:22" ht="20.100000000000001" customHeight="1">
      <c r="A79" s="57" t="s">
        <v>108</v>
      </c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9"/>
    </row>
    <row r="80" spans="1:22" ht="15" customHeight="1">
      <c r="A80" s="31" t="s">
        <v>24</v>
      </c>
      <c r="B80" s="15" t="s">
        <v>25</v>
      </c>
      <c r="C80" s="15" t="s">
        <v>69</v>
      </c>
      <c r="D80" s="15" t="s">
        <v>59</v>
      </c>
      <c r="E80" s="15" t="s">
        <v>46</v>
      </c>
      <c r="F80" s="16"/>
      <c r="G80" s="15" t="s">
        <v>60</v>
      </c>
      <c r="H80" s="15" t="s">
        <v>70</v>
      </c>
      <c r="I80" s="16" t="s">
        <v>109</v>
      </c>
      <c r="J80" s="16"/>
      <c r="K80" s="19">
        <v>1937400</v>
      </c>
      <c r="L80" s="19">
        <v>1664674.57</v>
      </c>
      <c r="M80" s="9">
        <v>0</v>
      </c>
      <c r="N80" s="72">
        <f>K80-L80-M80</f>
        <v>272725.42999999993</v>
      </c>
      <c r="O80" s="70">
        <v>0</v>
      </c>
      <c r="P80" s="18">
        <v>0</v>
      </c>
      <c r="Q80" s="18">
        <v>0</v>
      </c>
      <c r="R80" s="102">
        <f>O80-P80-Q80</f>
        <v>0</v>
      </c>
      <c r="S80" s="92">
        <v>0</v>
      </c>
      <c r="T80" s="9">
        <v>0</v>
      </c>
      <c r="U80" s="9">
        <v>0</v>
      </c>
      <c r="V80" s="32">
        <f>S80-T80-U80</f>
        <v>0</v>
      </c>
    </row>
    <row r="81" spans="1:22" ht="15" customHeight="1">
      <c r="A81" s="31" t="s">
        <v>24</v>
      </c>
      <c r="B81" s="15" t="s">
        <v>25</v>
      </c>
      <c r="C81" s="15" t="s">
        <v>69</v>
      </c>
      <c r="D81" s="15" t="s">
        <v>59</v>
      </c>
      <c r="E81" s="15" t="s">
        <v>47</v>
      </c>
      <c r="F81" s="16"/>
      <c r="G81" s="15" t="s">
        <v>65</v>
      </c>
      <c r="H81" s="15" t="s">
        <v>70</v>
      </c>
      <c r="I81" s="16" t="s">
        <v>109</v>
      </c>
      <c r="J81" s="16"/>
      <c r="K81" s="19">
        <v>40554300</v>
      </c>
      <c r="L81" s="19">
        <v>21835275.920000002</v>
      </c>
      <c r="M81" s="9">
        <v>0</v>
      </c>
      <c r="N81" s="72">
        <f>K81-L81-M81</f>
        <v>18719024.079999998</v>
      </c>
      <c r="O81" s="70">
        <v>0</v>
      </c>
      <c r="P81" s="18">
        <v>0</v>
      </c>
      <c r="Q81" s="18">
        <v>0</v>
      </c>
      <c r="R81" s="102">
        <f>O81-P81-Q81</f>
        <v>0</v>
      </c>
      <c r="S81" s="92">
        <v>0</v>
      </c>
      <c r="T81" s="9">
        <v>0</v>
      </c>
      <c r="U81" s="9">
        <v>0</v>
      </c>
      <c r="V81" s="32">
        <f>S81-T81-U81</f>
        <v>0</v>
      </c>
    </row>
    <row r="82" spans="1:22" ht="15" customHeight="1" thickBot="1">
      <c r="A82" s="54" t="s">
        <v>33</v>
      </c>
      <c r="B82" s="55"/>
      <c r="C82" s="55"/>
      <c r="D82" s="55"/>
      <c r="E82" s="55"/>
      <c r="F82" s="55"/>
      <c r="G82" s="55"/>
      <c r="H82" s="55"/>
      <c r="I82" s="55"/>
      <c r="J82" s="56"/>
      <c r="K82" s="34">
        <f t="shared" ref="K82:V82" si="18">SUM(K80:K81)</f>
        <v>42491700</v>
      </c>
      <c r="L82" s="34">
        <f t="shared" si="18"/>
        <v>23499950.490000002</v>
      </c>
      <c r="M82" s="33">
        <f t="shared" si="18"/>
        <v>0</v>
      </c>
      <c r="N82" s="73">
        <f t="shared" si="18"/>
        <v>18991749.509999998</v>
      </c>
      <c r="O82" s="71">
        <f t="shared" si="18"/>
        <v>0</v>
      </c>
      <c r="P82" s="35">
        <f t="shared" si="18"/>
        <v>0</v>
      </c>
      <c r="Q82" s="35">
        <f t="shared" si="18"/>
        <v>0</v>
      </c>
      <c r="R82" s="103">
        <f t="shared" si="18"/>
        <v>0</v>
      </c>
      <c r="S82" s="77">
        <f t="shared" si="18"/>
        <v>0</v>
      </c>
      <c r="T82" s="33">
        <f t="shared" si="18"/>
        <v>0</v>
      </c>
      <c r="U82" s="33">
        <f t="shared" si="18"/>
        <v>0</v>
      </c>
      <c r="V82" s="36">
        <f t="shared" si="18"/>
        <v>0</v>
      </c>
    </row>
    <row r="83" spans="1:22" ht="20.100000000000001" customHeight="1">
      <c r="A83" s="57" t="s">
        <v>110</v>
      </c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9"/>
    </row>
    <row r="84" spans="1:22" ht="15" customHeight="1">
      <c r="A84" s="31" t="s">
        <v>24</v>
      </c>
      <c r="B84" s="15" t="s">
        <v>25</v>
      </c>
      <c r="C84" s="15" t="s">
        <v>111</v>
      </c>
      <c r="D84" s="15" t="s">
        <v>59</v>
      </c>
      <c r="E84" s="15" t="s">
        <v>46</v>
      </c>
      <c r="F84" s="16"/>
      <c r="G84" s="15" t="s">
        <v>60</v>
      </c>
      <c r="H84" s="15" t="s">
        <v>112</v>
      </c>
      <c r="I84" s="16" t="s">
        <v>113</v>
      </c>
      <c r="J84" s="16"/>
      <c r="K84" s="19">
        <v>1749000</v>
      </c>
      <c r="L84" s="19">
        <v>1749000</v>
      </c>
      <c r="M84" s="9">
        <v>0</v>
      </c>
      <c r="N84" s="74">
        <f>K84-L84-M84</f>
        <v>0</v>
      </c>
      <c r="O84" s="70">
        <v>0</v>
      </c>
      <c r="P84" s="18">
        <v>0</v>
      </c>
      <c r="Q84" s="18">
        <v>0</v>
      </c>
      <c r="R84" s="102">
        <f>O84-P84-Q84</f>
        <v>0</v>
      </c>
      <c r="S84" s="92">
        <v>0</v>
      </c>
      <c r="T84" s="9">
        <v>0</v>
      </c>
      <c r="U84" s="9">
        <v>0</v>
      </c>
      <c r="V84" s="32">
        <f>S84-T84-U84</f>
        <v>0</v>
      </c>
    </row>
    <row r="85" spans="1:22" ht="15" customHeight="1">
      <c r="A85" s="31" t="s">
        <v>24</v>
      </c>
      <c r="B85" s="15" t="s">
        <v>25</v>
      </c>
      <c r="C85" s="15" t="s">
        <v>111</v>
      </c>
      <c r="D85" s="15" t="s">
        <v>59</v>
      </c>
      <c r="E85" s="15" t="s">
        <v>46</v>
      </c>
      <c r="F85" s="16"/>
      <c r="G85" s="15" t="s">
        <v>65</v>
      </c>
      <c r="H85" s="15" t="s">
        <v>112</v>
      </c>
      <c r="I85" s="16" t="s">
        <v>113</v>
      </c>
      <c r="J85" s="16"/>
      <c r="K85" s="19">
        <v>600000</v>
      </c>
      <c r="L85" s="19">
        <v>600000</v>
      </c>
      <c r="M85" s="9">
        <v>0</v>
      </c>
      <c r="N85" s="74">
        <f>K85-L85-M85</f>
        <v>0</v>
      </c>
      <c r="O85" s="70">
        <v>0</v>
      </c>
      <c r="P85" s="18">
        <v>0</v>
      </c>
      <c r="Q85" s="18">
        <v>0</v>
      </c>
      <c r="R85" s="102">
        <f>O85-P85-Q85</f>
        <v>0</v>
      </c>
      <c r="S85" s="92">
        <v>0</v>
      </c>
      <c r="T85" s="9">
        <v>0</v>
      </c>
      <c r="U85" s="9">
        <v>0</v>
      </c>
      <c r="V85" s="32">
        <f>S85-T85-U85</f>
        <v>0</v>
      </c>
    </row>
    <row r="86" spans="1:22" ht="15" customHeight="1">
      <c r="A86" s="31" t="s">
        <v>24</v>
      </c>
      <c r="B86" s="15" t="s">
        <v>25</v>
      </c>
      <c r="C86" s="15" t="s">
        <v>111</v>
      </c>
      <c r="D86" s="15" t="s">
        <v>59</v>
      </c>
      <c r="E86" s="15" t="s">
        <v>47</v>
      </c>
      <c r="F86" s="16"/>
      <c r="G86" s="15" t="s">
        <v>65</v>
      </c>
      <c r="H86" s="15" t="s">
        <v>112</v>
      </c>
      <c r="I86" s="16" t="s">
        <v>113</v>
      </c>
      <c r="J86" s="16"/>
      <c r="K86" s="19">
        <v>31107400</v>
      </c>
      <c r="L86" s="19">
        <v>29292772.559999999</v>
      </c>
      <c r="M86" s="9">
        <v>0</v>
      </c>
      <c r="N86" s="72">
        <f>K86-L86-M86</f>
        <v>1814627.4400000013</v>
      </c>
      <c r="O86" s="70">
        <v>0</v>
      </c>
      <c r="P86" s="18">
        <v>0</v>
      </c>
      <c r="Q86" s="18">
        <v>0</v>
      </c>
      <c r="R86" s="102">
        <f>O86-P86-Q86</f>
        <v>0</v>
      </c>
      <c r="S86" s="92">
        <v>0</v>
      </c>
      <c r="T86" s="9">
        <v>0</v>
      </c>
      <c r="U86" s="9">
        <v>0</v>
      </c>
      <c r="V86" s="32">
        <f>S86-T86-U86</f>
        <v>0</v>
      </c>
    </row>
    <row r="87" spans="1:22" ht="15" customHeight="1" thickBot="1">
      <c r="A87" s="54" t="s">
        <v>33</v>
      </c>
      <c r="B87" s="55"/>
      <c r="C87" s="55"/>
      <c r="D87" s="55"/>
      <c r="E87" s="55"/>
      <c r="F87" s="55"/>
      <c r="G87" s="55"/>
      <c r="H87" s="55"/>
      <c r="I87" s="55"/>
      <c r="J87" s="56"/>
      <c r="K87" s="34">
        <f t="shared" ref="K87:V87" si="19">SUM(K84:K86)</f>
        <v>33456400</v>
      </c>
      <c r="L87" s="34">
        <f t="shared" si="19"/>
        <v>31641772.559999999</v>
      </c>
      <c r="M87" s="33">
        <f t="shared" si="19"/>
        <v>0</v>
      </c>
      <c r="N87" s="73">
        <f t="shared" si="19"/>
        <v>1814627.4400000013</v>
      </c>
      <c r="O87" s="71">
        <f t="shared" si="19"/>
        <v>0</v>
      </c>
      <c r="P87" s="35">
        <f t="shared" si="19"/>
        <v>0</v>
      </c>
      <c r="Q87" s="35">
        <f t="shared" si="19"/>
        <v>0</v>
      </c>
      <c r="R87" s="103">
        <f t="shared" si="19"/>
        <v>0</v>
      </c>
      <c r="S87" s="77">
        <f t="shared" si="19"/>
        <v>0</v>
      </c>
      <c r="T87" s="33">
        <f t="shared" si="19"/>
        <v>0</v>
      </c>
      <c r="U87" s="33">
        <f t="shared" si="19"/>
        <v>0</v>
      </c>
      <c r="V87" s="36">
        <f t="shared" si="19"/>
        <v>0</v>
      </c>
    </row>
    <row r="88" spans="1:22" ht="20.100000000000001" customHeight="1">
      <c r="A88" s="57" t="s">
        <v>114</v>
      </c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9"/>
    </row>
    <row r="89" spans="1:22" ht="15" customHeight="1">
      <c r="A89" s="31" t="s">
        <v>24</v>
      </c>
      <c r="B89" s="15" t="s">
        <v>25</v>
      </c>
      <c r="C89" s="15" t="s">
        <v>111</v>
      </c>
      <c r="D89" s="15" t="s">
        <v>59</v>
      </c>
      <c r="E89" s="15" t="s">
        <v>46</v>
      </c>
      <c r="F89" s="16"/>
      <c r="G89" s="15" t="s">
        <v>60</v>
      </c>
      <c r="H89" s="15" t="s">
        <v>112</v>
      </c>
      <c r="I89" s="16" t="s">
        <v>115</v>
      </c>
      <c r="J89" s="16"/>
      <c r="K89" s="19">
        <v>2296900</v>
      </c>
      <c r="L89" s="19">
        <v>2296832</v>
      </c>
      <c r="M89" s="9">
        <v>0</v>
      </c>
      <c r="N89" s="72">
        <f>K89-L89-M89</f>
        <v>68</v>
      </c>
      <c r="O89" s="70">
        <v>0</v>
      </c>
      <c r="P89" s="18">
        <v>0</v>
      </c>
      <c r="Q89" s="18">
        <v>0</v>
      </c>
      <c r="R89" s="102">
        <f>O89-P89-Q89</f>
        <v>0</v>
      </c>
      <c r="S89" s="92">
        <v>0</v>
      </c>
      <c r="T89" s="9">
        <v>0</v>
      </c>
      <c r="U89" s="9">
        <v>0</v>
      </c>
      <c r="V89" s="32">
        <f>S89-T89-U89</f>
        <v>0</v>
      </c>
    </row>
    <row r="90" spans="1:22" ht="15" customHeight="1">
      <c r="A90" s="31" t="s">
        <v>24</v>
      </c>
      <c r="B90" s="15" t="s">
        <v>25</v>
      </c>
      <c r="C90" s="15" t="s">
        <v>111</v>
      </c>
      <c r="D90" s="15" t="s">
        <v>59</v>
      </c>
      <c r="E90" s="15" t="s">
        <v>46</v>
      </c>
      <c r="F90" s="16"/>
      <c r="G90" s="15" t="s">
        <v>65</v>
      </c>
      <c r="H90" s="15" t="s">
        <v>112</v>
      </c>
      <c r="I90" s="16" t="s">
        <v>115</v>
      </c>
      <c r="J90" s="16"/>
      <c r="K90" s="19">
        <v>1200000</v>
      </c>
      <c r="L90" s="19">
        <v>600000</v>
      </c>
      <c r="M90" s="9">
        <v>0</v>
      </c>
      <c r="N90" s="72">
        <f>K90-L90-M90</f>
        <v>600000</v>
      </c>
      <c r="O90" s="70">
        <v>0</v>
      </c>
      <c r="P90" s="18">
        <v>0</v>
      </c>
      <c r="Q90" s="18">
        <v>0</v>
      </c>
      <c r="R90" s="102">
        <f>O90-P90-Q90</f>
        <v>0</v>
      </c>
      <c r="S90" s="92">
        <v>0</v>
      </c>
      <c r="T90" s="9">
        <v>0</v>
      </c>
      <c r="U90" s="9">
        <v>0</v>
      </c>
      <c r="V90" s="32">
        <f>S90-T90-U90</f>
        <v>0</v>
      </c>
    </row>
    <row r="91" spans="1:22" ht="15" customHeight="1">
      <c r="A91" s="31" t="s">
        <v>24</v>
      </c>
      <c r="B91" s="15" t="s">
        <v>25</v>
      </c>
      <c r="C91" s="15" t="s">
        <v>111</v>
      </c>
      <c r="D91" s="15" t="s">
        <v>59</v>
      </c>
      <c r="E91" s="15" t="s">
        <v>47</v>
      </c>
      <c r="F91" s="16"/>
      <c r="G91" s="15" t="s">
        <v>65</v>
      </c>
      <c r="H91" s="15" t="s">
        <v>112</v>
      </c>
      <c r="I91" s="16" t="s">
        <v>115</v>
      </c>
      <c r="J91" s="16"/>
      <c r="K91" s="19">
        <v>55443200</v>
      </c>
      <c r="L91" s="19">
        <v>52966710.149999999</v>
      </c>
      <c r="M91" s="9">
        <v>0</v>
      </c>
      <c r="N91" s="72">
        <f>K91-L91-M91</f>
        <v>2476489.8500000015</v>
      </c>
      <c r="O91" s="70">
        <v>0</v>
      </c>
      <c r="P91" s="18">
        <v>0</v>
      </c>
      <c r="Q91" s="18">
        <v>0</v>
      </c>
      <c r="R91" s="102">
        <f>O91-P91-Q91</f>
        <v>0</v>
      </c>
      <c r="S91" s="92">
        <v>0</v>
      </c>
      <c r="T91" s="9">
        <v>0</v>
      </c>
      <c r="U91" s="9">
        <v>0</v>
      </c>
      <c r="V91" s="32">
        <f>S91-T91-U91</f>
        <v>0</v>
      </c>
    </row>
    <row r="92" spans="1:22" ht="15" customHeight="1" thickBot="1">
      <c r="A92" s="54" t="s">
        <v>33</v>
      </c>
      <c r="B92" s="55"/>
      <c r="C92" s="55"/>
      <c r="D92" s="55"/>
      <c r="E92" s="55"/>
      <c r="F92" s="55"/>
      <c r="G92" s="55"/>
      <c r="H92" s="55"/>
      <c r="I92" s="55"/>
      <c r="J92" s="56"/>
      <c r="K92" s="34">
        <f t="shared" ref="K92:V92" si="20">SUM(K89:K91)</f>
        <v>58940100</v>
      </c>
      <c r="L92" s="34">
        <f t="shared" si="20"/>
        <v>55863542.149999999</v>
      </c>
      <c r="M92" s="33">
        <f t="shared" si="20"/>
        <v>0</v>
      </c>
      <c r="N92" s="73">
        <f t="shared" si="20"/>
        <v>3076557.8500000015</v>
      </c>
      <c r="O92" s="71">
        <f t="shared" si="20"/>
        <v>0</v>
      </c>
      <c r="P92" s="35">
        <f t="shared" si="20"/>
        <v>0</v>
      </c>
      <c r="Q92" s="35">
        <f t="shared" si="20"/>
        <v>0</v>
      </c>
      <c r="R92" s="103">
        <f t="shared" si="20"/>
        <v>0</v>
      </c>
      <c r="S92" s="77">
        <f t="shared" si="20"/>
        <v>0</v>
      </c>
      <c r="T92" s="33">
        <f t="shared" si="20"/>
        <v>0</v>
      </c>
      <c r="U92" s="33">
        <f t="shared" si="20"/>
        <v>0</v>
      </c>
      <c r="V92" s="36">
        <f t="shared" si="20"/>
        <v>0</v>
      </c>
    </row>
    <row r="93" spans="1:22" ht="20.100000000000001" customHeight="1">
      <c r="A93" s="57" t="s">
        <v>116</v>
      </c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9"/>
    </row>
    <row r="94" spans="1:22" ht="15" customHeight="1">
      <c r="A94" s="31" t="s">
        <v>24</v>
      </c>
      <c r="B94" s="15" t="s">
        <v>25</v>
      </c>
      <c r="C94" s="15" t="s">
        <v>69</v>
      </c>
      <c r="D94" s="15" t="s">
        <v>59</v>
      </c>
      <c r="E94" s="15" t="s">
        <v>46</v>
      </c>
      <c r="F94" s="16"/>
      <c r="G94" s="15" t="s">
        <v>60</v>
      </c>
      <c r="H94" s="15" t="s">
        <v>70</v>
      </c>
      <c r="I94" s="16" t="s">
        <v>117</v>
      </c>
      <c r="J94" s="16"/>
      <c r="K94" s="19">
        <v>50000000</v>
      </c>
      <c r="L94" s="19">
        <v>50000000</v>
      </c>
      <c r="M94" s="9">
        <v>0</v>
      </c>
      <c r="N94" s="74">
        <f>K94-L94-M94</f>
        <v>0</v>
      </c>
      <c r="O94" s="78">
        <v>129993400</v>
      </c>
      <c r="P94" s="30">
        <v>124549741.34</v>
      </c>
      <c r="Q94" s="18">
        <v>0</v>
      </c>
      <c r="R94" s="104">
        <f>O94-P94-Q94</f>
        <v>5443658.6599999964</v>
      </c>
      <c r="S94" s="92">
        <v>0</v>
      </c>
      <c r="T94" s="9">
        <v>0</v>
      </c>
      <c r="U94" s="9">
        <v>0</v>
      </c>
      <c r="V94" s="32">
        <f>S94-T94-U94</f>
        <v>0</v>
      </c>
    </row>
    <row r="95" spans="1:22" ht="15" customHeight="1">
      <c r="A95" s="31" t="s">
        <v>24</v>
      </c>
      <c r="B95" s="15" t="s">
        <v>25</v>
      </c>
      <c r="C95" s="15" t="s">
        <v>69</v>
      </c>
      <c r="D95" s="15" t="s">
        <v>59</v>
      </c>
      <c r="E95" s="15" t="s">
        <v>47</v>
      </c>
      <c r="F95" s="16"/>
      <c r="G95" s="15" t="s">
        <v>65</v>
      </c>
      <c r="H95" s="15" t="s">
        <v>70</v>
      </c>
      <c r="I95" s="16" t="s">
        <v>117</v>
      </c>
      <c r="J95" s="16"/>
      <c r="K95" s="9">
        <v>0</v>
      </c>
      <c r="L95" s="9">
        <v>0</v>
      </c>
      <c r="M95" s="9">
        <v>0</v>
      </c>
      <c r="N95" s="74">
        <f>K95-L95-M95</f>
        <v>0</v>
      </c>
      <c r="O95" s="78">
        <v>510711600</v>
      </c>
      <c r="P95" s="30">
        <v>499921925.02999997</v>
      </c>
      <c r="Q95" s="18">
        <v>0</v>
      </c>
      <c r="R95" s="104">
        <f>O95-P95-Q95</f>
        <v>10789674.970000029</v>
      </c>
      <c r="S95" s="106">
        <v>750000000</v>
      </c>
      <c r="T95" s="19">
        <v>734260327.38</v>
      </c>
      <c r="U95" s="9">
        <v>0</v>
      </c>
      <c r="V95" s="38">
        <f>S95-T95-U95</f>
        <v>15739672.620000005</v>
      </c>
    </row>
    <row r="96" spans="1:22" ht="15" customHeight="1" thickBot="1">
      <c r="A96" s="54" t="s">
        <v>33</v>
      </c>
      <c r="B96" s="55"/>
      <c r="C96" s="55"/>
      <c r="D96" s="55"/>
      <c r="E96" s="55"/>
      <c r="F96" s="55"/>
      <c r="G96" s="55"/>
      <c r="H96" s="55"/>
      <c r="I96" s="55"/>
      <c r="J96" s="56"/>
      <c r="K96" s="34">
        <f t="shared" ref="K96:V96" si="21">SUM(K94:K95)</f>
        <v>50000000</v>
      </c>
      <c r="L96" s="34">
        <f t="shared" si="21"/>
        <v>50000000</v>
      </c>
      <c r="M96" s="33">
        <f t="shared" si="21"/>
        <v>0</v>
      </c>
      <c r="N96" s="80">
        <f t="shared" si="21"/>
        <v>0</v>
      </c>
      <c r="O96" s="79">
        <f t="shared" si="21"/>
        <v>640705000</v>
      </c>
      <c r="P96" s="37">
        <f t="shared" si="21"/>
        <v>624471666.37</v>
      </c>
      <c r="Q96" s="35">
        <f t="shared" si="21"/>
        <v>0</v>
      </c>
      <c r="R96" s="105">
        <f t="shared" si="21"/>
        <v>16233333.630000025</v>
      </c>
      <c r="S96" s="107">
        <f t="shared" si="21"/>
        <v>750000000</v>
      </c>
      <c r="T96" s="34">
        <f t="shared" si="21"/>
        <v>734260327.38</v>
      </c>
      <c r="U96" s="33">
        <f t="shared" si="21"/>
        <v>0</v>
      </c>
      <c r="V96" s="39">
        <f t="shared" si="21"/>
        <v>15739672.620000005</v>
      </c>
    </row>
    <row r="97" spans="1:22" ht="20.100000000000001" customHeight="1">
      <c r="A97" s="57" t="s">
        <v>118</v>
      </c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9"/>
    </row>
    <row r="98" spans="1:22" ht="15" customHeight="1">
      <c r="A98" s="31" t="s">
        <v>24</v>
      </c>
      <c r="B98" s="15" t="s">
        <v>25</v>
      </c>
      <c r="C98" s="15" t="s">
        <v>69</v>
      </c>
      <c r="D98" s="15" t="s">
        <v>59</v>
      </c>
      <c r="E98" s="15" t="s">
        <v>46</v>
      </c>
      <c r="F98" s="16"/>
      <c r="G98" s="15" t="s">
        <v>65</v>
      </c>
      <c r="H98" s="15" t="s">
        <v>70</v>
      </c>
      <c r="I98" s="16" t="s">
        <v>119</v>
      </c>
      <c r="J98" s="16"/>
      <c r="K98" s="19">
        <v>18400</v>
      </c>
      <c r="L98" s="19">
        <v>18370.09</v>
      </c>
      <c r="M98" s="9">
        <v>0</v>
      </c>
      <c r="N98" s="72">
        <f>K98-L98-M98</f>
        <v>29.909999999999854</v>
      </c>
      <c r="O98" s="70">
        <v>0</v>
      </c>
      <c r="P98" s="18">
        <v>0</v>
      </c>
      <c r="Q98" s="18">
        <v>0</v>
      </c>
      <c r="R98" s="102">
        <f>O98-P98-Q98</f>
        <v>0</v>
      </c>
      <c r="S98" s="92">
        <v>0</v>
      </c>
      <c r="T98" s="9">
        <v>0</v>
      </c>
      <c r="U98" s="9">
        <v>0</v>
      </c>
      <c r="V98" s="32">
        <f>S98-T98-U98</f>
        <v>0</v>
      </c>
    </row>
    <row r="99" spans="1:22" ht="15" customHeight="1" thickBot="1">
      <c r="A99" s="54" t="s">
        <v>33</v>
      </c>
      <c r="B99" s="55"/>
      <c r="C99" s="55"/>
      <c r="D99" s="55"/>
      <c r="E99" s="55"/>
      <c r="F99" s="55"/>
      <c r="G99" s="55"/>
      <c r="H99" s="55"/>
      <c r="I99" s="55"/>
      <c r="J99" s="56"/>
      <c r="K99" s="34">
        <f t="shared" ref="K99:V99" si="22">SUM(K98)</f>
        <v>18400</v>
      </c>
      <c r="L99" s="34">
        <f t="shared" si="22"/>
        <v>18370.09</v>
      </c>
      <c r="M99" s="33">
        <f t="shared" si="22"/>
        <v>0</v>
      </c>
      <c r="N99" s="73">
        <f t="shared" si="22"/>
        <v>29.909999999999854</v>
      </c>
      <c r="O99" s="71">
        <f t="shared" si="22"/>
        <v>0</v>
      </c>
      <c r="P99" s="35">
        <f t="shared" si="22"/>
        <v>0</v>
      </c>
      <c r="Q99" s="35">
        <f t="shared" si="22"/>
        <v>0</v>
      </c>
      <c r="R99" s="103">
        <f t="shared" si="22"/>
        <v>0</v>
      </c>
      <c r="S99" s="77">
        <f t="shared" si="22"/>
        <v>0</v>
      </c>
      <c r="T99" s="33">
        <f t="shared" si="22"/>
        <v>0</v>
      </c>
      <c r="U99" s="33">
        <f t="shared" si="22"/>
        <v>0</v>
      </c>
      <c r="V99" s="36">
        <f t="shared" si="22"/>
        <v>0</v>
      </c>
    </row>
    <row r="100" spans="1:22" ht="20.100000000000001" customHeight="1">
      <c r="A100" s="57" t="s">
        <v>120</v>
      </c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9"/>
    </row>
    <row r="101" spans="1:22" ht="15" customHeight="1">
      <c r="A101" s="31" t="s">
        <v>24</v>
      </c>
      <c r="B101" s="15" t="s">
        <v>25</v>
      </c>
      <c r="C101" s="15" t="s">
        <v>69</v>
      </c>
      <c r="D101" s="15" t="s">
        <v>59</v>
      </c>
      <c r="E101" s="15" t="s">
        <v>46</v>
      </c>
      <c r="F101" s="16"/>
      <c r="G101" s="15" t="s">
        <v>60</v>
      </c>
      <c r="H101" s="15" t="s">
        <v>70</v>
      </c>
      <c r="I101" s="16" t="s">
        <v>121</v>
      </c>
      <c r="J101" s="16"/>
      <c r="K101" s="19">
        <v>6741194</v>
      </c>
      <c r="L101" s="19">
        <v>6741194</v>
      </c>
      <c r="M101" s="9">
        <v>0</v>
      </c>
      <c r="N101" s="72">
        <f>K101-L101-M101</f>
        <v>0</v>
      </c>
      <c r="O101" s="70">
        <v>0</v>
      </c>
      <c r="P101" s="18">
        <v>0</v>
      </c>
      <c r="Q101" s="18">
        <v>0</v>
      </c>
      <c r="R101" s="102">
        <f>O101-P101-Q101</f>
        <v>0</v>
      </c>
      <c r="S101" s="92">
        <v>0</v>
      </c>
      <c r="T101" s="9">
        <v>0</v>
      </c>
      <c r="U101" s="9">
        <v>0</v>
      </c>
      <c r="V101" s="32">
        <f>S101-T101-U101</f>
        <v>0</v>
      </c>
    </row>
    <row r="102" spans="1:22" ht="15" customHeight="1">
      <c r="A102" s="31" t="s">
        <v>24</v>
      </c>
      <c r="B102" s="15" t="s">
        <v>25</v>
      </c>
      <c r="C102" s="15" t="s">
        <v>69</v>
      </c>
      <c r="D102" s="15" t="s">
        <v>59</v>
      </c>
      <c r="E102" s="15" t="s">
        <v>46</v>
      </c>
      <c r="F102" s="16"/>
      <c r="G102" s="15" t="s">
        <v>65</v>
      </c>
      <c r="H102" s="15" t="s">
        <v>70</v>
      </c>
      <c r="I102" s="16" t="s">
        <v>121</v>
      </c>
      <c r="J102" s="16"/>
      <c r="K102" s="19">
        <v>865723.02</v>
      </c>
      <c r="L102" s="19">
        <v>865723.02</v>
      </c>
      <c r="M102" s="9">
        <v>0</v>
      </c>
      <c r="N102" s="74">
        <f>K102-L102-M102</f>
        <v>0</v>
      </c>
      <c r="O102" s="70">
        <v>0</v>
      </c>
      <c r="P102" s="18">
        <v>0</v>
      </c>
      <c r="Q102" s="18">
        <v>0</v>
      </c>
      <c r="R102" s="102">
        <f>O102-P102-Q102</f>
        <v>0</v>
      </c>
      <c r="S102" s="92">
        <v>0</v>
      </c>
      <c r="T102" s="9">
        <v>0</v>
      </c>
      <c r="U102" s="9">
        <v>0</v>
      </c>
      <c r="V102" s="32">
        <f>S102-T102-U102</f>
        <v>0</v>
      </c>
    </row>
    <row r="103" spans="1:22" ht="15" customHeight="1">
      <c r="A103" s="31" t="s">
        <v>24</v>
      </c>
      <c r="B103" s="15" t="s">
        <v>25</v>
      </c>
      <c r="C103" s="15" t="s">
        <v>69</v>
      </c>
      <c r="D103" s="15" t="s">
        <v>59</v>
      </c>
      <c r="E103" s="15" t="s">
        <v>47</v>
      </c>
      <c r="F103" s="16"/>
      <c r="G103" s="15" t="s">
        <v>65</v>
      </c>
      <c r="H103" s="15" t="s">
        <v>70</v>
      </c>
      <c r="I103" s="16" t="s">
        <v>121</v>
      </c>
      <c r="J103" s="16"/>
      <c r="K103" s="19">
        <v>151745782.97999999</v>
      </c>
      <c r="L103" s="19">
        <v>151745754.62</v>
      </c>
      <c r="M103" s="9">
        <v>0</v>
      </c>
      <c r="N103" s="72">
        <f>K103-L103-M103</f>
        <v>28.359999984502792</v>
      </c>
      <c r="O103" s="70">
        <v>0</v>
      </c>
      <c r="P103" s="18">
        <v>0</v>
      </c>
      <c r="Q103" s="18">
        <v>0</v>
      </c>
      <c r="R103" s="102">
        <f>O103-P103-Q103</f>
        <v>0</v>
      </c>
      <c r="S103" s="92">
        <v>0</v>
      </c>
      <c r="T103" s="9">
        <v>0</v>
      </c>
      <c r="U103" s="9">
        <v>0</v>
      </c>
      <c r="V103" s="32">
        <f>S103-T103-U103</f>
        <v>0</v>
      </c>
    </row>
    <row r="104" spans="1:22" ht="15" customHeight="1" thickBot="1">
      <c r="A104" s="54" t="s">
        <v>33</v>
      </c>
      <c r="B104" s="55"/>
      <c r="C104" s="55"/>
      <c r="D104" s="55"/>
      <c r="E104" s="55"/>
      <c r="F104" s="55"/>
      <c r="G104" s="55"/>
      <c r="H104" s="55"/>
      <c r="I104" s="55"/>
      <c r="J104" s="56"/>
      <c r="K104" s="34">
        <f t="shared" ref="K104:V104" si="23">SUM(K101:K103)</f>
        <v>159352700</v>
      </c>
      <c r="L104" s="34">
        <f t="shared" si="23"/>
        <v>159352671.64000002</v>
      </c>
      <c r="M104" s="33">
        <f t="shared" si="23"/>
        <v>0</v>
      </c>
      <c r="N104" s="73">
        <f t="shared" si="23"/>
        <v>28.359999984502792</v>
      </c>
      <c r="O104" s="71">
        <f t="shared" si="23"/>
        <v>0</v>
      </c>
      <c r="P104" s="35">
        <f t="shared" si="23"/>
        <v>0</v>
      </c>
      <c r="Q104" s="35">
        <f t="shared" si="23"/>
        <v>0</v>
      </c>
      <c r="R104" s="103">
        <f t="shared" si="23"/>
        <v>0</v>
      </c>
      <c r="S104" s="77">
        <f t="shared" si="23"/>
        <v>0</v>
      </c>
      <c r="T104" s="33">
        <f t="shared" si="23"/>
        <v>0</v>
      </c>
      <c r="U104" s="33">
        <f t="shared" si="23"/>
        <v>0</v>
      </c>
      <c r="V104" s="36">
        <f t="shared" si="23"/>
        <v>0</v>
      </c>
    </row>
    <row r="105" spans="1:22" ht="20.100000000000001" customHeight="1">
      <c r="A105" s="57" t="s">
        <v>122</v>
      </c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9"/>
    </row>
    <row r="106" spans="1:22" ht="15" customHeight="1">
      <c r="A106" s="31" t="s">
        <v>24</v>
      </c>
      <c r="B106" s="15" t="s">
        <v>25</v>
      </c>
      <c r="C106" s="15" t="s">
        <v>69</v>
      </c>
      <c r="D106" s="15" t="s">
        <v>59</v>
      </c>
      <c r="E106" s="15" t="s">
        <v>46</v>
      </c>
      <c r="F106" s="16"/>
      <c r="G106" s="15" t="s">
        <v>60</v>
      </c>
      <c r="H106" s="15" t="s">
        <v>70</v>
      </c>
      <c r="I106" s="16" t="s">
        <v>123</v>
      </c>
      <c r="J106" s="16"/>
      <c r="K106" s="19">
        <v>2779300</v>
      </c>
      <c r="L106" s="19">
        <v>2731741.06</v>
      </c>
      <c r="M106" s="9">
        <v>0</v>
      </c>
      <c r="N106" s="72">
        <f>K106-L106-M106</f>
        <v>47558.939999999944</v>
      </c>
      <c r="O106" s="70">
        <v>0</v>
      </c>
      <c r="P106" s="18">
        <v>0</v>
      </c>
      <c r="Q106" s="18">
        <v>0</v>
      </c>
      <c r="R106" s="102">
        <f>O106-P106-Q106</f>
        <v>0</v>
      </c>
      <c r="S106" s="92">
        <v>0</v>
      </c>
      <c r="T106" s="9">
        <v>0</v>
      </c>
      <c r="U106" s="9">
        <v>0</v>
      </c>
      <c r="V106" s="32">
        <f>S106-T106-U106</f>
        <v>0</v>
      </c>
    </row>
    <row r="107" spans="1:22" ht="15" customHeight="1">
      <c r="A107" s="31" t="s">
        <v>24</v>
      </c>
      <c r="B107" s="15" t="s">
        <v>25</v>
      </c>
      <c r="C107" s="15" t="s">
        <v>69</v>
      </c>
      <c r="D107" s="15" t="s">
        <v>59</v>
      </c>
      <c r="E107" s="15" t="s">
        <v>46</v>
      </c>
      <c r="F107" s="16"/>
      <c r="G107" s="15" t="s">
        <v>65</v>
      </c>
      <c r="H107" s="15" t="s">
        <v>70</v>
      </c>
      <c r="I107" s="16" t="s">
        <v>123</v>
      </c>
      <c r="J107" s="16"/>
      <c r="K107" s="19">
        <v>1200000</v>
      </c>
      <c r="L107" s="19">
        <v>600000</v>
      </c>
      <c r="M107" s="9">
        <v>0</v>
      </c>
      <c r="N107" s="72">
        <f>K107-L107-M107</f>
        <v>600000</v>
      </c>
      <c r="O107" s="70">
        <v>0</v>
      </c>
      <c r="P107" s="18">
        <v>0</v>
      </c>
      <c r="Q107" s="18">
        <v>0</v>
      </c>
      <c r="R107" s="102">
        <f>O107-P107-Q107</f>
        <v>0</v>
      </c>
      <c r="S107" s="92">
        <v>0</v>
      </c>
      <c r="T107" s="9">
        <v>0</v>
      </c>
      <c r="U107" s="9">
        <v>0</v>
      </c>
      <c r="V107" s="32">
        <f>S107-T107-U107</f>
        <v>0</v>
      </c>
    </row>
    <row r="108" spans="1:22" ht="15" customHeight="1">
      <c r="A108" s="31" t="s">
        <v>24</v>
      </c>
      <c r="B108" s="15" t="s">
        <v>25</v>
      </c>
      <c r="C108" s="15" t="s">
        <v>69</v>
      </c>
      <c r="D108" s="15" t="s">
        <v>59</v>
      </c>
      <c r="E108" s="15" t="s">
        <v>47</v>
      </c>
      <c r="F108" s="16"/>
      <c r="G108" s="15" t="s">
        <v>65</v>
      </c>
      <c r="H108" s="15" t="s">
        <v>70</v>
      </c>
      <c r="I108" s="16" t="s">
        <v>123</v>
      </c>
      <c r="J108" s="16"/>
      <c r="K108" s="19">
        <v>92126600</v>
      </c>
      <c r="L108" s="19">
        <v>89865908.640000001</v>
      </c>
      <c r="M108" s="9">
        <v>0</v>
      </c>
      <c r="N108" s="72">
        <f>K108-L108-M108</f>
        <v>2260691.3599999994</v>
      </c>
      <c r="O108" s="70">
        <v>0</v>
      </c>
      <c r="P108" s="18">
        <v>0</v>
      </c>
      <c r="Q108" s="18">
        <v>0</v>
      </c>
      <c r="R108" s="102">
        <f>O108-P108-Q108</f>
        <v>0</v>
      </c>
      <c r="S108" s="92">
        <v>0</v>
      </c>
      <c r="T108" s="9">
        <v>0</v>
      </c>
      <c r="U108" s="9">
        <v>0</v>
      </c>
      <c r="V108" s="32">
        <f>S108-T108-U108</f>
        <v>0</v>
      </c>
    </row>
    <row r="109" spans="1:22" ht="15" customHeight="1" thickBot="1">
      <c r="A109" s="54" t="s">
        <v>33</v>
      </c>
      <c r="B109" s="55"/>
      <c r="C109" s="55"/>
      <c r="D109" s="55"/>
      <c r="E109" s="55"/>
      <c r="F109" s="55"/>
      <c r="G109" s="55"/>
      <c r="H109" s="55"/>
      <c r="I109" s="55"/>
      <c r="J109" s="56"/>
      <c r="K109" s="34">
        <f t="shared" ref="K109:V109" si="24">SUM(K106:K108)</f>
        <v>96105900</v>
      </c>
      <c r="L109" s="34">
        <f t="shared" si="24"/>
        <v>93197649.700000003</v>
      </c>
      <c r="M109" s="33">
        <f t="shared" si="24"/>
        <v>0</v>
      </c>
      <c r="N109" s="73">
        <f t="shared" si="24"/>
        <v>2908250.2999999993</v>
      </c>
      <c r="O109" s="71">
        <f t="shared" si="24"/>
        <v>0</v>
      </c>
      <c r="P109" s="35">
        <f t="shared" si="24"/>
        <v>0</v>
      </c>
      <c r="Q109" s="35">
        <f t="shared" si="24"/>
        <v>0</v>
      </c>
      <c r="R109" s="103">
        <f t="shared" si="24"/>
        <v>0</v>
      </c>
      <c r="S109" s="77">
        <f t="shared" si="24"/>
        <v>0</v>
      </c>
      <c r="T109" s="33">
        <f t="shared" si="24"/>
        <v>0</v>
      </c>
      <c r="U109" s="33">
        <f t="shared" si="24"/>
        <v>0</v>
      </c>
      <c r="V109" s="36">
        <f t="shared" si="24"/>
        <v>0</v>
      </c>
    </row>
    <row r="110" spans="1:22" ht="20.100000000000001" customHeight="1">
      <c r="A110" s="57" t="s">
        <v>124</v>
      </c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9"/>
    </row>
    <row r="111" spans="1:22" ht="15" customHeight="1">
      <c r="A111" s="31" t="s">
        <v>24</v>
      </c>
      <c r="B111" s="15" t="s">
        <v>25</v>
      </c>
      <c r="C111" s="15" t="s">
        <v>69</v>
      </c>
      <c r="D111" s="15" t="s">
        <v>59</v>
      </c>
      <c r="E111" s="15" t="s">
        <v>46</v>
      </c>
      <c r="F111" s="16"/>
      <c r="G111" s="15" t="s">
        <v>60</v>
      </c>
      <c r="H111" s="15" t="s">
        <v>70</v>
      </c>
      <c r="I111" s="16" t="s">
        <v>125</v>
      </c>
      <c r="J111" s="16"/>
      <c r="K111" s="19">
        <v>4864200</v>
      </c>
      <c r="L111" s="19">
        <v>2620146.75</v>
      </c>
      <c r="M111" s="9">
        <v>0</v>
      </c>
      <c r="N111" s="72">
        <f>K111-L111-M111</f>
        <v>2244053.25</v>
      </c>
      <c r="O111" s="70">
        <v>0</v>
      </c>
      <c r="P111" s="18">
        <v>0</v>
      </c>
      <c r="Q111" s="18">
        <v>0</v>
      </c>
      <c r="R111" s="102">
        <f>O111-P111-Q111</f>
        <v>0</v>
      </c>
      <c r="S111" s="92">
        <v>0</v>
      </c>
      <c r="T111" s="9">
        <v>0</v>
      </c>
      <c r="U111" s="9">
        <v>0</v>
      </c>
      <c r="V111" s="32">
        <f>S111-T111-U111</f>
        <v>0</v>
      </c>
    </row>
    <row r="112" spans="1:22" ht="15" customHeight="1">
      <c r="A112" s="31" t="s">
        <v>24</v>
      </c>
      <c r="B112" s="15" t="s">
        <v>25</v>
      </c>
      <c r="C112" s="15" t="s">
        <v>69</v>
      </c>
      <c r="D112" s="15" t="s">
        <v>59</v>
      </c>
      <c r="E112" s="15" t="s">
        <v>47</v>
      </c>
      <c r="F112" s="16"/>
      <c r="G112" s="15" t="s">
        <v>65</v>
      </c>
      <c r="H112" s="15" t="s">
        <v>70</v>
      </c>
      <c r="I112" s="16" t="s">
        <v>125</v>
      </c>
      <c r="J112" s="16"/>
      <c r="K112" s="9">
        <v>0</v>
      </c>
      <c r="L112" s="9">
        <v>0</v>
      </c>
      <c r="M112" s="9">
        <v>0</v>
      </c>
      <c r="N112" s="74">
        <f>K112-L112-M112</f>
        <v>0</v>
      </c>
      <c r="O112" s="78">
        <v>196121700</v>
      </c>
      <c r="P112" s="18">
        <v>0</v>
      </c>
      <c r="Q112" s="18">
        <v>0</v>
      </c>
      <c r="R112" s="104">
        <f>O112-P112-Q112</f>
        <v>196121700</v>
      </c>
      <c r="S112" s="92">
        <v>0</v>
      </c>
      <c r="T112" s="9">
        <v>0</v>
      </c>
      <c r="U112" s="9">
        <v>0</v>
      </c>
      <c r="V112" s="32">
        <f>S112-T112-U112</f>
        <v>0</v>
      </c>
    </row>
    <row r="113" spans="1:22" ht="15" customHeight="1" thickBot="1">
      <c r="A113" s="54" t="s">
        <v>33</v>
      </c>
      <c r="B113" s="55"/>
      <c r="C113" s="55"/>
      <c r="D113" s="55"/>
      <c r="E113" s="55"/>
      <c r="F113" s="55"/>
      <c r="G113" s="55"/>
      <c r="H113" s="55"/>
      <c r="I113" s="55"/>
      <c r="J113" s="56"/>
      <c r="K113" s="34">
        <f t="shared" ref="K113:V113" si="25">SUM(K111:K112)</f>
        <v>4864200</v>
      </c>
      <c r="L113" s="34">
        <f t="shared" si="25"/>
        <v>2620146.75</v>
      </c>
      <c r="M113" s="33">
        <f t="shared" si="25"/>
        <v>0</v>
      </c>
      <c r="N113" s="73">
        <f t="shared" si="25"/>
        <v>2244053.25</v>
      </c>
      <c r="O113" s="79">
        <f t="shared" si="25"/>
        <v>196121700</v>
      </c>
      <c r="P113" s="35">
        <f t="shared" si="25"/>
        <v>0</v>
      </c>
      <c r="Q113" s="35">
        <f t="shared" si="25"/>
        <v>0</v>
      </c>
      <c r="R113" s="105">
        <f t="shared" si="25"/>
        <v>196121700</v>
      </c>
      <c r="S113" s="77">
        <f t="shared" si="25"/>
        <v>0</v>
      </c>
      <c r="T113" s="33">
        <f t="shared" si="25"/>
        <v>0</v>
      </c>
      <c r="U113" s="33">
        <f t="shared" si="25"/>
        <v>0</v>
      </c>
      <c r="V113" s="36">
        <f t="shared" si="25"/>
        <v>0</v>
      </c>
    </row>
    <row r="114" spans="1:22" ht="20.100000000000001" customHeight="1">
      <c r="A114" s="57" t="s">
        <v>126</v>
      </c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9"/>
    </row>
    <row r="115" spans="1:22" ht="15" customHeight="1">
      <c r="A115" s="31" t="s">
        <v>24</v>
      </c>
      <c r="B115" s="15" t="s">
        <v>25</v>
      </c>
      <c r="C115" s="15" t="s">
        <v>69</v>
      </c>
      <c r="D115" s="15" t="s">
        <v>59</v>
      </c>
      <c r="E115" s="15" t="s">
        <v>47</v>
      </c>
      <c r="F115" s="16"/>
      <c r="G115" s="15" t="s">
        <v>65</v>
      </c>
      <c r="H115" s="15" t="s">
        <v>70</v>
      </c>
      <c r="I115" s="16" t="s">
        <v>127</v>
      </c>
      <c r="J115" s="16"/>
      <c r="K115" s="19">
        <v>0</v>
      </c>
      <c r="L115" s="9">
        <v>0</v>
      </c>
      <c r="M115" s="9">
        <v>0</v>
      </c>
      <c r="N115" s="72">
        <f>K115-L115-M115</f>
        <v>0</v>
      </c>
      <c r="O115" s="78">
        <v>0</v>
      </c>
      <c r="P115" s="18">
        <v>0</v>
      </c>
      <c r="Q115" s="18">
        <v>0</v>
      </c>
      <c r="R115" s="104">
        <f>O115-P115-Q115</f>
        <v>0</v>
      </c>
      <c r="S115" s="92">
        <v>0</v>
      </c>
      <c r="T115" s="9">
        <v>0</v>
      </c>
      <c r="U115" s="9">
        <v>0</v>
      </c>
      <c r="V115" s="32">
        <f>S115-T115-U115</f>
        <v>0</v>
      </c>
    </row>
    <row r="116" spans="1:22" ht="15" customHeight="1" thickBot="1">
      <c r="A116" s="54" t="s">
        <v>33</v>
      </c>
      <c r="B116" s="55"/>
      <c r="C116" s="55"/>
      <c r="D116" s="55"/>
      <c r="E116" s="55"/>
      <c r="F116" s="55"/>
      <c r="G116" s="55"/>
      <c r="H116" s="55"/>
      <c r="I116" s="55"/>
      <c r="J116" s="56"/>
      <c r="K116" s="34">
        <f t="shared" ref="K116:V116" si="26">SUM(K115)</f>
        <v>0</v>
      </c>
      <c r="L116" s="33">
        <f t="shared" si="26"/>
        <v>0</v>
      </c>
      <c r="M116" s="33">
        <f t="shared" si="26"/>
        <v>0</v>
      </c>
      <c r="N116" s="73">
        <f t="shared" si="26"/>
        <v>0</v>
      </c>
      <c r="O116" s="79">
        <f t="shared" si="26"/>
        <v>0</v>
      </c>
      <c r="P116" s="35">
        <f t="shared" si="26"/>
        <v>0</v>
      </c>
      <c r="Q116" s="35">
        <f t="shared" si="26"/>
        <v>0</v>
      </c>
      <c r="R116" s="105">
        <f t="shared" si="26"/>
        <v>0</v>
      </c>
      <c r="S116" s="77">
        <f t="shared" si="26"/>
        <v>0</v>
      </c>
      <c r="T116" s="33">
        <f t="shared" si="26"/>
        <v>0</v>
      </c>
      <c r="U116" s="33">
        <f t="shared" si="26"/>
        <v>0</v>
      </c>
      <c r="V116" s="36">
        <f t="shared" si="26"/>
        <v>0</v>
      </c>
    </row>
    <row r="117" spans="1:22" ht="20.100000000000001" customHeight="1">
      <c r="A117" s="57" t="s">
        <v>128</v>
      </c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9"/>
    </row>
    <row r="118" spans="1:22" ht="15" customHeight="1">
      <c r="A118" s="31" t="s">
        <v>24</v>
      </c>
      <c r="B118" s="15" t="s">
        <v>25</v>
      </c>
      <c r="C118" s="15" t="s">
        <v>73</v>
      </c>
      <c r="D118" s="15" t="s">
        <v>59</v>
      </c>
      <c r="E118" s="15" t="s">
        <v>46</v>
      </c>
      <c r="F118" s="16"/>
      <c r="G118" s="15" t="s">
        <v>60</v>
      </c>
      <c r="H118" s="15" t="s">
        <v>74</v>
      </c>
      <c r="I118" s="16" t="s">
        <v>129</v>
      </c>
      <c r="J118" s="16"/>
      <c r="K118" s="9">
        <v>0</v>
      </c>
      <c r="L118" s="9">
        <v>0</v>
      </c>
      <c r="M118" s="9">
        <v>0</v>
      </c>
      <c r="N118" s="74">
        <f>K118-L118-M118</f>
        <v>0</v>
      </c>
      <c r="O118" s="78">
        <v>7528000</v>
      </c>
      <c r="P118" s="18">
        <v>0</v>
      </c>
      <c r="Q118" s="30">
        <v>7528000</v>
      </c>
      <c r="R118" s="102">
        <f>O118-P118-Q118</f>
        <v>0</v>
      </c>
      <c r="S118" s="92">
        <v>0</v>
      </c>
      <c r="T118" s="9">
        <v>0</v>
      </c>
      <c r="U118" s="9">
        <v>0</v>
      </c>
      <c r="V118" s="32">
        <f>S118-T118-U118</f>
        <v>0</v>
      </c>
    </row>
    <row r="119" spans="1:22" ht="15" customHeight="1">
      <c r="A119" s="31" t="s">
        <v>24</v>
      </c>
      <c r="B119" s="15" t="s">
        <v>25</v>
      </c>
      <c r="C119" s="15" t="s">
        <v>73</v>
      </c>
      <c r="D119" s="15" t="s">
        <v>59</v>
      </c>
      <c r="E119" s="15" t="s">
        <v>47</v>
      </c>
      <c r="F119" s="16"/>
      <c r="G119" s="15" t="s">
        <v>65</v>
      </c>
      <c r="H119" s="15" t="s">
        <v>74</v>
      </c>
      <c r="I119" s="16" t="s">
        <v>129</v>
      </c>
      <c r="J119" s="16"/>
      <c r="K119" s="9">
        <v>0</v>
      </c>
      <c r="L119" s="9">
        <v>0</v>
      </c>
      <c r="M119" s="9">
        <v>0</v>
      </c>
      <c r="N119" s="74">
        <f>K119-L119-M119</f>
        <v>0</v>
      </c>
      <c r="O119" s="78">
        <v>356858300</v>
      </c>
      <c r="P119" s="18">
        <v>0</v>
      </c>
      <c r="Q119" s="30">
        <v>348384157.48000002</v>
      </c>
      <c r="R119" s="104">
        <f>O119-P119-Q119</f>
        <v>8474142.5199999809</v>
      </c>
      <c r="S119" s="92">
        <v>0</v>
      </c>
      <c r="T119" s="9">
        <v>0</v>
      </c>
      <c r="U119" s="9">
        <v>0</v>
      </c>
      <c r="V119" s="32">
        <f>S119-T119-U119</f>
        <v>0</v>
      </c>
    </row>
    <row r="120" spans="1:22" ht="15" customHeight="1" thickBot="1">
      <c r="A120" s="54" t="s">
        <v>33</v>
      </c>
      <c r="B120" s="55"/>
      <c r="C120" s="55"/>
      <c r="D120" s="55"/>
      <c r="E120" s="55"/>
      <c r="F120" s="55"/>
      <c r="G120" s="55"/>
      <c r="H120" s="55"/>
      <c r="I120" s="55"/>
      <c r="J120" s="56"/>
      <c r="K120" s="33">
        <f t="shared" ref="K120:V120" si="27">SUM(K118:K119)</f>
        <v>0</v>
      </c>
      <c r="L120" s="33">
        <f t="shared" si="27"/>
        <v>0</v>
      </c>
      <c r="M120" s="33">
        <f t="shared" si="27"/>
        <v>0</v>
      </c>
      <c r="N120" s="80">
        <f t="shared" si="27"/>
        <v>0</v>
      </c>
      <c r="O120" s="79">
        <f t="shared" si="27"/>
        <v>364386300</v>
      </c>
      <c r="P120" s="35">
        <f t="shared" si="27"/>
        <v>0</v>
      </c>
      <c r="Q120" s="37">
        <f t="shared" si="27"/>
        <v>355912157.48000002</v>
      </c>
      <c r="R120" s="105">
        <f t="shared" si="27"/>
        <v>8474142.5199999809</v>
      </c>
      <c r="S120" s="77">
        <f t="shared" si="27"/>
        <v>0</v>
      </c>
      <c r="T120" s="33">
        <f t="shared" si="27"/>
        <v>0</v>
      </c>
      <c r="U120" s="33">
        <f t="shared" si="27"/>
        <v>0</v>
      </c>
      <c r="V120" s="36">
        <f t="shared" si="27"/>
        <v>0</v>
      </c>
    </row>
    <row r="121" spans="1:22" ht="30" customHeight="1" thickBot="1">
      <c r="A121" s="51" t="s">
        <v>130</v>
      </c>
      <c r="B121" s="52"/>
      <c r="C121" s="52"/>
      <c r="D121" s="52"/>
      <c r="E121" s="52"/>
      <c r="F121" s="52"/>
      <c r="G121" s="52"/>
      <c r="H121" s="52"/>
      <c r="I121" s="52"/>
      <c r="J121" s="53"/>
      <c r="K121" s="42">
        <f t="shared" ref="K121:V121" si="28">SUM(K34,K38,K41,K46,K50,K54,K60,K65,K68,K74,K78,K82,K87,K92,K96,K99,K104,K109,K113,K116,K120)</f>
        <v>12338239100</v>
      </c>
      <c r="L121" s="43">
        <f t="shared" si="28"/>
        <v>13476526564.089998</v>
      </c>
      <c r="M121" s="43">
        <f t="shared" si="28"/>
        <v>0</v>
      </c>
      <c r="N121" s="82">
        <f t="shared" si="28"/>
        <v>-1138287464.0899999</v>
      </c>
      <c r="O121" s="81">
        <f t="shared" si="28"/>
        <v>9011122800</v>
      </c>
      <c r="P121" s="44">
        <f t="shared" si="28"/>
        <v>6897759002.8400002</v>
      </c>
      <c r="Q121" s="44">
        <f t="shared" si="28"/>
        <v>355912157.48000002</v>
      </c>
      <c r="R121" s="111">
        <f t="shared" si="28"/>
        <v>1757451639.6799994</v>
      </c>
      <c r="S121" s="110">
        <f t="shared" si="28"/>
        <v>2402755200</v>
      </c>
      <c r="T121" s="43">
        <f t="shared" si="28"/>
        <v>3139171680.3299999</v>
      </c>
      <c r="U121" s="43">
        <f t="shared" si="28"/>
        <v>75276209.5</v>
      </c>
      <c r="V121" s="45">
        <f t="shared" si="28"/>
        <v>-811692689.83000004</v>
      </c>
    </row>
    <row r="122" spans="1:22" ht="30" customHeight="1" thickBot="1">
      <c r="A122" s="51" t="s">
        <v>131</v>
      </c>
      <c r="B122" s="52"/>
      <c r="C122" s="52"/>
      <c r="D122" s="52"/>
      <c r="E122" s="52"/>
      <c r="F122" s="52"/>
      <c r="G122" s="52"/>
      <c r="H122" s="52"/>
      <c r="I122" s="52"/>
      <c r="J122" s="53"/>
      <c r="K122" s="42">
        <f t="shared" ref="K122:V122" si="29">SUM(K6,K12,K23,K30,K34,K38,K41,K46,K50,K54,K60,K65,K68,K74,K78,K82,K87,K92,K96,K99,K104,K109,K113,K116,K120)</f>
        <v>26879434100</v>
      </c>
      <c r="L122" s="43">
        <f t="shared" si="29"/>
        <v>26777933330.500008</v>
      </c>
      <c r="M122" s="43">
        <f t="shared" si="29"/>
        <v>0</v>
      </c>
      <c r="N122" s="83">
        <f t="shared" si="29"/>
        <v>101500769.49999984</v>
      </c>
      <c r="O122" s="81">
        <f t="shared" si="29"/>
        <v>17131207200</v>
      </c>
      <c r="P122" s="44">
        <f t="shared" si="29"/>
        <v>12829566614.130003</v>
      </c>
      <c r="Q122" s="44">
        <f t="shared" si="29"/>
        <v>637958807.58000004</v>
      </c>
      <c r="R122" s="111">
        <f t="shared" si="29"/>
        <v>3663681778.289999</v>
      </c>
      <c r="S122" s="110">
        <f t="shared" si="29"/>
        <v>12551489500</v>
      </c>
      <c r="T122" s="43">
        <f t="shared" si="29"/>
        <v>5324497506.6000004</v>
      </c>
      <c r="U122" s="43">
        <f t="shared" si="29"/>
        <v>75276209.5</v>
      </c>
      <c r="V122" s="47">
        <f t="shared" si="29"/>
        <v>7151715783.8999996</v>
      </c>
    </row>
    <row r="128" spans="1:22">
      <c r="O128" s="46"/>
    </row>
  </sheetData>
  <mergeCells count="57">
    <mergeCell ref="S1:V1"/>
    <mergeCell ref="A13:V13"/>
    <mergeCell ref="A24:V24"/>
    <mergeCell ref="A105:V105"/>
    <mergeCell ref="A75:V75"/>
    <mergeCell ref="A104:J104"/>
    <mergeCell ref="K1:N1"/>
    <mergeCell ref="A69:V69"/>
    <mergeCell ref="A7:V7"/>
    <mergeCell ref="A41:J41"/>
    <mergeCell ref="O1:R1"/>
    <mergeCell ref="A46:J46"/>
    <mergeCell ref="A66:V66"/>
    <mergeCell ref="A50:J50"/>
    <mergeCell ref="A12:J12"/>
    <mergeCell ref="A3:V3"/>
    <mergeCell ref="A55:V55"/>
    <mergeCell ref="A6:J6"/>
    <mergeCell ref="A54:J54"/>
    <mergeCell ref="A61:V61"/>
    <mergeCell ref="A88:V88"/>
    <mergeCell ref="A87:J87"/>
    <mergeCell ref="A65:J65"/>
    <mergeCell ref="A99:J99"/>
    <mergeCell ref="A74:J74"/>
    <mergeCell ref="A117:V117"/>
    <mergeCell ref="A93:V93"/>
    <mergeCell ref="A92:J92"/>
    <mergeCell ref="A30:J30"/>
    <mergeCell ref="A31:V31"/>
    <mergeCell ref="A34:J34"/>
    <mergeCell ref="A114:V114"/>
    <mergeCell ref="A83:V83"/>
    <mergeCell ref="A39:V39"/>
    <mergeCell ref="A60:J60"/>
    <mergeCell ref="A82:J82"/>
    <mergeCell ref="A51:V51"/>
    <mergeCell ref="A68:J68"/>
    <mergeCell ref="A110:V110"/>
    <mergeCell ref="A79:V79"/>
    <mergeCell ref="A78:J78"/>
    <mergeCell ref="A1:J1"/>
    <mergeCell ref="A122:J122"/>
    <mergeCell ref="A109:J109"/>
    <mergeCell ref="A97:V97"/>
    <mergeCell ref="A100:V100"/>
    <mergeCell ref="A96:J96"/>
    <mergeCell ref="A121:J121"/>
    <mergeCell ref="A120:J120"/>
    <mergeCell ref="A113:J113"/>
    <mergeCell ref="A116:J116"/>
    <mergeCell ref="A23:J23"/>
    <mergeCell ref="A42:V42"/>
    <mergeCell ref="A47:V47"/>
    <mergeCell ref="A32:V32"/>
    <mergeCell ref="A38:J38"/>
    <mergeCell ref="A35:V35"/>
  </mergeCells>
  <pageMargins left="0.19685039370078741" right="0.19685039370078741" top="0.27559055118110237" bottom="0.27559055118110237" header="0.31496062992125984" footer="0.31496062992125984"/>
  <pageSetup paperSize="9" scale="63" orientation="landscape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9" orientation="portrait" horizontalDpi="180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Лист1!Заголовки_для_печати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Собянин Евгений Андреевич (new)</dc:creator>
  <cp:lastModifiedBy>Морошкина Ольга Викторовна (new)</cp:lastModifiedBy>
  <cp:lastPrinted>2025-11-24T14:26:39Z</cp:lastPrinted>
  <dcterms:created xsi:type="dcterms:W3CDTF">2006-09-28T05:33:49Z</dcterms:created>
  <dcterms:modified xsi:type="dcterms:W3CDTF">2025-11-24T15:28:43Z</dcterms:modified>
</cp:coreProperties>
</file>