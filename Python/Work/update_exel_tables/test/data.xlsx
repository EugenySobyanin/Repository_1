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05" windowWidth="15120" windowHeight="8010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\@"/>
  </numFmts>
  <fonts count="20">
    <font>
      <name val="Calibri"/>
      <charset val="204"/>
      <family val="2"/>
      <color theme="1"/>
      <sz val="11"/>
      <scheme val="minor"/>
    </font>
    <font>
      <name val="Arial Cyr"/>
      <color rgb="FF000000"/>
      <sz val="10"/>
    </font>
    <font>
      <name val="Arial Cyr"/>
      <color rgb="FF008000"/>
      <sz val="10"/>
    </font>
    <font>
      <name val="Arial Cyr&quot;, sans-serif"/>
      <b val="1"/>
      <color rgb="FF000000"/>
      <sz val="10"/>
    </font>
    <font>
      <name val="Arial Cyr"/>
      <color theme="1" tint="0.499984740745262"/>
      <sz val="10"/>
    </font>
    <font>
      <name val="Arial Cyr&quot;, sans-serif"/>
      <b val="1"/>
      <color theme="0"/>
      <sz val="11"/>
    </font>
    <font>
      <name val="Arial Cyr"/>
      <color rgb="FFFF0000"/>
      <sz val="10"/>
    </font>
    <font>
      <name val="Arial Cyr"/>
      <color theme="3" tint="-0.499984740745262"/>
      <sz val="10"/>
    </font>
    <font>
      <name val="Arial Cyr"/>
      <color rgb="FF044210"/>
      <sz val="10"/>
    </font>
    <font>
      <name val="Arial Cyr"/>
      <color theme="1" tint="0.3499862666707358"/>
      <sz val="10"/>
    </font>
    <font>
      <name val="Arial Cyr&quot;, sans-serif"/>
      <b val="1"/>
      <color theme="0"/>
      <sz val="16"/>
    </font>
    <font>
      <name val="Arial Cyr"/>
      <color rgb="FF076F1B"/>
      <sz val="10"/>
    </font>
    <font>
      <name val="Arial Cyr"/>
      <color theme="1" tint="0.0499893185216834"/>
      <sz val="10"/>
    </font>
    <font>
      <name val="Arial Cyr"/>
      <charset val="204"/>
      <b val="1"/>
      <color theme="1" tint="0.0499893185216834"/>
      <sz val="10"/>
    </font>
    <font>
      <name val="Arial Cyr"/>
      <charset val="204"/>
      <b val="1"/>
      <color theme="3" tint="-0.499984740745262"/>
      <sz val="10"/>
    </font>
    <font>
      <name val="Arial Cyr"/>
      <charset val="204"/>
      <b val="1"/>
      <color theme="1" tint="0.499984740745262"/>
      <sz val="10"/>
    </font>
    <font>
      <name val="Arial Cyr"/>
      <charset val="204"/>
      <b val="1"/>
      <color rgb="FF076F1B"/>
      <sz val="10"/>
    </font>
    <font>
      <name val="Arial Cyr&quot;, sans-serif"/>
      <charset val="204"/>
      <b val="1"/>
      <i val="1"/>
      <sz val="14"/>
    </font>
    <font>
      <name val="Arial Cyr&quot;, sans-serif"/>
      <charset val="204"/>
      <b val="1"/>
      <i val="1"/>
      <color rgb="FF000000"/>
      <sz val="10"/>
    </font>
    <font>
      <name val="Arial Cyr"/>
      <charset val="204"/>
      <b val="1"/>
      <color rgb="FFFF0000"/>
      <sz val="10"/>
    </font>
  </fonts>
  <fills count="12">
    <fill>
      <patternFill/>
    </fill>
    <fill>
      <patternFill patternType="gray125"/>
    </fill>
    <fill>
      <patternFill patternType="solid">
        <fgColor rgb="FF99CCFF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98A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2A36"/>
        <bgColor indexed="64"/>
      </patternFill>
    </fill>
    <fill>
      <patternFill patternType="solid">
        <fgColor rgb="FFEFF4FF"/>
        <bgColor indexed="64"/>
      </patternFill>
    </fill>
    <fill>
      <patternFill patternType="solid">
        <fgColor rgb="FFE5EDFF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BABABA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3499862666707358"/>
      </left>
      <right style="thin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3499862666707358"/>
      </left>
      <right/>
      <top style="medium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/>
      <right style="thin">
        <color theme="0" tint="-0.3499862666707358"/>
      </right>
      <top style="medium">
        <color theme="0" tint="-0.3499862666707358"/>
      </top>
      <bottom style="medium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thin">
        <color theme="0" tint="-0.499984740745262"/>
      </bottom>
      <diagonal/>
    </border>
    <border>
      <left/>
      <right/>
      <top style="thick">
        <color theme="3" tint="-0.499984740745262"/>
      </top>
      <bottom style="thin">
        <color theme="0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thin">
        <color theme="0" tint="-0.499984740745262"/>
      </bottom>
      <diagonal/>
    </border>
    <border>
      <left style="thick">
        <color theme="3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3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3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n">
        <color theme="0" tint="-0.499984740745262"/>
      </left>
      <right style="thick">
        <color theme="3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1499984740745262"/>
      </left>
      <right/>
      <top style="medium">
        <color theme="1" tint="0.1499984740745262"/>
      </top>
      <bottom style="thin">
        <color theme="0" tint="-0.499984740745262"/>
      </bottom>
      <diagonal/>
    </border>
    <border>
      <left/>
      <right/>
      <top style="medium">
        <color theme="1" tint="0.1499984740745262"/>
      </top>
      <bottom style="thin">
        <color theme="0" tint="-0.499984740745262"/>
      </bottom>
      <diagonal/>
    </border>
    <border>
      <left/>
      <right style="medium">
        <color theme="1" tint="0.1499984740745262"/>
      </right>
      <top style="medium">
        <color theme="1" tint="0.1499984740745262"/>
      </top>
      <bottom style="thin">
        <color theme="0" tint="-0.499984740745262"/>
      </bottom>
      <diagonal/>
    </border>
    <border>
      <left style="medium">
        <color theme="1" tint="0.1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1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9984740745262"/>
      </left>
      <right/>
      <top style="thin">
        <color theme="0" tint="-0.499984740745262"/>
      </top>
      <bottom style="medium">
        <color theme="1" tint="0.1499984740745262"/>
      </bottom>
      <diagonal/>
    </border>
    <border>
      <left/>
      <right/>
      <top style="thin">
        <color theme="0" tint="-0.499984740745262"/>
      </top>
      <bottom style="medium">
        <color theme="1" tint="0.1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 tint="0.1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1499984740745262"/>
      </bottom>
      <diagonal/>
    </border>
    <border>
      <left style="thin">
        <color theme="0" tint="-0.499984740745262"/>
      </left>
      <right style="medium">
        <color theme="1" tint="0.1499984740745262"/>
      </right>
      <top style="thin">
        <color theme="0" tint="-0.499984740745262"/>
      </top>
      <bottom style="medium">
        <color theme="1" tint="0.1499984740745262"/>
      </bottom>
      <diagonal/>
    </border>
    <border>
      <left style="medium">
        <color theme="1" tint="0.1499984740745262"/>
      </left>
      <right style="thin">
        <color theme="0" tint="-0.499984740745262"/>
      </right>
      <top style="medium">
        <color theme="1" tint="0.1499984740745262"/>
      </top>
      <bottom style="medium">
        <color theme="1" tint="0.1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1499984740745262"/>
      </top>
      <bottom style="medium">
        <color theme="1" tint="0.1499984740745262"/>
      </bottom>
      <diagonal/>
    </border>
    <border>
      <left style="thin">
        <color theme="0" tint="-0.499984740745262"/>
      </left>
      <right style="medium">
        <color theme="1" tint="0.1499984740745262"/>
      </right>
      <top style="medium">
        <color theme="1" tint="0.1499984740745262"/>
      </top>
      <bottom style="medium">
        <color theme="1" tint="0.1499984740745262"/>
      </bottom>
      <diagonal/>
    </border>
    <border>
      <left style="medium">
        <color theme="1" tint="0.1499984740745262"/>
      </left>
      <right/>
      <top style="medium">
        <color theme="1" tint="0.1499984740745262"/>
      </top>
      <bottom style="medium">
        <color theme="1" tint="0.1499984740745262"/>
      </bottom>
      <diagonal/>
    </border>
    <border>
      <left/>
      <right/>
      <top style="medium">
        <color theme="1" tint="0.1499984740745262"/>
      </top>
      <bottom style="medium">
        <color theme="1" tint="0.1499984740745262"/>
      </bottom>
      <diagonal/>
    </border>
    <border>
      <left/>
      <right style="medium">
        <color theme="1" tint="0.1499984740745262"/>
      </right>
      <top style="medium">
        <color theme="1" tint="0.1499984740745262"/>
      </top>
      <bottom style="medium">
        <color theme="1" tint="0.1499984740745262"/>
      </bottom>
      <diagonal/>
    </border>
    <border>
      <left style="medium">
        <color theme="1" tint="0.1499984740745262"/>
      </left>
      <right style="medium">
        <color theme="1" tint="0.1499984740745262"/>
      </right>
      <top style="medium">
        <color theme="1" tint="0.1499984740745262"/>
      </top>
      <bottom style="medium">
        <color theme="1" tint="0.1499984740745262"/>
      </bottom>
      <diagonal/>
    </border>
    <border>
      <left/>
      <right/>
      <top style="medium">
        <color theme="1" tint="0.1499984740745262"/>
      </top>
      <bottom/>
      <diagonal/>
    </border>
    <border>
      <left/>
      <right style="medium">
        <color theme="1" tint="0.1499984740745262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1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1" tint="0.1499984740745262"/>
      </left>
      <right style="medium">
        <color theme="1" tint="0.1499984740745262"/>
      </right>
      <top style="medium">
        <color theme="1" tint="0.1499984740745262"/>
      </top>
      <bottom style="thin">
        <color theme="0" tint="-0.499984740745262"/>
      </bottom>
      <diagonal/>
    </border>
    <border>
      <left/>
      <right/>
      <top style="medium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 style="medium">
        <color theme="0" tint="-0.3499862666707358"/>
      </bottom>
      <diagonal/>
    </border>
    <border>
      <left/>
      <right style="thin">
        <color theme="0" tint="-0.3499862666707358"/>
      </right>
      <top style="medium">
        <color theme="0" tint="-0.3499862666707358"/>
      </top>
      <bottom/>
      <diagonal/>
    </border>
    <border>
      <left/>
      <right/>
      <top style="thin">
        <color theme="0" tint="-0.499984740745262"/>
      </top>
      <bottom style="thick">
        <color theme="3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n">
        <color theme="0" tint="-0.499984740745262"/>
      </bottom>
      <diagonal/>
    </border>
    <border>
      <left/>
      <right/>
      <top style="thick">
        <color theme="3" tint="-0.499984740745262"/>
      </top>
      <bottom/>
      <diagonal/>
    </border>
    <border>
      <left/>
      <right style="thick">
        <color theme="3" tint="-0.499984740745262"/>
      </right>
      <top style="thick">
        <color theme="3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5">
    <xf numFmtId="0" fontId="0" fillId="0" borderId="0"/>
    <xf numFmtId="164" fontId="1" fillId="0" borderId="1" applyAlignment="1">
      <alignment vertical="top" wrapText="1"/>
    </xf>
    <xf numFmtId="4" fontId="2" fillId="0" borderId="1" applyAlignment="1">
      <alignment vertical="top" shrinkToFit="1"/>
    </xf>
    <xf numFmtId="0" fontId="3" fillId="2" borderId="1" applyAlignment="1">
      <alignment horizontal="center" vertical="center" wrapText="1"/>
    </xf>
    <xf numFmtId="0" fontId="3" fillId="2" borderId="1" applyAlignment="1">
      <alignment horizontal="center" vertical="center" wrapText="1"/>
    </xf>
  </cellStyleXfs>
  <cellXfs count="104">
    <xf numFmtId="0" fontId="0" fillId="0" borderId="0" pivotButton="0" quotePrefix="0" xfId="0"/>
    <xf numFmtId="0" fontId="0" fillId="3" borderId="0" pivotButton="0" quotePrefix="0" xfId="0"/>
    <xf numFmtId="0" fontId="5" fillId="4" borderId="2" applyAlignment="1" pivotButton="0" quotePrefix="0" xfId="3">
      <alignment horizontal="center" vertical="center" wrapText="1"/>
    </xf>
    <xf numFmtId="0" fontId="5" fillId="4" borderId="3" applyAlignment="1" pivotButton="0" quotePrefix="0" xfId="3">
      <alignment horizontal="center" vertical="center" wrapText="1"/>
    </xf>
    <xf numFmtId="0" fontId="5" fillId="4" borderId="3" applyAlignment="1" pivotButton="0" quotePrefix="0" xfId="4">
      <alignment horizontal="center" vertical="center" wrapText="1"/>
    </xf>
    <xf numFmtId="0" fontId="5" fillId="4" borderId="4" applyAlignment="1" pivotButton="0" quotePrefix="0" xfId="4">
      <alignment horizontal="center" vertical="center" wrapText="1"/>
    </xf>
    <xf numFmtId="0" fontId="0" fillId="3" borderId="0" pivotButton="0" quotePrefix="0" xfId="0"/>
    <xf numFmtId="49" fontId="9" fillId="9" borderId="8" applyAlignment="1" pivotButton="0" quotePrefix="0" xfId="1">
      <alignment vertical="top" wrapText="1"/>
    </xf>
    <xf numFmtId="49" fontId="1" fillId="9" borderId="8" applyAlignment="1" pivotButton="0" quotePrefix="1" xfId="1">
      <alignment vertical="top" wrapText="1"/>
    </xf>
    <xf numFmtId="4" fontId="7" fillId="6" borderId="8" applyAlignment="1" pivotButton="0" quotePrefix="0" xfId="2">
      <alignment vertical="top" shrinkToFit="1"/>
    </xf>
    <xf numFmtId="4" fontId="4" fillId="6" borderId="8" applyAlignment="1" pivotButton="0" quotePrefix="0" xfId="2">
      <alignment vertical="top" shrinkToFit="1"/>
    </xf>
    <xf numFmtId="4" fontId="4" fillId="9" borderId="8" applyAlignment="1" pivotButton="0" quotePrefix="0" xfId="2">
      <alignment vertical="top" shrinkToFit="1"/>
    </xf>
    <xf numFmtId="4" fontId="11" fillId="6" borderId="8" applyAlignment="1" pivotButton="0" quotePrefix="0" xfId="2">
      <alignment vertical="top" shrinkToFit="1"/>
    </xf>
    <xf numFmtId="4" fontId="7" fillId="9" borderId="8" applyAlignment="1" pivotButton="0" quotePrefix="0" xfId="2">
      <alignment vertical="top" shrinkToFit="1"/>
    </xf>
    <xf numFmtId="4" fontId="11" fillId="9" borderId="8" applyAlignment="1" pivotButton="0" quotePrefix="0" xfId="2">
      <alignment vertical="top" shrinkToFit="1"/>
    </xf>
    <xf numFmtId="49" fontId="9" fillId="9" borderId="8" applyAlignment="1" pivotButton="0" quotePrefix="1" xfId="1">
      <alignment vertical="top" wrapText="1"/>
    </xf>
    <xf numFmtId="4" fontId="4" fillId="8" borderId="8" applyAlignment="1" pivotButton="0" quotePrefix="0" xfId="2">
      <alignment vertical="top" shrinkToFit="1"/>
    </xf>
    <xf numFmtId="4" fontId="7" fillId="8" borderId="8" applyAlignment="1" pivotButton="0" quotePrefix="0" xfId="2">
      <alignment vertical="top" shrinkToFit="1"/>
    </xf>
    <xf numFmtId="4" fontId="11" fillId="8" borderId="8" applyAlignment="1" pivotButton="0" quotePrefix="0" xfId="2">
      <alignment vertical="top" shrinkToFit="1"/>
    </xf>
    <xf numFmtId="4" fontId="8" fillId="6" borderId="8" applyAlignment="1" pivotButton="0" quotePrefix="0" xfId="2">
      <alignment vertical="top" shrinkToFit="1"/>
    </xf>
    <xf numFmtId="49" fontId="9" fillId="10" borderId="8" applyAlignment="1" pivotButton="0" quotePrefix="0" xfId="1">
      <alignment vertical="top" wrapText="1"/>
    </xf>
    <xf numFmtId="49" fontId="9" fillId="10" borderId="8" applyAlignment="1" pivotButton="0" quotePrefix="1" xfId="1">
      <alignment vertical="top" wrapText="1"/>
    </xf>
    <xf numFmtId="49" fontId="1" fillId="10" borderId="8" applyAlignment="1" pivotButton="0" quotePrefix="1" xfId="1">
      <alignment vertical="top" wrapText="1"/>
    </xf>
    <xf numFmtId="4" fontId="6" fillId="6" borderId="8" applyAlignment="1" pivotButton="0" quotePrefix="0" xfId="2">
      <alignment vertical="top" shrinkToFit="1"/>
    </xf>
    <xf numFmtId="4" fontId="4" fillId="10" borderId="8" applyAlignment="1" pivotButton="0" quotePrefix="0" xfId="2">
      <alignment vertical="top" shrinkToFit="1"/>
    </xf>
    <xf numFmtId="4" fontId="11" fillId="10" borderId="8" applyAlignment="1" pivotButton="0" quotePrefix="0" xfId="2">
      <alignment vertical="top" shrinkToFit="1"/>
    </xf>
    <xf numFmtId="4" fontId="6" fillId="10" borderId="8" applyAlignment="1" pivotButton="0" quotePrefix="0" xfId="2">
      <alignment vertical="top" shrinkToFit="1"/>
    </xf>
    <xf numFmtId="4" fontId="12" fillId="6" borderId="8" applyAlignment="1" pivotButton="0" quotePrefix="0" xfId="2">
      <alignment vertical="top" shrinkToFit="1"/>
    </xf>
    <xf numFmtId="49" fontId="9" fillId="9" borderId="12" applyAlignment="1" pivotButton="0" quotePrefix="0" xfId="1">
      <alignment vertical="top" wrapText="1"/>
    </xf>
    <xf numFmtId="4" fontId="4" fillId="6" borderId="13" applyAlignment="1" pivotButton="0" quotePrefix="0" xfId="2">
      <alignment vertical="top" shrinkToFit="1"/>
    </xf>
    <xf numFmtId="4" fontId="11" fillId="6" borderId="13" applyAlignment="1" pivotButton="0" quotePrefix="0" xfId="2">
      <alignment vertical="top" shrinkToFit="1"/>
    </xf>
    <xf numFmtId="4" fontId="14" fillId="6" borderId="15" applyAlignment="1" pivotButton="0" quotePrefix="0" xfId="2">
      <alignment vertical="top" shrinkToFit="1"/>
    </xf>
    <xf numFmtId="4" fontId="15" fillId="6" borderId="15" applyAlignment="1" pivotButton="0" quotePrefix="0" xfId="2">
      <alignment vertical="top" shrinkToFit="1"/>
    </xf>
    <xf numFmtId="4" fontId="16" fillId="6" borderId="15" applyAlignment="1" pivotButton="0" quotePrefix="0" xfId="2">
      <alignment vertical="top" shrinkToFit="1"/>
    </xf>
    <xf numFmtId="4" fontId="14" fillId="9" borderId="15" applyAlignment="1" pivotButton="0" quotePrefix="0" xfId="2">
      <alignment vertical="top" shrinkToFit="1"/>
    </xf>
    <xf numFmtId="4" fontId="16" fillId="9" borderId="15" applyAlignment="1" pivotButton="0" quotePrefix="0" xfId="2">
      <alignment vertical="top" shrinkToFit="1"/>
    </xf>
    <xf numFmtId="4" fontId="16" fillId="6" borderId="16" applyAlignment="1" pivotButton="0" quotePrefix="0" xfId="2">
      <alignment vertical="top" shrinkToFit="1"/>
    </xf>
    <xf numFmtId="4" fontId="14" fillId="6" borderId="16" applyAlignment="1" pivotButton="0" quotePrefix="0" xfId="2">
      <alignment vertical="top" shrinkToFit="1"/>
    </xf>
    <xf numFmtId="4" fontId="14" fillId="8" borderId="15" applyAlignment="1" pivotButton="0" quotePrefix="0" xfId="2">
      <alignment vertical="top" shrinkToFit="1"/>
    </xf>
    <xf numFmtId="4" fontId="4" fillId="8" borderId="15" applyAlignment="1" pivotButton="0" quotePrefix="0" xfId="2">
      <alignment vertical="top" shrinkToFit="1"/>
    </xf>
    <xf numFmtId="4" fontId="16" fillId="8" borderId="15" applyAlignment="1" pivotButton="0" quotePrefix="0" xfId="2">
      <alignment vertical="top" shrinkToFit="1"/>
    </xf>
    <xf numFmtId="4" fontId="12" fillId="10" borderId="8" applyAlignment="1" pivotButton="0" quotePrefix="0" xfId="2">
      <alignment vertical="top" shrinkToFit="1"/>
    </xf>
    <xf numFmtId="49" fontId="9" fillId="10" borderId="22" applyAlignment="1" pivotButton="0" quotePrefix="0" xfId="1">
      <alignment vertical="top" wrapText="1"/>
    </xf>
    <xf numFmtId="4" fontId="4" fillId="6" borderId="23" applyAlignment="1" pivotButton="0" quotePrefix="0" xfId="2">
      <alignment vertical="top" shrinkToFit="1"/>
    </xf>
    <xf numFmtId="4" fontId="15" fillId="6" borderId="27" applyAlignment="1" pivotButton="0" quotePrefix="0" xfId="2">
      <alignment vertical="top" shrinkToFit="1"/>
    </xf>
    <xf numFmtId="4" fontId="13" fillId="6" borderId="27" applyAlignment="1" pivotButton="0" quotePrefix="0" xfId="2">
      <alignment vertical="top" shrinkToFit="1"/>
    </xf>
    <xf numFmtId="4" fontId="19" fillId="6" borderId="27" applyAlignment="1" pivotButton="0" quotePrefix="0" xfId="2">
      <alignment vertical="top" shrinkToFit="1"/>
    </xf>
    <xf numFmtId="4" fontId="15" fillId="10" borderId="27" applyAlignment="1" pivotButton="0" quotePrefix="0" xfId="2">
      <alignment vertical="top" shrinkToFit="1"/>
    </xf>
    <xf numFmtId="4" fontId="15" fillId="6" borderId="28" applyAlignment="1" pivotButton="0" quotePrefix="0" xfId="2">
      <alignment vertical="top" shrinkToFit="1"/>
    </xf>
    <xf numFmtId="4" fontId="13" fillId="10" borderId="27" applyAlignment="1" pivotButton="0" quotePrefix="0" xfId="2">
      <alignment vertical="top" shrinkToFit="1"/>
    </xf>
    <xf numFmtId="4" fontId="16" fillId="10" borderId="27" applyAlignment="1" pivotButton="0" quotePrefix="0" xfId="2">
      <alignment vertical="top" shrinkToFit="1"/>
    </xf>
    <xf numFmtId="4" fontId="16" fillId="6" borderId="27" applyAlignment="1" pivotButton="0" quotePrefix="0" xfId="2">
      <alignment vertical="top" shrinkToFit="1"/>
    </xf>
    <xf numFmtId="4" fontId="11" fillId="6" borderId="23" applyAlignment="1" pivotButton="0" quotePrefix="0" xfId="2">
      <alignment vertical="top" shrinkToFit="1"/>
    </xf>
    <xf numFmtId="4" fontId="16" fillId="6" borderId="28" applyAlignment="1" pivotButton="0" quotePrefix="0" xfId="2">
      <alignment vertical="top" shrinkToFit="1"/>
    </xf>
    <xf numFmtId="4" fontId="6" fillId="6" borderId="23" applyAlignment="1" pivotButton="0" quotePrefix="0" xfId="2">
      <alignment vertical="top" shrinkToFit="1"/>
    </xf>
    <xf numFmtId="4" fontId="19" fillId="10" borderId="27" applyAlignment="1" pivotButton="0" quotePrefix="0" xfId="2">
      <alignment vertical="top" shrinkToFit="1"/>
    </xf>
    <xf numFmtId="4" fontId="19" fillId="6" borderId="28" applyAlignment="1" pivotButton="0" quotePrefix="0" xfId="2">
      <alignment vertical="top" shrinkToFit="1"/>
    </xf>
    <xf numFmtId="4" fontId="13" fillId="6" borderId="29" applyAlignment="1" pivotButton="0" quotePrefix="0" xfId="2">
      <alignment horizontal="right" vertical="center" shrinkToFit="1"/>
    </xf>
    <xf numFmtId="4" fontId="13" fillId="6" borderId="30" applyAlignment="1" pivotButton="0" quotePrefix="0" xfId="2">
      <alignment horizontal="right" vertical="center" shrinkToFit="1"/>
    </xf>
    <xf numFmtId="4" fontId="13" fillId="10" borderId="30" applyAlignment="1" pivotButton="0" quotePrefix="0" xfId="2">
      <alignment horizontal="right" vertical="center" shrinkToFit="1"/>
    </xf>
    <xf numFmtId="4" fontId="19" fillId="6" borderId="30" applyAlignment="1" pivotButton="0" quotePrefix="0" xfId="2">
      <alignment horizontal="right" vertical="center" shrinkToFit="1"/>
    </xf>
    <xf numFmtId="4" fontId="19" fillId="6" borderId="31" applyAlignment="1" pivotButton="0" quotePrefix="0" xfId="2">
      <alignment horizontal="right" vertical="center" shrinkToFit="1"/>
    </xf>
    <xf numFmtId="0" fontId="0" fillId="3" borderId="0" applyAlignment="1" pivotButton="0" quotePrefix="0" xfId="0">
      <alignment horizontal="right" vertical="center"/>
    </xf>
    <xf numFmtId="4" fontId="16" fillId="6" borderId="27" applyAlignment="1" pivotButton="0" quotePrefix="0" xfId="2">
      <alignment horizontal="right" vertical="center" shrinkToFit="1"/>
    </xf>
    <xf numFmtId="4" fontId="16" fillId="10" borderId="27" applyAlignment="1" pivotButton="0" quotePrefix="0" xfId="2">
      <alignment vertical="center" shrinkToFit="1"/>
    </xf>
    <xf numFmtId="0" fontId="18" fillId="11" borderId="19" applyAlignment="1" pivotButton="0" quotePrefix="0" xfId="3">
      <alignment horizontal="center" vertical="center" wrapText="1"/>
    </xf>
    <xf numFmtId="0" fontId="18" fillId="11" borderId="20" applyAlignment="1" pivotButton="0" quotePrefix="0" xfId="3">
      <alignment horizontal="center" vertical="center" wrapText="1"/>
    </xf>
    <xf numFmtId="0" fontId="18" fillId="11" borderId="21" applyAlignment="1" pivotButton="0" quotePrefix="0" xfId="3">
      <alignment horizontal="center" vertical="center" wrapText="1"/>
    </xf>
    <xf numFmtId="49" fontId="13" fillId="10" borderId="24" applyAlignment="1" pivotButton="0" quotePrefix="0" xfId="1">
      <alignment horizontal="right" vertical="top" wrapText="1"/>
    </xf>
    <xf numFmtId="49" fontId="13" fillId="10" borderId="25" applyAlignment="1" pivotButton="0" quotePrefix="0" xfId="1">
      <alignment horizontal="right" vertical="top" wrapText="1"/>
    </xf>
    <xf numFmtId="49" fontId="13" fillId="10" borderId="26" applyAlignment="1" pivotButton="0" quotePrefix="0" xfId="1">
      <alignment horizontal="right" vertical="top" wrapText="1"/>
    </xf>
    <xf numFmtId="0" fontId="10" fillId="7" borderId="5" applyAlignment="1" pivotButton="0" quotePrefix="0" xfId="3">
      <alignment horizontal="center" vertical="center" wrapText="1"/>
    </xf>
    <xf numFmtId="0" fontId="10" fillId="7" borderId="6" applyAlignment="1" pivotButton="0" quotePrefix="0" xfId="3">
      <alignment horizontal="center" vertical="center" wrapText="1"/>
    </xf>
    <xf numFmtId="0" fontId="10" fillId="7" borderId="7" applyAlignment="1" pivotButton="0" quotePrefix="0" xfId="3">
      <alignment horizontal="center" vertical="center" wrapText="1"/>
    </xf>
    <xf numFmtId="49" fontId="13" fillId="9" borderId="14" applyAlignment="1" pivotButton="0" quotePrefix="0" xfId="1">
      <alignment horizontal="right" vertical="top" wrapText="1"/>
    </xf>
    <xf numFmtId="49" fontId="13" fillId="9" borderId="15" applyAlignment="1" pivotButton="0" quotePrefix="0" xfId="1">
      <alignment horizontal="right" vertical="top" wrapText="1"/>
    </xf>
    <xf numFmtId="0" fontId="17" fillId="5" borderId="9" applyAlignment="1" pivotButton="0" quotePrefix="0" xfId="3">
      <alignment horizontal="center" vertical="center" wrapText="1"/>
    </xf>
    <xf numFmtId="0" fontId="17" fillId="5" borderId="10" applyAlignment="1" pivotButton="0" quotePrefix="0" xfId="3">
      <alignment horizontal="center" vertical="center" wrapText="1"/>
    </xf>
    <xf numFmtId="0" fontId="17" fillId="5" borderId="11" applyAlignment="1" pivotButton="0" quotePrefix="0" xfId="3">
      <alignment horizontal="center" vertical="center" wrapText="1"/>
    </xf>
    <xf numFmtId="0" fontId="17" fillId="5" borderId="17" applyAlignment="1" pivotButton="0" quotePrefix="0" xfId="3">
      <alignment horizontal="center" vertical="center" wrapText="1"/>
    </xf>
    <xf numFmtId="0" fontId="17" fillId="5" borderId="0" applyAlignment="1" pivotButton="0" quotePrefix="0" xfId="3">
      <alignment horizontal="center" vertical="center" wrapText="1"/>
    </xf>
    <xf numFmtId="0" fontId="17" fillId="5" borderId="18" applyAlignment="1" pivotButton="0" quotePrefix="0" xfId="3">
      <alignment horizontal="center" vertical="center" wrapText="1"/>
    </xf>
    <xf numFmtId="49" fontId="13" fillId="10" borderId="32" applyAlignment="1" pivotButton="0" quotePrefix="0" xfId="1">
      <alignment horizontal="right" vertical="center" wrapText="1"/>
    </xf>
    <xf numFmtId="49" fontId="13" fillId="10" borderId="33" applyAlignment="1" pivotButton="0" quotePrefix="0" xfId="1">
      <alignment horizontal="right" vertical="center" wrapText="1"/>
    </xf>
    <xf numFmtId="49" fontId="13" fillId="10" borderId="34" applyAlignment="1" pivotButton="0" quotePrefix="0" xfId="1">
      <alignment horizontal="right" vertical="center" wrapText="1"/>
    </xf>
    <xf numFmtId="0" fontId="10" fillId="7" borderId="43" applyAlignment="1" pivotButton="0" quotePrefix="0" xfId="3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7" fillId="5" borderId="47" applyAlignment="1" pivotButton="0" quotePrefix="0" xfId="3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45" pivotButton="0" quotePrefix="0" xfId="0"/>
    <xf numFmtId="0" fontId="0" fillId="0" borderId="46" pivotButton="0" quotePrefix="0" xfId="0"/>
    <xf numFmtId="0" fontId="17" fillId="5" borderId="50" applyAlignment="1" pivotButton="0" quotePrefix="0" xfId="3">
      <alignment horizontal="center" vertical="center" wrapText="1"/>
    </xf>
    <xf numFmtId="0" fontId="0" fillId="0" borderId="18" pivotButton="0" quotePrefix="0" xfId="0"/>
    <xf numFmtId="0" fontId="18" fillId="11" borderId="41" applyAlignment="1" pivotButton="0" quotePrefix="0" xfId="3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49" fontId="13" fillId="10" borderId="38" applyAlignment="1" pivotButton="0" quotePrefix="0" xfId="1">
      <alignment horizontal="right" vertical="top" wrapText="1"/>
    </xf>
    <xf numFmtId="0" fontId="0" fillId="0" borderId="25" pivotButton="0" quotePrefix="0" xfId="0"/>
    <xf numFmtId="0" fontId="0" fillId="0" borderId="26" pivotButton="0" quotePrefix="0" xfId="0"/>
    <xf numFmtId="49" fontId="13" fillId="10" borderId="35" applyAlignment="1" pivotButton="0" quotePrefix="0" xfId="1">
      <alignment horizontal="right" vertical="center" wrapText="1"/>
    </xf>
    <xf numFmtId="0" fontId="0" fillId="0" borderId="33" pivotButton="0" quotePrefix="0" xfId="0"/>
    <xf numFmtId="0" fontId="0" fillId="0" borderId="34" pivotButton="0" quotePrefix="0" xfId="0"/>
  </cellXfs>
  <cellStyles count="5">
    <cellStyle name="Обычный" xfId="0" builtinId="0"/>
    <cellStyle name="st16" xfId="1"/>
    <cellStyle name="st19" xfId="2"/>
    <cellStyle name="xl24" xfId="3"/>
    <cellStyle name="st17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8"/>
  <sheetViews>
    <sheetView tabSelected="1" zoomScale="85" zoomScaleNormal="85" workbookViewId="0">
      <pane ySplit="2" topLeftCell="A3" activePane="bottomLeft" state="frozen"/>
      <selection pane="bottomLeft" activeCell="U27" sqref="U27"/>
    </sheetView>
  </sheetViews>
  <sheetFormatPr baseColWidth="8" defaultRowHeight="15"/>
  <cols>
    <col width="9.140625" customWidth="1" style="6" min="1" max="2"/>
    <col width="13.140625" customWidth="1" style="6" min="3" max="3"/>
    <col width="9.140625" customWidth="1" style="6" min="4" max="5"/>
    <col width="22.28515625" customWidth="1" style="6" min="6" max="6"/>
    <col width="11.7109375" customWidth="1" style="6" min="7" max="7"/>
    <col width="13.7109375" customWidth="1" style="6" min="8" max="8"/>
    <col width="12" customWidth="1" style="6" min="9" max="9"/>
    <col width="9.140625" customWidth="1" style="6" min="10" max="10"/>
    <col width="18.7109375" customWidth="1" style="6" min="11" max="12"/>
    <col width="16.140625" bestFit="1" customWidth="1" style="6" min="13" max="13"/>
    <col width="28.140625" customWidth="1" style="6" min="14" max="14"/>
    <col width="18.7109375" customWidth="1" style="6" min="15" max="17"/>
    <col width="25.140625" bestFit="1" customWidth="1" style="6" min="18" max="18"/>
    <col width="18.7109375" customWidth="1" style="6" min="19" max="21"/>
    <col width="25.140625" bestFit="1" customWidth="1" style="6" min="22" max="22"/>
    <col width="18.7109375" customWidth="1" style="6" min="23" max="23"/>
    <col width="27" customWidth="1" style="6" min="24" max="24"/>
    <col width="28.7109375" customWidth="1" style="6" min="25" max="25"/>
    <col width="25.28515625" customWidth="1" style="6" min="26" max="26"/>
    <col width="9.140625" customWidth="1" style="6" min="27" max="16384"/>
  </cols>
  <sheetData>
    <row r="1" ht="27" customHeight="1" thickBot="1">
      <c r="A1" s="85" t="inlineStr">
        <is>
          <t>КБК</t>
        </is>
      </c>
      <c r="B1" s="86" t="n"/>
      <c r="C1" s="86" t="n"/>
      <c r="D1" s="86" t="n"/>
      <c r="E1" s="86" t="n"/>
      <c r="F1" s="86" t="n"/>
      <c r="G1" s="86" t="n"/>
      <c r="H1" s="86" t="n"/>
      <c r="I1" s="86" t="n"/>
      <c r="J1" s="87" t="n"/>
      <c r="K1" s="71" t="n">
        <v>2025</v>
      </c>
      <c r="L1" s="86" t="n"/>
      <c r="M1" s="86" t="n"/>
      <c r="N1" s="86" t="n"/>
      <c r="O1" s="71" t="n">
        <v>2026</v>
      </c>
      <c r="P1" s="86" t="n"/>
      <c r="Q1" s="86" t="n"/>
      <c r="R1" s="86" t="n"/>
      <c r="S1" s="71" t="n">
        <v>2027</v>
      </c>
      <c r="T1" s="86" t="n"/>
      <c r="U1" s="86" t="n"/>
      <c r="V1" s="86" t="n"/>
    </row>
    <row r="2" ht="52.5" customHeight="1" thickBot="1">
      <c r="A2" s="2" t="inlineStr">
        <is>
          <t>Вед</t>
        </is>
      </c>
      <c r="B2" s="3" t="inlineStr">
        <is>
          <t>Подр</t>
        </is>
      </c>
      <c r="C2" s="3" t="inlineStr">
        <is>
          <t>ЦСт</t>
        </is>
      </c>
      <c r="D2" s="3" t="inlineStr">
        <is>
          <t>Расх</t>
        </is>
      </c>
      <c r="E2" s="3" t="inlineStr">
        <is>
          <t>КОСГУ</t>
        </is>
      </c>
      <c r="F2" s="3" t="inlineStr">
        <is>
          <t>ДопКласс</t>
        </is>
      </c>
      <c r="G2" s="3" t="inlineStr">
        <is>
          <t>РегКласс</t>
        </is>
      </c>
      <c r="H2" s="3" t="inlineStr">
        <is>
          <t>Программа</t>
        </is>
      </c>
      <c r="I2" s="3" t="inlineStr">
        <is>
          <t>Объект АИП</t>
        </is>
      </c>
      <c r="J2" s="3" t="inlineStr">
        <is>
          <t>Цель</t>
        </is>
      </c>
      <c r="K2" s="4" t="inlineStr">
        <is>
          <t>ЛБО на 2025</t>
        </is>
      </c>
      <c r="L2" s="4" t="inlineStr">
        <is>
          <t>БО на 2025</t>
        </is>
      </c>
      <c r="M2" s="4" t="inlineStr">
        <is>
          <t>Предв. заявка на закупку на 2025</t>
        </is>
      </c>
      <c r="N2" s="5" t="inlineStr">
        <is>
          <t>Остаток с учетом гос заказа от Лимитов для принятия БО в 2025</t>
        </is>
      </c>
      <c r="O2" s="4" t="inlineStr">
        <is>
          <t>ЛБО на 2026</t>
        </is>
      </c>
      <c r="P2" s="4" t="inlineStr">
        <is>
          <t>БО на 2026</t>
        </is>
      </c>
      <c r="Q2" s="4" t="inlineStr">
        <is>
          <t>Предв. заявка на закупку на 2026</t>
        </is>
      </c>
      <c r="R2" s="5" t="inlineStr">
        <is>
          <t>Остаток с учетом гос заказа от Лимитов для принятия БО в 2026</t>
        </is>
      </c>
      <c r="S2" s="4" t="inlineStr">
        <is>
          <t>ЛБО на 2027</t>
        </is>
      </c>
      <c r="T2" s="4" t="inlineStr">
        <is>
          <t>БО на 2027</t>
        </is>
      </c>
      <c r="U2" s="4" t="inlineStr">
        <is>
          <t>Предв. заявка на закупку на 2027</t>
        </is>
      </c>
      <c r="V2" s="5" t="inlineStr">
        <is>
          <t>Остаток с учетом гос заказа от Лимитов для принятия БО в 2027</t>
        </is>
      </c>
    </row>
    <row r="3" ht="30" customHeight="1" thickTop="1">
      <c r="A3" s="88" t="inlineStr">
        <is>
          <t xml:space="preserve">Ремнот / Капремонт - Фереральные средтва </t>
        </is>
      </c>
      <c r="B3" s="89" t="n"/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90" t="n"/>
    </row>
    <row r="4">
      <c r="A4" s="28" t="inlineStr">
        <is>
          <t>104</t>
        </is>
      </c>
      <c r="B4" s="7" t="inlineStr">
        <is>
          <t>0409</t>
        </is>
      </c>
      <c r="C4" s="7" t="inlineStr">
        <is>
          <t>141И854470</t>
        </is>
      </c>
      <c r="D4" s="7" t="inlineStr">
        <is>
          <t>243</t>
        </is>
      </c>
      <c r="E4" s="7" t="inlineStr">
        <is>
          <t>225</t>
        </is>
      </c>
      <c r="F4" s="7" t="inlineStr">
        <is>
          <t>2554470X204250000000</t>
        </is>
      </c>
      <c r="G4" s="7" t="inlineStr">
        <is>
          <t>2254</t>
        </is>
      </c>
      <c r="H4" s="7" t="inlineStr">
        <is>
          <t>1411И81049</t>
        </is>
      </c>
      <c r="I4" s="8" t="inlineStr"/>
      <c r="J4" s="8" t="inlineStr"/>
      <c r="K4" s="9" t="n">
        <v>51790498.28</v>
      </c>
      <c r="L4" s="9" t="n">
        <v>51790498.28</v>
      </c>
      <c r="M4" s="10" t="n">
        <v>0</v>
      </c>
      <c r="N4" s="10">
        <f>K4-L4-M4</f>
        <v/>
      </c>
      <c r="O4" s="11" t="n">
        <v>0</v>
      </c>
      <c r="P4" s="11" t="n">
        <v>0</v>
      </c>
      <c r="Q4" s="11" t="n">
        <v>0</v>
      </c>
      <c r="R4" s="11">
        <f>O4-P4-Q4</f>
        <v/>
      </c>
      <c r="S4" s="10" t="n">
        <v>0</v>
      </c>
      <c r="T4" s="10" t="n">
        <v>0</v>
      </c>
      <c r="U4" s="10" t="n">
        <v>0</v>
      </c>
      <c r="V4" s="29">
        <f>S4-T4-U4</f>
        <v/>
      </c>
    </row>
    <row r="5">
      <c r="A5" s="28" t="inlineStr">
        <is>
          <t>104</t>
        </is>
      </c>
      <c r="B5" s="7" t="inlineStr">
        <is>
          <t>0409</t>
        </is>
      </c>
      <c r="C5" s="7" t="inlineStr">
        <is>
          <t>141И854470</t>
        </is>
      </c>
      <c r="D5" s="7" t="inlineStr">
        <is>
          <t>244</t>
        </is>
      </c>
      <c r="E5" s="7" t="inlineStr">
        <is>
          <t>225</t>
        </is>
      </c>
      <c r="F5" s="7" t="inlineStr">
        <is>
          <t>2554470X204250000000</t>
        </is>
      </c>
      <c r="G5" s="7" t="inlineStr">
        <is>
          <t>2254</t>
        </is>
      </c>
      <c r="H5" s="7" t="inlineStr">
        <is>
          <t>1411И81049</t>
        </is>
      </c>
      <c r="I5" s="8" t="inlineStr"/>
      <c r="J5" s="8" t="inlineStr"/>
      <c r="K5" s="9" t="n">
        <v>6054024001.72</v>
      </c>
      <c r="L5" s="9" t="n">
        <v>5382368033.21</v>
      </c>
      <c r="M5" s="10" t="n">
        <v>0</v>
      </c>
      <c r="N5" s="12">
        <f>K5-L5-M5</f>
        <v/>
      </c>
      <c r="O5" s="13" t="n">
        <v>1651991900</v>
      </c>
      <c r="P5" s="13" t="n">
        <v>1215974237.06</v>
      </c>
      <c r="Q5" s="13" t="n">
        <v>263941664.77</v>
      </c>
      <c r="R5" s="14">
        <f>O5-P5-Q5</f>
        <v/>
      </c>
      <c r="S5" s="9" t="n">
        <v>5984474800</v>
      </c>
      <c r="T5" s="9" t="n">
        <v>363456479.33</v>
      </c>
      <c r="U5" s="10" t="n">
        <v>0</v>
      </c>
      <c r="V5" s="30">
        <f>S5-T5-U5</f>
        <v/>
      </c>
    </row>
    <row r="6" ht="15.75" customHeight="1" thickBot="1">
      <c r="A6" s="74" t="inlineStr">
        <is>
          <t>Итого</t>
        </is>
      </c>
      <c r="B6" s="91" t="n"/>
      <c r="C6" s="91" t="n"/>
      <c r="D6" s="91" t="n"/>
      <c r="E6" s="91" t="n"/>
      <c r="F6" s="91" t="n"/>
      <c r="G6" s="91" t="n"/>
      <c r="H6" s="91" t="n"/>
      <c r="I6" s="91" t="n"/>
      <c r="J6" s="92" t="n"/>
      <c r="K6" s="31">
        <f>SUM(K4:K5)</f>
        <v/>
      </c>
      <c r="L6" s="31">
        <f>SUM(L4:L5)</f>
        <v/>
      </c>
      <c r="M6" s="32">
        <f>SUM(M4:M5)</f>
        <v/>
      </c>
      <c r="N6" s="33">
        <f>SUM(N4:N5)</f>
        <v/>
      </c>
      <c r="O6" s="34">
        <f>SUM(O4:O5)</f>
        <v/>
      </c>
      <c r="P6" s="34">
        <f>SUM(P4:P5)</f>
        <v/>
      </c>
      <c r="Q6" s="34">
        <f>SUM(Q4:Q5)</f>
        <v/>
      </c>
      <c r="R6" s="35">
        <f>SUM(R4:R5)</f>
        <v/>
      </c>
      <c r="S6" s="31">
        <f>SUM(S4:S5)</f>
        <v/>
      </c>
      <c r="T6" s="31">
        <f>SUM(T4:T5)</f>
        <v/>
      </c>
      <c r="U6" s="31">
        <f>SUM(U4:U5)</f>
        <v/>
      </c>
      <c r="V6" s="36">
        <f>SUM(V4:V5)</f>
        <v/>
      </c>
    </row>
    <row r="7" ht="30" customHeight="1" thickTop="1">
      <c r="A7" s="88" t="inlineStr">
        <is>
          <t xml:space="preserve">Ремнот / Капремонт - Областные средтва </t>
        </is>
      </c>
      <c r="B7" s="89" t="n"/>
      <c r="C7" s="89" t="n"/>
      <c r="D7" s="89" t="n"/>
      <c r="E7" s="89" t="n"/>
      <c r="F7" s="89" t="n"/>
      <c r="G7" s="89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90" t="n"/>
    </row>
    <row r="8">
      <c r="A8" s="28" t="inlineStr">
        <is>
          <t>104</t>
        </is>
      </c>
      <c r="B8" s="7" t="inlineStr">
        <is>
          <t>0409</t>
        </is>
      </c>
      <c r="C8" s="7" t="inlineStr">
        <is>
          <t>144019Д007</t>
        </is>
      </c>
      <c r="D8" s="7" t="inlineStr">
        <is>
          <t>243</t>
        </is>
      </c>
      <c r="E8" s="7" t="inlineStr">
        <is>
          <t>225</t>
        </is>
      </c>
      <c r="F8" s="15" t="inlineStr"/>
      <c r="G8" s="7" t="inlineStr">
        <is>
          <t>2254</t>
        </is>
      </c>
      <c r="H8" s="7" t="inlineStr">
        <is>
          <t>1414013013</t>
        </is>
      </c>
      <c r="I8" s="8" t="inlineStr"/>
      <c r="J8" s="8" t="inlineStr"/>
      <c r="K8" s="9" t="n">
        <v>708740377.52</v>
      </c>
      <c r="L8" s="9" t="n">
        <v>708740377.52</v>
      </c>
      <c r="M8" s="10" t="n">
        <v>0</v>
      </c>
      <c r="N8" s="12">
        <f>K8-L8-M8</f>
        <v/>
      </c>
      <c r="O8" s="13" t="n">
        <v>20168677.17</v>
      </c>
      <c r="P8" s="13" t="n">
        <v>20168677.17</v>
      </c>
      <c r="Q8" s="11" t="n">
        <v>0</v>
      </c>
      <c r="R8" s="11">
        <f>O8-P8-Q8</f>
        <v/>
      </c>
      <c r="S8" s="10" t="n">
        <v>0</v>
      </c>
      <c r="T8" s="10" t="n">
        <v>0</v>
      </c>
      <c r="U8" s="10" t="n">
        <v>0</v>
      </c>
      <c r="V8" s="29">
        <f>S8-T8-U8</f>
        <v/>
      </c>
    </row>
    <row r="9">
      <c r="A9" s="28" t="inlineStr">
        <is>
          <t>104</t>
        </is>
      </c>
      <c r="B9" s="7" t="inlineStr">
        <is>
          <t>0409</t>
        </is>
      </c>
      <c r="C9" s="7" t="inlineStr">
        <is>
          <t>144019Д007</t>
        </is>
      </c>
      <c r="D9" s="7" t="inlineStr">
        <is>
          <t>243</t>
        </is>
      </c>
      <c r="E9" s="7" t="inlineStr">
        <is>
          <t>226</t>
        </is>
      </c>
      <c r="F9" s="15" t="inlineStr"/>
      <c r="G9" s="7" t="inlineStr">
        <is>
          <t>2267</t>
        </is>
      </c>
      <c r="H9" s="7" t="inlineStr">
        <is>
          <t>1414013013</t>
        </is>
      </c>
      <c r="I9" s="8" t="inlineStr"/>
      <c r="J9" s="8" t="inlineStr"/>
      <c r="K9" s="9" t="n">
        <v>16400226.11</v>
      </c>
      <c r="L9" s="9" t="n">
        <v>16105526.11</v>
      </c>
      <c r="M9" s="10" t="n">
        <v>0</v>
      </c>
      <c r="N9" s="12">
        <f>K9-L9-M9</f>
        <v/>
      </c>
      <c r="O9" s="13" t="n">
        <v>422535</v>
      </c>
      <c r="P9" s="13" t="n">
        <v>420422.33</v>
      </c>
      <c r="Q9" s="11" t="n">
        <v>0</v>
      </c>
      <c r="R9" s="14">
        <f>O9-P9-Q9</f>
        <v/>
      </c>
      <c r="S9" s="10" t="n">
        <v>0</v>
      </c>
      <c r="T9" s="10" t="n">
        <v>0</v>
      </c>
      <c r="U9" s="10" t="n">
        <v>0</v>
      </c>
      <c r="V9" s="29">
        <f>S9-T9-U9</f>
        <v/>
      </c>
    </row>
    <row r="10" ht="20.1" customHeight="1">
      <c r="A10" s="28" t="inlineStr">
        <is>
          <t>104</t>
        </is>
      </c>
      <c r="B10" s="7" t="inlineStr">
        <is>
          <t>0409</t>
        </is>
      </c>
      <c r="C10" s="7" t="inlineStr">
        <is>
          <t>144019Д007</t>
        </is>
      </c>
      <c r="D10" s="7" t="inlineStr">
        <is>
          <t>244</t>
        </is>
      </c>
      <c r="E10" s="7" t="inlineStr">
        <is>
          <t>225</t>
        </is>
      </c>
      <c r="F10" s="15" t="inlineStr"/>
      <c r="G10" s="7" t="inlineStr">
        <is>
          <t>2254</t>
        </is>
      </c>
      <c r="H10" s="7" t="inlineStr">
        <is>
          <t>1414013013</t>
        </is>
      </c>
      <c r="I10" s="8" t="inlineStr"/>
      <c r="J10" s="8" t="inlineStr"/>
      <c r="K10" s="9" t="n">
        <v>4706634363.37</v>
      </c>
      <c r="L10" s="9" t="n">
        <v>3575812887.61</v>
      </c>
      <c r="M10" s="10" t="n">
        <v>0</v>
      </c>
      <c r="N10" s="12">
        <f>K10-L10-M10</f>
        <v/>
      </c>
      <c r="O10" s="13" t="n">
        <v>3319376187.83</v>
      </c>
      <c r="P10" s="13" t="n">
        <v>1961955101.84</v>
      </c>
      <c r="Q10" s="13" t="n">
        <v>18104985.33</v>
      </c>
      <c r="R10" s="14">
        <f>O10-P10-Q10</f>
        <v/>
      </c>
      <c r="S10" s="9" t="n">
        <v>902289500</v>
      </c>
      <c r="T10" s="9" t="n">
        <v>186495032.31</v>
      </c>
      <c r="U10" s="10" t="n">
        <v>0</v>
      </c>
      <c r="V10" s="30">
        <f>S10-T10-U10</f>
        <v/>
      </c>
    </row>
    <row r="11">
      <c r="A11" s="28" t="inlineStr">
        <is>
          <t>104</t>
        </is>
      </c>
      <c r="B11" s="7" t="inlineStr">
        <is>
          <t>0409</t>
        </is>
      </c>
      <c r="C11" s="7" t="inlineStr">
        <is>
          <t>144019Д007</t>
        </is>
      </c>
      <c r="D11" s="7" t="inlineStr">
        <is>
          <t>244</t>
        </is>
      </c>
      <c r="E11" s="7" t="inlineStr">
        <is>
          <t>226</t>
        </is>
      </c>
      <c r="F11" s="15" t="inlineStr"/>
      <c r="G11" s="7" t="inlineStr">
        <is>
          <t>2267</t>
        </is>
      </c>
      <c r="H11" s="7" t="inlineStr">
        <is>
          <t>1414013013</t>
        </is>
      </c>
      <c r="I11" s="8" t="inlineStr"/>
      <c r="J11" s="8" t="inlineStr"/>
      <c r="K11" s="9" t="n">
        <v>6347033</v>
      </c>
      <c r="L11" s="9" t="n">
        <v>6324986.21</v>
      </c>
      <c r="M11" s="10" t="n">
        <v>0</v>
      </c>
      <c r="N11" s="12">
        <f>K11-L11-M11</f>
        <v/>
      </c>
      <c r="O11" s="11" t="n">
        <v>0</v>
      </c>
      <c r="P11" s="11" t="n">
        <v>0</v>
      </c>
      <c r="Q11" s="11" t="n">
        <v>0</v>
      </c>
      <c r="R11" s="11">
        <f>O11-P11-Q11</f>
        <v/>
      </c>
      <c r="S11" s="10" t="n">
        <v>0</v>
      </c>
      <c r="T11" s="10" t="n">
        <v>0</v>
      </c>
      <c r="U11" s="10" t="n">
        <v>0</v>
      </c>
      <c r="V11" s="29">
        <f>S11-T11-U11</f>
        <v/>
      </c>
    </row>
    <row r="12" ht="15.75" customHeight="1" thickBot="1">
      <c r="A12" s="74" t="inlineStr">
        <is>
          <t>Итого</t>
        </is>
      </c>
      <c r="B12" s="91" t="n"/>
      <c r="C12" s="91" t="n"/>
      <c r="D12" s="91" t="n"/>
      <c r="E12" s="91" t="n"/>
      <c r="F12" s="91" t="n"/>
      <c r="G12" s="91" t="n"/>
      <c r="H12" s="91" t="n"/>
      <c r="I12" s="91" t="n"/>
      <c r="J12" s="92" t="n"/>
      <c r="K12" s="31">
        <f>SUM(K8:K11)</f>
        <v/>
      </c>
      <c r="L12" s="31">
        <f>SUM(L8:L11)</f>
        <v/>
      </c>
      <c r="M12" s="31">
        <f>SUM(M8:M11)</f>
        <v/>
      </c>
      <c r="N12" s="31">
        <f>SUM(N8:N11)</f>
        <v/>
      </c>
      <c r="O12" s="38">
        <f>SUM(O8:O11)</f>
        <v/>
      </c>
      <c r="P12" s="38">
        <f>SUM(P8:P11)</f>
        <v/>
      </c>
      <c r="Q12" s="13">
        <f>SUM(Q8:Q11)</f>
        <v/>
      </c>
      <c r="R12" s="40">
        <f>SUM(R8:R11)</f>
        <v/>
      </c>
      <c r="S12" s="31">
        <f>SUM(S8:S11)</f>
        <v/>
      </c>
      <c r="T12" s="31">
        <f>SUM(T8:T11)</f>
        <v/>
      </c>
      <c r="U12" s="31">
        <f>SUM(U8:U11)</f>
        <v/>
      </c>
      <c r="V12" s="37">
        <f>SUM(V8:V11)</f>
        <v/>
      </c>
    </row>
    <row r="13" ht="30" customHeight="1" thickTop="1">
      <c r="A13" s="88" t="inlineStr">
        <is>
          <t>Содержание</t>
        </is>
      </c>
      <c r="B13" s="89" t="n"/>
      <c r="C13" s="89" t="n"/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90" t="n"/>
    </row>
    <row r="14">
      <c r="A14" s="28" t="inlineStr">
        <is>
          <t>104</t>
        </is>
      </c>
      <c r="B14" s="7" t="inlineStr">
        <is>
          <t>0409</t>
        </is>
      </c>
      <c r="C14" s="7" t="inlineStr">
        <is>
          <t>144019Д006</t>
        </is>
      </c>
      <c r="D14" s="7" t="inlineStr">
        <is>
          <t>242</t>
        </is>
      </c>
      <c r="E14" s="7" t="inlineStr">
        <is>
          <t>221</t>
        </is>
      </c>
      <c r="F14" s="15" t="inlineStr"/>
      <c r="G14" s="7" t="inlineStr">
        <is>
          <t>2212</t>
        </is>
      </c>
      <c r="H14" s="7" t="inlineStr">
        <is>
          <t>1414012012</t>
        </is>
      </c>
      <c r="I14" s="8" t="inlineStr"/>
      <c r="J14" s="8" t="inlineStr"/>
      <c r="K14" s="9" t="n">
        <v>107040</v>
      </c>
      <c r="L14" s="9" t="n">
        <v>107040</v>
      </c>
      <c r="M14" s="10" t="n">
        <v>0</v>
      </c>
      <c r="N14" s="10">
        <f>K14-L14-M14</f>
        <v/>
      </c>
      <c r="O14" s="16" t="n">
        <v>0</v>
      </c>
      <c r="P14" s="16" t="n">
        <v>0</v>
      </c>
      <c r="Q14" s="16" t="n">
        <v>0</v>
      </c>
      <c r="R14" s="16">
        <f>O14-P14-Q14</f>
        <v/>
      </c>
      <c r="S14" s="10" t="n">
        <v>0</v>
      </c>
      <c r="T14" s="10" t="n">
        <v>0</v>
      </c>
      <c r="U14" s="10" t="n">
        <v>0</v>
      </c>
      <c r="V14" s="29">
        <f>S14-T14-U14</f>
        <v/>
      </c>
    </row>
    <row r="15">
      <c r="A15" s="28" t="inlineStr">
        <is>
          <t>104</t>
        </is>
      </c>
      <c r="B15" s="7" t="inlineStr">
        <is>
          <t>0409</t>
        </is>
      </c>
      <c r="C15" s="7" t="inlineStr">
        <is>
          <t>144019Д006</t>
        </is>
      </c>
      <c r="D15" s="7" t="inlineStr">
        <is>
          <t>242</t>
        </is>
      </c>
      <c r="E15" s="7" t="inlineStr">
        <is>
          <t>225</t>
        </is>
      </c>
      <c r="F15" s="15" t="inlineStr"/>
      <c r="G15" s="7" t="inlineStr">
        <is>
          <t>2251</t>
        </is>
      </c>
      <c r="H15" s="7" t="inlineStr">
        <is>
          <t>1414012012</t>
        </is>
      </c>
      <c r="I15" s="8" t="inlineStr"/>
      <c r="J15" s="8" t="inlineStr"/>
      <c r="K15" s="9" t="n">
        <v>928140</v>
      </c>
      <c r="L15" s="9" t="n">
        <v>928140</v>
      </c>
      <c r="M15" s="10" t="n">
        <v>0</v>
      </c>
      <c r="N15" s="10">
        <f>K15-L15-M15</f>
        <v/>
      </c>
      <c r="O15" s="16" t="n">
        <v>0</v>
      </c>
      <c r="P15" s="16" t="n">
        <v>0</v>
      </c>
      <c r="Q15" s="16" t="n">
        <v>0</v>
      </c>
      <c r="R15" s="16">
        <f>O15-P15-Q15</f>
        <v/>
      </c>
      <c r="S15" s="10" t="n">
        <v>0</v>
      </c>
      <c r="T15" s="10" t="n">
        <v>0</v>
      </c>
      <c r="U15" s="10" t="n">
        <v>0</v>
      </c>
      <c r="V15" s="29">
        <f>S15-T15-U15</f>
        <v/>
      </c>
    </row>
    <row r="16">
      <c r="A16" s="28" t="inlineStr">
        <is>
          <t>104</t>
        </is>
      </c>
      <c r="B16" s="7" t="inlineStr">
        <is>
          <t>0409</t>
        </is>
      </c>
      <c r="C16" s="7" t="inlineStr">
        <is>
          <t>144019Д006</t>
        </is>
      </c>
      <c r="D16" s="7" t="inlineStr">
        <is>
          <t>242</t>
        </is>
      </c>
      <c r="E16" s="7" t="inlineStr">
        <is>
          <t>226</t>
        </is>
      </c>
      <c r="F16" s="15" t="inlineStr"/>
      <c r="G16" s="7" t="inlineStr">
        <is>
          <t>2267</t>
        </is>
      </c>
      <c r="H16" s="7" t="inlineStr">
        <is>
          <t>1414012012</t>
        </is>
      </c>
      <c r="I16" s="8" t="inlineStr"/>
      <c r="J16" s="8" t="inlineStr"/>
      <c r="K16" s="9" t="n">
        <v>58969.03</v>
      </c>
      <c r="L16" s="9" t="n">
        <v>58969.03</v>
      </c>
      <c r="M16" s="10" t="n">
        <v>0</v>
      </c>
      <c r="N16" s="10">
        <f>K16-L16-M16</f>
        <v/>
      </c>
      <c r="O16" s="16" t="n">
        <v>0</v>
      </c>
      <c r="P16" s="16" t="n">
        <v>0</v>
      </c>
      <c r="Q16" s="16" t="n">
        <v>0</v>
      </c>
      <c r="R16" s="16">
        <f>O16-P16-Q16</f>
        <v/>
      </c>
      <c r="S16" s="10" t="n">
        <v>0</v>
      </c>
      <c r="T16" s="10" t="n">
        <v>0</v>
      </c>
      <c r="U16" s="10" t="n">
        <v>0</v>
      </c>
      <c r="V16" s="29">
        <f>S16-T16-U16</f>
        <v/>
      </c>
    </row>
    <row r="17">
      <c r="A17" s="28" t="inlineStr">
        <is>
          <t>104</t>
        </is>
      </c>
      <c r="B17" s="7" t="inlineStr">
        <is>
          <t>0409</t>
        </is>
      </c>
      <c r="C17" s="7" t="inlineStr">
        <is>
          <t>144019Д006</t>
        </is>
      </c>
      <c r="D17" s="7" t="inlineStr">
        <is>
          <t>244</t>
        </is>
      </c>
      <c r="E17" s="7" t="inlineStr">
        <is>
          <t>225</t>
        </is>
      </c>
      <c r="F17" s="15" t="inlineStr"/>
      <c r="G17" s="7" t="inlineStr">
        <is>
          <t>2251</t>
        </is>
      </c>
      <c r="H17" s="7" t="inlineStr">
        <is>
          <t>1414012012</t>
        </is>
      </c>
      <c r="I17" s="8" t="inlineStr"/>
      <c r="J17" s="8" t="inlineStr"/>
      <c r="K17" s="9" t="n">
        <v>20000</v>
      </c>
      <c r="L17" s="9" t="n">
        <v>20000</v>
      </c>
      <c r="M17" s="10" t="n">
        <v>0</v>
      </c>
      <c r="N17" s="10">
        <f>K17-L17-M17</f>
        <v/>
      </c>
      <c r="O17" s="16" t="n">
        <v>0</v>
      </c>
      <c r="P17" s="16" t="n">
        <v>0</v>
      </c>
      <c r="Q17" s="16" t="n">
        <v>0</v>
      </c>
      <c r="R17" s="16">
        <f>O17-P17-Q17</f>
        <v/>
      </c>
      <c r="S17" s="10" t="n">
        <v>0</v>
      </c>
      <c r="T17" s="10" t="n">
        <v>0</v>
      </c>
      <c r="U17" s="10" t="n">
        <v>0</v>
      </c>
      <c r="V17" s="29">
        <f>S17-T17-U17</f>
        <v/>
      </c>
    </row>
    <row r="18">
      <c r="A18" s="28" t="inlineStr">
        <is>
          <t>104</t>
        </is>
      </c>
      <c r="B18" s="7" t="inlineStr">
        <is>
          <t>0409</t>
        </is>
      </c>
      <c r="C18" s="7" t="inlineStr">
        <is>
          <t>144019Д006</t>
        </is>
      </c>
      <c r="D18" s="7" t="inlineStr">
        <is>
          <t>244</t>
        </is>
      </c>
      <c r="E18" s="7" t="inlineStr">
        <is>
          <t>225</t>
        </is>
      </c>
      <c r="F18" s="15" t="inlineStr"/>
      <c r="G18" s="7" t="inlineStr">
        <is>
          <t>2254</t>
        </is>
      </c>
      <c r="H18" s="7" t="inlineStr">
        <is>
          <t>1414012012</t>
        </is>
      </c>
      <c r="I18" s="8" t="inlineStr"/>
      <c r="J18" s="8" t="inlineStr"/>
      <c r="K18" s="9" t="n">
        <v>2870947331.81</v>
      </c>
      <c r="L18" s="9" t="n">
        <v>2870947331.81</v>
      </c>
      <c r="M18" s="10" t="n">
        <v>0</v>
      </c>
      <c r="N18" s="10">
        <f>K18-L18-M18</f>
        <v/>
      </c>
      <c r="O18" s="17" t="n">
        <v>3024299033.4</v>
      </c>
      <c r="P18" s="17" t="n">
        <v>2927082394.36</v>
      </c>
      <c r="Q18" s="16" t="n">
        <v>0</v>
      </c>
      <c r="R18" s="18">
        <f>O18-P18-Q18</f>
        <v/>
      </c>
      <c r="S18" s="9" t="n">
        <v>3142252220.79</v>
      </c>
      <c r="T18" s="9" t="n">
        <v>1962209182</v>
      </c>
      <c r="U18" s="10" t="n">
        <v>0</v>
      </c>
      <c r="V18" s="30">
        <f>S18-T18-U18</f>
        <v/>
      </c>
    </row>
    <row r="19">
      <c r="A19" s="28" t="inlineStr">
        <is>
          <t>104</t>
        </is>
      </c>
      <c r="B19" s="7" t="inlineStr">
        <is>
          <t>0409</t>
        </is>
      </c>
      <c r="C19" s="7" t="inlineStr">
        <is>
          <t>144019Д006</t>
        </is>
      </c>
      <c r="D19" s="7" t="inlineStr">
        <is>
          <t>244</t>
        </is>
      </c>
      <c r="E19" s="7" t="inlineStr">
        <is>
          <t>226</t>
        </is>
      </c>
      <c r="F19" s="15" t="inlineStr"/>
      <c r="G19" s="7" t="inlineStr">
        <is>
          <t>2267</t>
        </is>
      </c>
      <c r="H19" s="7" t="inlineStr">
        <is>
          <t>1414012012</t>
        </is>
      </c>
      <c r="I19" s="8" t="inlineStr"/>
      <c r="J19" s="8" t="inlineStr"/>
      <c r="K19" s="9" t="n">
        <v>10154781.76</v>
      </c>
      <c r="L19" s="9" t="n">
        <v>8249356.17</v>
      </c>
      <c r="M19" s="10" t="n">
        <v>0</v>
      </c>
      <c r="N19" s="12">
        <f>K19-L19-M19</f>
        <v/>
      </c>
      <c r="O19" s="17" t="n">
        <v>145416</v>
      </c>
      <c r="P19" s="16" t="n">
        <v>0</v>
      </c>
      <c r="Q19" s="16" t="n">
        <v>0</v>
      </c>
      <c r="R19" s="18">
        <f>O19-P19-Q19</f>
        <v/>
      </c>
      <c r="S19" s="9" t="n">
        <v>145416</v>
      </c>
      <c r="T19" s="10" t="n">
        <v>0</v>
      </c>
      <c r="U19" s="10" t="n">
        <v>0</v>
      </c>
      <c r="V19" s="30">
        <f>S19-T19-U19</f>
        <v/>
      </c>
    </row>
    <row r="20">
      <c r="A20" s="28" t="inlineStr">
        <is>
          <t>104</t>
        </is>
      </c>
      <c r="B20" s="7" t="inlineStr">
        <is>
          <t>0409</t>
        </is>
      </c>
      <c r="C20" s="7" t="inlineStr">
        <is>
          <t>144019Д006</t>
        </is>
      </c>
      <c r="D20" s="7" t="inlineStr">
        <is>
          <t>244</t>
        </is>
      </c>
      <c r="E20" s="7" t="inlineStr">
        <is>
          <t>228</t>
        </is>
      </c>
      <c r="F20" s="15" t="inlineStr"/>
      <c r="G20" s="15" t="inlineStr"/>
      <c r="H20" s="7" t="inlineStr">
        <is>
          <t>1414012012</t>
        </is>
      </c>
      <c r="I20" s="8" t="inlineStr"/>
      <c r="J20" s="8" t="inlineStr"/>
      <c r="K20" s="9" t="n">
        <v>383157.24</v>
      </c>
      <c r="L20" s="9" t="n">
        <v>383153.31</v>
      </c>
      <c r="M20" s="10" t="n">
        <v>0</v>
      </c>
      <c r="N20" s="12">
        <f>K20-L20-M20</f>
        <v/>
      </c>
      <c r="O20" s="16" t="n">
        <v>0</v>
      </c>
      <c r="P20" s="16" t="n">
        <v>0</v>
      </c>
      <c r="Q20" s="16" t="n">
        <v>0</v>
      </c>
      <c r="R20" s="16">
        <f>O20-P20-Q20</f>
        <v/>
      </c>
      <c r="S20" s="19" t="n">
        <v>0</v>
      </c>
      <c r="T20" s="10" t="n">
        <v>0</v>
      </c>
      <c r="U20" s="10" t="n">
        <v>0</v>
      </c>
      <c r="V20" s="29">
        <f>S20-T20-U20</f>
        <v/>
      </c>
    </row>
    <row r="21">
      <c r="A21" s="28" t="inlineStr">
        <is>
          <t>104</t>
        </is>
      </c>
      <c r="B21" s="7" t="inlineStr">
        <is>
          <t>0409</t>
        </is>
      </c>
      <c r="C21" s="7" t="inlineStr">
        <is>
          <t>144019Д006</t>
        </is>
      </c>
      <c r="D21" s="7" t="inlineStr">
        <is>
          <t>244</t>
        </is>
      </c>
      <c r="E21" s="7" t="inlineStr">
        <is>
          <t>310</t>
        </is>
      </c>
      <c r="F21" s="15" t="inlineStr"/>
      <c r="G21" s="7" t="inlineStr">
        <is>
          <t>3103</t>
        </is>
      </c>
      <c r="H21" s="7" t="inlineStr">
        <is>
          <t>1414012012</t>
        </is>
      </c>
      <c r="I21" s="8" t="inlineStr"/>
      <c r="J21" s="8" t="inlineStr"/>
      <c r="K21" s="9" t="n">
        <v>28319126.12</v>
      </c>
      <c r="L21" s="9" t="n">
        <v>28319126.12</v>
      </c>
      <c r="M21" s="10" t="n">
        <v>0</v>
      </c>
      <c r="N21" s="10">
        <f>K21-L21-M21</f>
        <v/>
      </c>
      <c r="O21" s="16" t="n">
        <v>0</v>
      </c>
      <c r="P21" s="16" t="n">
        <v>0</v>
      </c>
      <c r="Q21" s="16" t="n">
        <v>0</v>
      </c>
      <c r="R21" s="16">
        <f>O21-P21-Q21</f>
        <v/>
      </c>
      <c r="S21" s="10" t="n">
        <v>0</v>
      </c>
      <c r="T21" s="10" t="n">
        <v>0</v>
      </c>
      <c r="U21" s="10" t="n">
        <v>0</v>
      </c>
      <c r="V21" s="29">
        <f>S21-T21-U21</f>
        <v/>
      </c>
    </row>
    <row r="22">
      <c r="A22" s="28" t="inlineStr">
        <is>
          <t>104</t>
        </is>
      </c>
      <c r="B22" s="7" t="inlineStr">
        <is>
          <t>0409</t>
        </is>
      </c>
      <c r="C22" s="7" t="inlineStr">
        <is>
          <t>144019Д006</t>
        </is>
      </c>
      <c r="D22" s="7" t="inlineStr">
        <is>
          <t>247</t>
        </is>
      </c>
      <c r="E22" s="7" t="inlineStr">
        <is>
          <t>223</t>
        </is>
      </c>
      <c r="F22" s="15" t="inlineStr"/>
      <c r="G22" s="7" t="inlineStr">
        <is>
          <t>2233</t>
        </is>
      </c>
      <c r="H22" s="7" t="inlineStr">
        <is>
          <t>1414012012</t>
        </is>
      </c>
      <c r="I22" s="8" t="inlineStr"/>
      <c r="J22" s="8" t="inlineStr"/>
      <c r="K22" s="9" t="n">
        <v>27107454.04</v>
      </c>
      <c r="L22" s="9" t="n">
        <v>26373397.64</v>
      </c>
      <c r="M22" s="10" t="n">
        <v>0</v>
      </c>
      <c r="N22" s="12">
        <f>K22-L22-M22</f>
        <v/>
      </c>
      <c r="O22" s="17" t="n">
        <v>28119650.6</v>
      </c>
      <c r="P22" s="16" t="n">
        <v>0</v>
      </c>
      <c r="Q22" s="16" t="n">
        <v>0</v>
      </c>
      <c r="R22" s="18">
        <f>O22-P22-Q22</f>
        <v/>
      </c>
      <c r="S22" s="9" t="n">
        <v>29207063.21</v>
      </c>
      <c r="T22" s="10" t="n">
        <v>0</v>
      </c>
      <c r="U22" s="10" t="n">
        <v>0</v>
      </c>
      <c r="V22" s="30">
        <f>S22-T22-U22</f>
        <v/>
      </c>
    </row>
    <row r="23" ht="15.75" customHeight="1" thickBot="1">
      <c r="A23" s="74" t="inlineStr">
        <is>
          <t>Итого</t>
        </is>
      </c>
      <c r="B23" s="91" t="n"/>
      <c r="C23" s="91" t="n"/>
      <c r="D23" s="91" t="n"/>
      <c r="E23" s="91" t="n"/>
      <c r="F23" s="91" t="n"/>
      <c r="G23" s="91" t="n"/>
      <c r="H23" s="91" t="n"/>
      <c r="I23" s="91" t="n"/>
      <c r="J23" s="92" t="n"/>
      <c r="K23" s="31">
        <f>SUM(K14:K22)</f>
        <v/>
      </c>
      <c r="L23" s="31">
        <f>SUM(L14:L22)</f>
        <v/>
      </c>
      <c r="M23" s="32">
        <f>SUM(M14:M22)</f>
        <v/>
      </c>
      <c r="N23" s="33">
        <f>SUM(N14:N22)</f>
        <v/>
      </c>
      <c r="O23" s="38">
        <f>SUM(O14:O22)</f>
        <v/>
      </c>
      <c r="P23" s="38">
        <f>SUM(P14:P22)</f>
        <v/>
      </c>
      <c r="Q23" s="39">
        <f>SUM(Q14:Q22)</f>
        <v/>
      </c>
      <c r="R23" s="40">
        <f>SUM(R14:R22)</f>
        <v/>
      </c>
      <c r="S23" s="31">
        <f>SUM(S14:S22)</f>
        <v/>
      </c>
      <c r="T23" s="31">
        <f>SUM(T14:T22)</f>
        <v/>
      </c>
      <c r="U23" s="32">
        <f>SUM(U14:U22)</f>
        <v/>
      </c>
      <c r="V23" s="36">
        <f>SUM(V14:V22)</f>
        <v/>
      </c>
    </row>
    <row r="24" ht="30" customHeight="1" thickTop="1">
      <c r="A24" s="88" t="inlineStr">
        <is>
          <t>Транспортная безопасность</t>
        </is>
      </c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90" t="n"/>
    </row>
    <row r="25">
      <c r="A25" s="28" t="inlineStr">
        <is>
          <t>104</t>
        </is>
      </c>
      <c r="B25" s="7" t="inlineStr">
        <is>
          <t>0409</t>
        </is>
      </c>
      <c r="C25" s="7" t="inlineStr">
        <is>
          <t>144019Д401</t>
        </is>
      </c>
      <c r="D25" s="7" t="inlineStr">
        <is>
          <t>244</t>
        </is>
      </c>
      <c r="E25" s="7" t="inlineStr">
        <is>
          <t>226</t>
        </is>
      </c>
      <c r="F25" s="15" t="inlineStr"/>
      <c r="G25" s="7" t="inlineStr">
        <is>
          <t>2263</t>
        </is>
      </c>
      <c r="H25" s="7" t="inlineStr">
        <is>
          <t>1414012042</t>
        </is>
      </c>
      <c r="I25" s="8" t="inlineStr"/>
      <c r="J25" s="8" t="inlineStr"/>
      <c r="K25" s="9" t="n">
        <v>10937576.52</v>
      </c>
      <c r="L25" s="9" t="n">
        <v>10404666.72</v>
      </c>
      <c r="M25" s="10" t="n">
        <v>0</v>
      </c>
      <c r="N25" s="12">
        <f>K25-L25-M25</f>
        <v/>
      </c>
      <c r="O25" s="13" t="n">
        <v>16100000</v>
      </c>
      <c r="P25" s="13" t="n">
        <v>12960000</v>
      </c>
      <c r="Q25" s="11" t="n">
        <v>0</v>
      </c>
      <c r="R25" s="14">
        <f>O25-P25-Q25</f>
        <v/>
      </c>
      <c r="S25" s="9" t="n">
        <v>13500000</v>
      </c>
      <c r="T25" s="9" t="n">
        <v>10800000</v>
      </c>
      <c r="U25" s="10" t="n">
        <v>0</v>
      </c>
      <c r="V25" s="30">
        <f>S25-T25-U25</f>
        <v/>
      </c>
    </row>
    <row r="26">
      <c r="A26" s="28" t="inlineStr">
        <is>
          <t>104</t>
        </is>
      </c>
      <c r="B26" s="7" t="inlineStr">
        <is>
          <t>0409</t>
        </is>
      </c>
      <c r="C26" s="7" t="inlineStr">
        <is>
          <t>144019Д401</t>
        </is>
      </c>
      <c r="D26" s="7" t="inlineStr">
        <is>
          <t>244</t>
        </is>
      </c>
      <c r="E26" s="7" t="inlineStr">
        <is>
          <t>225</t>
        </is>
      </c>
      <c r="F26" s="15" t="inlineStr"/>
      <c r="G26" s="7" t="inlineStr">
        <is>
          <t>2251</t>
        </is>
      </c>
      <c r="H26" s="7" t="inlineStr">
        <is>
          <t>1414012042</t>
        </is>
      </c>
      <c r="I26" s="8" t="inlineStr"/>
      <c r="J26" s="8" t="inlineStr"/>
      <c r="K26" s="9" t="n">
        <v>4384203.3</v>
      </c>
      <c r="L26" s="9" t="n">
        <v>3675603.3</v>
      </c>
      <c r="M26" s="10" t="n">
        <v>0</v>
      </c>
      <c r="N26" s="12">
        <f>K26-L26-M26</f>
        <v/>
      </c>
      <c r="O26" s="13" t="n">
        <v>6480000</v>
      </c>
      <c r="P26" s="13" t="n">
        <v>3645600</v>
      </c>
      <c r="Q26" s="11" t="n">
        <v>0</v>
      </c>
      <c r="R26" s="14">
        <f>O26-P26-Q26</f>
        <v/>
      </c>
      <c r="S26" s="9" t="n">
        <v>5000000</v>
      </c>
      <c r="T26" s="9" t="n">
        <v>2734200</v>
      </c>
      <c r="U26" s="10" t="n">
        <v>0</v>
      </c>
      <c r="V26" s="30">
        <f>S26-T26-U26</f>
        <v/>
      </c>
    </row>
    <row r="27">
      <c r="A27" s="28" t="inlineStr">
        <is>
          <t>104</t>
        </is>
      </c>
      <c r="B27" s="7" t="inlineStr">
        <is>
          <t>0409</t>
        </is>
      </c>
      <c r="C27" s="7" t="inlineStr">
        <is>
          <t>144019Д401</t>
        </is>
      </c>
      <c r="D27" s="7" t="inlineStr">
        <is>
          <t>244</t>
        </is>
      </c>
      <c r="E27" s="7" t="inlineStr">
        <is>
          <t>226</t>
        </is>
      </c>
      <c r="F27" s="15" t="inlineStr"/>
      <c r="G27" s="7" t="inlineStr">
        <is>
          <t>2267</t>
        </is>
      </c>
      <c r="H27" s="7" t="inlineStr">
        <is>
          <t>1414012042</t>
        </is>
      </c>
      <c r="I27" s="8" t="inlineStr"/>
      <c r="J27" s="8" t="inlineStr"/>
      <c r="K27" s="9" t="n">
        <v>295000</v>
      </c>
      <c r="L27" s="9" t="n">
        <v>295000</v>
      </c>
      <c r="M27" s="10" t="n">
        <v>0</v>
      </c>
      <c r="N27" s="10">
        <f>K27-L27-M27</f>
        <v/>
      </c>
      <c r="O27" s="11" t="n">
        <v>0</v>
      </c>
      <c r="P27" s="11" t="n">
        <v>0</v>
      </c>
      <c r="Q27" s="11" t="n">
        <v>0</v>
      </c>
      <c r="R27" s="11">
        <f>O27-P27-Q27</f>
        <v/>
      </c>
      <c r="S27" s="10" t="n">
        <v>0</v>
      </c>
      <c r="T27" s="10" t="n">
        <v>0</v>
      </c>
      <c r="U27" s="10" t="n">
        <v>0</v>
      </c>
      <c r="V27" s="29">
        <f>S27-T27-U27</f>
        <v/>
      </c>
    </row>
    <row r="28">
      <c r="A28" s="28" t="inlineStr">
        <is>
          <t>104</t>
        </is>
      </c>
      <c r="B28" s="7" t="inlineStr">
        <is>
          <t>0409</t>
        </is>
      </c>
      <c r="C28" s="7" t="inlineStr">
        <is>
          <t>144019Д401</t>
        </is>
      </c>
      <c r="D28" s="7" t="inlineStr">
        <is>
          <t>244</t>
        </is>
      </c>
      <c r="E28" s="7" t="inlineStr">
        <is>
          <t>228</t>
        </is>
      </c>
      <c r="F28" s="15" t="inlineStr"/>
      <c r="G28" s="15" t="inlineStr"/>
      <c r="H28" s="7" t="inlineStr">
        <is>
          <t>1414012042</t>
        </is>
      </c>
      <c r="I28" s="8" t="inlineStr"/>
      <c r="J28" s="8" t="inlineStr"/>
      <c r="K28" s="9" t="n">
        <v>4762520.18</v>
      </c>
      <c r="L28" s="9" t="n">
        <v>4762520.18</v>
      </c>
      <c r="M28" s="10" t="n">
        <v>0</v>
      </c>
      <c r="N28" s="10">
        <f>K28-L28-M28</f>
        <v/>
      </c>
      <c r="O28" s="13" t="n">
        <v>5270000</v>
      </c>
      <c r="P28" s="11" t="n">
        <v>0</v>
      </c>
      <c r="Q28" s="11" t="n">
        <v>0</v>
      </c>
      <c r="R28" s="14">
        <f>O28-P28-Q28</f>
        <v/>
      </c>
      <c r="S28" s="10" t="n">
        <v>0</v>
      </c>
      <c r="T28" s="10" t="n">
        <v>0</v>
      </c>
      <c r="U28" s="10" t="n">
        <v>0</v>
      </c>
      <c r="V28" s="29">
        <f>S28-T28-U28</f>
        <v/>
      </c>
    </row>
    <row r="29">
      <c r="A29" s="28" t="inlineStr">
        <is>
          <t>104</t>
        </is>
      </c>
      <c r="B29" s="7" t="inlineStr">
        <is>
          <t>0409</t>
        </is>
      </c>
      <c r="C29" s="7" t="inlineStr">
        <is>
          <t>144019Д401</t>
        </is>
      </c>
      <c r="D29" s="7" t="inlineStr">
        <is>
          <t>244</t>
        </is>
      </c>
      <c r="E29" s="7" t="inlineStr">
        <is>
          <t>310</t>
        </is>
      </c>
      <c r="F29" s="15" t="inlineStr"/>
      <c r="G29" s="7" t="inlineStr">
        <is>
          <t>3103</t>
        </is>
      </c>
      <c r="H29" s="7" t="inlineStr">
        <is>
          <t>1414012042</t>
        </is>
      </c>
      <c r="I29" s="8" t="inlineStr"/>
      <c r="J29" s="8" t="inlineStr"/>
      <c r="K29" s="9" t="n">
        <v>38853200</v>
      </c>
      <c r="L29" s="9" t="n">
        <v>33364503.68</v>
      </c>
      <c r="M29" s="10" t="n">
        <v>0</v>
      </c>
      <c r="N29" s="12">
        <f>K29-L29-M29</f>
        <v/>
      </c>
      <c r="O29" s="13" t="n">
        <v>47711000</v>
      </c>
      <c r="P29" s="13" t="n">
        <v>41453563.55</v>
      </c>
      <c r="Q29" s="11" t="n">
        <v>0</v>
      </c>
      <c r="R29" s="14">
        <f>O29-P29-Q29</f>
        <v/>
      </c>
      <c r="S29" s="9" t="n">
        <v>71865300</v>
      </c>
      <c r="T29" s="9" t="n">
        <v>23087411.96</v>
      </c>
      <c r="U29" s="10" t="n">
        <v>0</v>
      </c>
      <c r="V29" s="30">
        <f>S29-T29-U29</f>
        <v/>
      </c>
    </row>
    <row r="30" ht="15.75" customHeight="1" thickBot="1">
      <c r="A30" s="74" t="inlineStr">
        <is>
          <t>Итого</t>
        </is>
      </c>
      <c r="B30" s="91" t="n"/>
      <c r="C30" s="91" t="n"/>
      <c r="D30" s="91" t="n"/>
      <c r="E30" s="91" t="n"/>
      <c r="F30" s="91" t="n"/>
      <c r="G30" s="91" t="n"/>
      <c r="H30" s="91" t="n"/>
      <c r="I30" s="91" t="n"/>
      <c r="J30" s="92" t="n"/>
      <c r="K30" s="31">
        <f>SUM(K25:K29)</f>
        <v/>
      </c>
      <c r="L30" s="31">
        <f>SUM(L25:L29)</f>
        <v/>
      </c>
      <c r="M30" s="31">
        <f>SUM(M25:M29)</f>
        <v/>
      </c>
      <c r="N30" s="33">
        <f>SUM(N25:N29)</f>
        <v/>
      </c>
      <c r="O30" s="34">
        <f>SUM(O25:O29)</f>
        <v/>
      </c>
      <c r="P30" s="34">
        <f>SUM(P25:P29)</f>
        <v/>
      </c>
      <c r="Q30" s="34">
        <f>SUM(Q25:Q29)</f>
        <v/>
      </c>
      <c r="R30" s="35">
        <f>SUM(R25:R29)</f>
        <v/>
      </c>
      <c r="S30" s="31">
        <f>SUM(S25:S29)</f>
        <v/>
      </c>
      <c r="T30" s="31">
        <f>SUM(T25:T29)</f>
        <v/>
      </c>
      <c r="U30" s="31">
        <f>SUM(U25:U29)</f>
        <v/>
      </c>
      <c r="V30" s="36">
        <f>SUM(V25:V29)</f>
        <v/>
      </c>
    </row>
    <row r="31" ht="30" customHeight="1" thickBot="1" thickTop="1">
      <c r="A31" s="93" t="inlineStr">
        <is>
          <t>Строительство / Реконструкция</t>
        </is>
      </c>
      <c r="V31" s="94" t="n"/>
    </row>
    <row r="32" ht="20.1" customHeight="1">
      <c r="A32" s="95" t="inlineStr">
        <is>
          <t>Осташков-Волговерховье - 00112</t>
        </is>
      </c>
      <c r="B32" s="96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7" t="n"/>
    </row>
    <row r="33">
      <c r="A33" s="42" t="inlineStr">
        <is>
          <t>104</t>
        </is>
      </c>
      <c r="B33" s="20" t="inlineStr">
        <is>
          <t>0409</t>
        </is>
      </c>
      <c r="C33" s="20" t="inlineStr">
        <is>
          <t>5810110000</t>
        </is>
      </c>
      <c r="D33" s="20" t="inlineStr">
        <is>
          <t>414</t>
        </is>
      </c>
      <c r="E33" s="20" t="inlineStr">
        <is>
          <t>228</t>
        </is>
      </c>
      <c r="F33" s="21" t="inlineStr"/>
      <c r="G33" s="20" t="inlineStr">
        <is>
          <t>1.0</t>
        </is>
      </c>
      <c r="H33" s="20" t="inlineStr">
        <is>
          <t>5810116И00</t>
        </is>
      </c>
      <c r="I33" s="21" t="inlineStr">
        <is>
          <t>00112</t>
        </is>
      </c>
      <c r="J33" s="22" t="inlineStr"/>
      <c r="K33" s="10" t="n">
        <v>0</v>
      </c>
      <c r="L33" s="27" t="n">
        <v>25461000</v>
      </c>
      <c r="M33" s="10" t="n">
        <v>0</v>
      </c>
      <c r="N33" s="23">
        <f>K33-L33-M33</f>
        <v/>
      </c>
      <c r="O33" s="24" t="n">
        <v>0</v>
      </c>
      <c r="P33" s="24" t="n">
        <v>0</v>
      </c>
      <c r="Q33" s="24" t="n">
        <v>0</v>
      </c>
      <c r="R33" s="24">
        <f>O33-P33-Q33</f>
        <v/>
      </c>
      <c r="S33" s="10" t="n">
        <v>0</v>
      </c>
      <c r="T33" s="10" t="n">
        <v>0</v>
      </c>
      <c r="U33" s="10" t="n">
        <v>0</v>
      </c>
      <c r="V33" s="43">
        <f>S33-T33-U33</f>
        <v/>
      </c>
    </row>
    <row r="34" ht="15.75" customHeight="1" thickBot="1">
      <c r="A34" s="98" t="inlineStr">
        <is>
          <t>Итого</t>
        </is>
      </c>
      <c r="B34" s="99" t="n"/>
      <c r="C34" s="99" t="n"/>
      <c r="D34" s="99" t="n"/>
      <c r="E34" s="99" t="n"/>
      <c r="F34" s="99" t="n"/>
      <c r="G34" s="99" t="n"/>
      <c r="H34" s="99" t="n"/>
      <c r="I34" s="99" t="n"/>
      <c r="J34" s="100" t="n"/>
      <c r="K34" s="44">
        <f>SUM(K33)</f>
        <v/>
      </c>
      <c r="L34" s="45">
        <f>SUM(L33)</f>
        <v/>
      </c>
      <c r="M34" s="44">
        <f>SUM(M33)</f>
        <v/>
      </c>
      <c r="N34" s="46">
        <f>SUM(N33)</f>
        <v/>
      </c>
      <c r="O34" s="47">
        <f>SUM(O33)</f>
        <v/>
      </c>
      <c r="P34" s="47">
        <f>SUM(P33)</f>
        <v/>
      </c>
      <c r="Q34" s="47">
        <f>SUM(Q33)</f>
        <v/>
      </c>
      <c r="R34" s="47">
        <f>SUM(R33)</f>
        <v/>
      </c>
      <c r="S34" s="44">
        <f>SUM(S33)</f>
        <v/>
      </c>
      <c r="T34" s="44">
        <f>SUM(T33)</f>
        <v/>
      </c>
      <c r="U34" s="44">
        <f>SUM(U33)</f>
        <v/>
      </c>
      <c r="V34" s="48">
        <f>SUM(V33)</f>
        <v/>
      </c>
    </row>
    <row r="35" ht="20.1" customHeight="1">
      <c r="A35" s="95" t="inlineStr">
        <is>
          <t>Западный мост - 00123</t>
        </is>
      </c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7" t="n"/>
    </row>
    <row r="36">
      <c r="A36" s="42" t="inlineStr">
        <is>
          <t>104</t>
        </is>
      </c>
      <c r="B36" s="20" t="inlineStr">
        <is>
          <t>0409</t>
        </is>
      </c>
      <c r="C36" s="20" t="inlineStr">
        <is>
          <t>141И854470</t>
        </is>
      </c>
      <c r="D36" s="20" t="inlineStr">
        <is>
          <t>414</t>
        </is>
      </c>
      <c r="E36" s="20" t="inlineStr">
        <is>
          <t>228</t>
        </is>
      </c>
      <c r="F36" s="21" t="inlineStr">
        <is>
          <t>25000000001120960758</t>
        </is>
      </c>
      <c r="G36" s="20" t="inlineStr">
        <is>
          <t>2.0</t>
        </is>
      </c>
      <c r="H36" s="20" t="inlineStr">
        <is>
          <t>1411И81050</t>
        </is>
      </c>
      <c r="I36" s="21" t="inlineStr">
        <is>
          <t>00123</t>
        </is>
      </c>
      <c r="J36" s="22" t="inlineStr"/>
      <c r="K36" s="27" t="n">
        <v>144924174.97</v>
      </c>
      <c r="L36" s="27" t="n">
        <v>144924174.97</v>
      </c>
      <c r="M36" s="10" t="n">
        <v>0</v>
      </c>
      <c r="N36" s="10">
        <f>K36-L36-M36</f>
        <v/>
      </c>
      <c r="O36" s="41" t="n">
        <v>64482970.05</v>
      </c>
      <c r="P36" s="41" t="n">
        <v>64482970.05</v>
      </c>
      <c r="Q36" s="24" t="n">
        <v>0</v>
      </c>
      <c r="R36" s="24">
        <f>O36-P36-Q36</f>
        <v/>
      </c>
      <c r="S36" s="10" t="n">
        <v>0</v>
      </c>
      <c r="T36" s="10" t="n">
        <v>0</v>
      </c>
      <c r="U36" s="10" t="n">
        <v>0</v>
      </c>
      <c r="V36" s="43">
        <f>S36-T36-U36</f>
        <v/>
      </c>
    </row>
    <row r="37">
      <c r="A37" s="42" t="inlineStr">
        <is>
          <t>104</t>
        </is>
      </c>
      <c r="B37" s="20" t="inlineStr">
        <is>
          <t>0409</t>
        </is>
      </c>
      <c r="C37" s="20" t="inlineStr">
        <is>
          <t>141И854470</t>
        </is>
      </c>
      <c r="D37" s="20" t="inlineStr">
        <is>
          <t>414</t>
        </is>
      </c>
      <c r="E37" s="20" t="inlineStr">
        <is>
          <t>310</t>
        </is>
      </c>
      <c r="F37" s="21" t="inlineStr">
        <is>
          <t>25000000001120960758</t>
        </is>
      </c>
      <c r="G37" s="20" t="inlineStr">
        <is>
          <t>2.0</t>
        </is>
      </c>
      <c r="H37" s="20" t="inlineStr">
        <is>
          <t>1411И81050</t>
        </is>
      </c>
      <c r="I37" s="21" t="inlineStr">
        <is>
          <t>00123</t>
        </is>
      </c>
      <c r="J37" s="22" t="inlineStr"/>
      <c r="K37" s="27" t="n">
        <v>4351570425.03</v>
      </c>
      <c r="L37" s="27" t="n">
        <v>4351570425.03</v>
      </c>
      <c r="M37" s="10" t="n">
        <v>0</v>
      </c>
      <c r="N37" s="10">
        <f>K37-L37-M37</f>
        <v/>
      </c>
      <c r="O37" s="41" t="n">
        <v>7376354629.95</v>
      </c>
      <c r="P37" s="41" t="n">
        <v>5253879540.31</v>
      </c>
      <c r="Q37" s="24" t="n">
        <v>0</v>
      </c>
      <c r="R37" s="25">
        <f>O37-P37-Q37</f>
        <v/>
      </c>
      <c r="S37" s="10" t="n">
        <v>0</v>
      </c>
      <c r="T37" s="10" t="n">
        <v>0</v>
      </c>
      <c r="U37" s="10" t="n">
        <v>0</v>
      </c>
      <c r="V37" s="43">
        <f>S37-T37-U37</f>
        <v/>
      </c>
    </row>
    <row r="38" ht="15.75" customHeight="1" thickBot="1">
      <c r="A38" s="98" t="inlineStr">
        <is>
          <t>Итого</t>
        </is>
      </c>
      <c r="B38" s="99" t="n"/>
      <c r="C38" s="99" t="n"/>
      <c r="D38" s="99" t="n"/>
      <c r="E38" s="99" t="n"/>
      <c r="F38" s="99" t="n"/>
      <c r="G38" s="99" t="n"/>
      <c r="H38" s="99" t="n"/>
      <c r="I38" s="99" t="n"/>
      <c r="J38" s="100" t="n"/>
      <c r="K38" s="45">
        <f>SUM(K36:K37)</f>
        <v/>
      </c>
      <c r="L38" s="45">
        <f>SUM(L36:L37)</f>
        <v/>
      </c>
      <c r="M38" s="44">
        <f>SUM(M36:M37)</f>
        <v/>
      </c>
      <c r="N38" s="44">
        <f>SUM(N36:N37)</f>
        <v/>
      </c>
      <c r="O38" s="49">
        <f>SUM(O36:O37)</f>
        <v/>
      </c>
      <c r="P38" s="49">
        <f>SUM(P36:P37)</f>
        <v/>
      </c>
      <c r="Q38" s="47">
        <f>SUM(Q36:Q37)</f>
        <v/>
      </c>
      <c r="R38" s="50">
        <f>SUM(R36:R37)</f>
        <v/>
      </c>
      <c r="S38" s="44">
        <f>SUM(S36:S37)</f>
        <v/>
      </c>
      <c r="T38" s="44">
        <f>SUM(T36:T37)</f>
        <v/>
      </c>
      <c r="U38" s="44">
        <f>SUM(U36:U37)</f>
        <v/>
      </c>
      <c r="V38" s="48">
        <f>SUM(V36:V37)</f>
        <v/>
      </c>
    </row>
    <row r="39" ht="20.1" customHeight="1">
      <c r="A39" s="95" t="inlineStr">
        <is>
          <t>Конаково Ривер Клаб - 00145</t>
        </is>
      </c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7" t="n"/>
    </row>
    <row r="40">
      <c r="A40" s="42" t="inlineStr">
        <is>
          <t>104</t>
        </is>
      </c>
      <c r="B40" s="20" t="inlineStr">
        <is>
          <t>0409</t>
        </is>
      </c>
      <c r="C40" s="20" t="inlineStr">
        <is>
          <t>144019Д004</t>
        </is>
      </c>
      <c r="D40" s="20" t="inlineStr">
        <is>
          <t>414</t>
        </is>
      </c>
      <c r="E40" s="20" t="inlineStr">
        <is>
          <t>310</t>
        </is>
      </c>
      <c r="F40" s="21" t="inlineStr"/>
      <c r="G40" s="20" t="inlineStr">
        <is>
          <t>2.0</t>
        </is>
      </c>
      <c r="H40" s="20" t="inlineStr">
        <is>
          <t>1414011010</t>
        </is>
      </c>
      <c r="I40" s="21" t="inlineStr">
        <is>
          <t>00145</t>
        </is>
      </c>
      <c r="J40" s="22" t="inlineStr"/>
      <c r="K40" s="27" t="n">
        <v>4201400</v>
      </c>
      <c r="L40" s="27" t="n">
        <v>4201346</v>
      </c>
      <c r="M40" s="10" t="n">
        <v>0</v>
      </c>
      <c r="N40" s="12">
        <f>K40-L40-M40</f>
        <v/>
      </c>
      <c r="O40" s="24" t="n">
        <v>0</v>
      </c>
      <c r="P40" s="24" t="n">
        <v>0</v>
      </c>
      <c r="Q40" s="24" t="n">
        <v>0</v>
      </c>
      <c r="R40" s="24">
        <f>O40-P40-Q40</f>
        <v/>
      </c>
      <c r="S40" s="10" t="n">
        <v>0</v>
      </c>
      <c r="T40" s="10" t="n">
        <v>0</v>
      </c>
      <c r="U40" s="10" t="n">
        <v>0</v>
      </c>
      <c r="V40" s="43">
        <f>S40-T40-U40</f>
        <v/>
      </c>
    </row>
    <row r="41" ht="15.75" customHeight="1" thickBot="1">
      <c r="A41" s="98" t="inlineStr">
        <is>
          <t>Итого</t>
        </is>
      </c>
      <c r="B41" s="99" t="n"/>
      <c r="C41" s="99" t="n"/>
      <c r="D41" s="99" t="n"/>
      <c r="E41" s="99" t="n"/>
      <c r="F41" s="99" t="n"/>
      <c r="G41" s="99" t="n"/>
      <c r="H41" s="99" t="n"/>
      <c r="I41" s="99" t="n"/>
      <c r="J41" s="100" t="n"/>
      <c r="K41" s="45">
        <f>SUM(K40)</f>
        <v/>
      </c>
      <c r="L41" s="45">
        <f>SUM(L40)</f>
        <v/>
      </c>
      <c r="M41" s="44">
        <f>SUM(M40)</f>
        <v/>
      </c>
      <c r="N41" s="51">
        <f>SUM(N40)</f>
        <v/>
      </c>
      <c r="O41" s="47">
        <f>SUM(O40)</f>
        <v/>
      </c>
      <c r="P41" s="47">
        <f>SUM(P40)</f>
        <v/>
      </c>
      <c r="Q41" s="47">
        <f>SUM(Q40)</f>
        <v/>
      </c>
      <c r="R41" s="47">
        <f>SUM(R40)</f>
        <v/>
      </c>
      <c r="S41" s="44">
        <f>SUM(S40)</f>
        <v/>
      </c>
      <c r="T41" s="44">
        <f>SUM(T40)</f>
        <v/>
      </c>
      <c r="U41" s="44">
        <f>SUM(U40)</f>
        <v/>
      </c>
      <c r="V41" s="48">
        <f>SUM(V40)</f>
        <v/>
      </c>
    </row>
    <row r="42" ht="20.1" customHeight="1">
      <c r="A42" s="95" t="inlineStr">
        <is>
          <t>Большое Эскино – Трестино – Жданово - 00154</t>
        </is>
      </c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7" t="n"/>
    </row>
    <row r="43">
      <c r="A43" s="42" t="inlineStr">
        <is>
          <t>104</t>
        </is>
      </c>
      <c r="B43" s="20" t="inlineStr">
        <is>
          <t>0409</t>
        </is>
      </c>
      <c r="C43" s="20" t="inlineStr">
        <is>
          <t>144019Д003</t>
        </is>
      </c>
      <c r="D43" s="20" t="inlineStr">
        <is>
          <t>414</t>
        </is>
      </c>
      <c r="E43" s="20" t="inlineStr">
        <is>
          <t>228</t>
        </is>
      </c>
      <c r="F43" s="21" t="inlineStr"/>
      <c r="G43" s="20" t="inlineStr">
        <is>
          <t>1.0</t>
        </is>
      </c>
      <c r="H43" s="20" t="inlineStr">
        <is>
          <t>1414011009</t>
        </is>
      </c>
      <c r="I43" s="21" t="inlineStr">
        <is>
          <t>00154</t>
        </is>
      </c>
      <c r="J43" s="22" t="inlineStr"/>
      <c r="K43" s="27" t="n">
        <v>11452700</v>
      </c>
      <c r="L43" s="27" t="n">
        <v>11452613.7</v>
      </c>
      <c r="M43" s="10" t="n">
        <v>0</v>
      </c>
      <c r="N43" s="12">
        <f>K43-L43-M43</f>
        <v/>
      </c>
      <c r="O43" s="24" t="n">
        <v>0</v>
      </c>
      <c r="P43" s="24" t="n">
        <v>0</v>
      </c>
      <c r="Q43" s="24" t="n">
        <v>0</v>
      </c>
      <c r="R43" s="24">
        <f>O43-P43-Q43</f>
        <v/>
      </c>
      <c r="S43" s="10" t="n">
        <v>0</v>
      </c>
      <c r="T43" s="10" t="n">
        <v>0</v>
      </c>
      <c r="U43" s="10" t="n">
        <v>0</v>
      </c>
      <c r="V43" s="43">
        <f>S43-T43-U43</f>
        <v/>
      </c>
    </row>
    <row r="44">
      <c r="A44" s="42" t="inlineStr">
        <is>
          <t>104</t>
        </is>
      </c>
      <c r="B44" s="20" t="inlineStr">
        <is>
          <t>0409</t>
        </is>
      </c>
      <c r="C44" s="20" t="inlineStr">
        <is>
          <t>144019Д003</t>
        </is>
      </c>
      <c r="D44" s="20" t="inlineStr">
        <is>
          <t>414</t>
        </is>
      </c>
      <c r="E44" s="20" t="inlineStr">
        <is>
          <t>228</t>
        </is>
      </c>
      <c r="F44" s="21" t="inlineStr"/>
      <c r="G44" s="20" t="inlineStr">
        <is>
          <t>2.0</t>
        </is>
      </c>
      <c r="H44" s="20" t="inlineStr">
        <is>
          <t>1414011009</t>
        </is>
      </c>
      <c r="I44" s="21" t="inlineStr">
        <is>
          <t>00154</t>
        </is>
      </c>
      <c r="J44" s="22" t="inlineStr"/>
      <c r="K44" s="27" t="n">
        <v>2505900</v>
      </c>
      <c r="L44" s="27" t="n">
        <v>2505900</v>
      </c>
      <c r="M44" s="10" t="n">
        <v>0</v>
      </c>
      <c r="N44" s="10">
        <f>K44-L44-M44</f>
        <v/>
      </c>
      <c r="O44" s="24" t="n">
        <v>0</v>
      </c>
      <c r="P44" s="24" t="n">
        <v>0</v>
      </c>
      <c r="Q44" s="24" t="n">
        <v>0</v>
      </c>
      <c r="R44" s="24">
        <f>O44-P44-Q44</f>
        <v/>
      </c>
      <c r="S44" s="10" t="n">
        <v>0</v>
      </c>
      <c r="T44" s="10" t="n">
        <v>0</v>
      </c>
      <c r="U44" s="10" t="n">
        <v>0</v>
      </c>
      <c r="V44" s="43">
        <f>S44-T44-U44</f>
        <v/>
      </c>
    </row>
    <row r="45">
      <c r="A45" s="42" t="inlineStr">
        <is>
          <t>104</t>
        </is>
      </c>
      <c r="B45" s="20" t="inlineStr">
        <is>
          <t>0409</t>
        </is>
      </c>
      <c r="C45" s="20" t="inlineStr">
        <is>
          <t>144019Д003</t>
        </is>
      </c>
      <c r="D45" s="20" t="inlineStr">
        <is>
          <t>414</t>
        </is>
      </c>
      <c r="E45" s="20" t="inlineStr">
        <is>
          <t>310</t>
        </is>
      </c>
      <c r="F45" s="21" t="inlineStr"/>
      <c r="G45" s="20" t="inlineStr">
        <is>
          <t>2.0</t>
        </is>
      </c>
      <c r="H45" s="20" t="inlineStr">
        <is>
          <t>1414011009</t>
        </is>
      </c>
      <c r="I45" s="21" t="inlineStr">
        <is>
          <t>00154</t>
        </is>
      </c>
      <c r="J45" s="22" t="inlineStr"/>
      <c r="K45" s="27" t="n">
        <v>1275369800</v>
      </c>
      <c r="L45" s="27" t="n">
        <v>736460706.6</v>
      </c>
      <c r="M45" s="10" t="n">
        <v>0</v>
      </c>
      <c r="N45" s="12">
        <f>K45-L45-M45</f>
        <v/>
      </c>
      <c r="O45" s="24" t="n">
        <v>0</v>
      </c>
      <c r="P45" s="24" t="n">
        <v>0</v>
      </c>
      <c r="Q45" s="24" t="n">
        <v>0</v>
      </c>
      <c r="R45" s="24">
        <f>O45-P45-Q45</f>
        <v/>
      </c>
      <c r="S45" s="10" t="n">
        <v>0</v>
      </c>
      <c r="T45" s="10" t="n">
        <v>0</v>
      </c>
      <c r="U45" s="10" t="n">
        <v>0</v>
      </c>
      <c r="V45" s="43">
        <f>S45-T45-U45</f>
        <v/>
      </c>
    </row>
    <row r="46" ht="15.75" customHeight="1" thickBot="1">
      <c r="A46" s="98" t="inlineStr">
        <is>
          <t>Итого</t>
        </is>
      </c>
      <c r="B46" s="99" t="n"/>
      <c r="C46" s="99" t="n"/>
      <c r="D46" s="99" t="n"/>
      <c r="E46" s="99" t="n"/>
      <c r="F46" s="99" t="n"/>
      <c r="G46" s="99" t="n"/>
      <c r="H46" s="99" t="n"/>
      <c r="I46" s="99" t="n"/>
      <c r="J46" s="100" t="n"/>
      <c r="K46" s="45">
        <f>SUM(K43:K45)</f>
        <v/>
      </c>
      <c r="L46" s="45">
        <f>SUM(L43:L45)</f>
        <v/>
      </c>
      <c r="M46" s="44">
        <f>SUM(M43:M45)</f>
        <v/>
      </c>
      <c r="N46" s="51">
        <f>SUM(N43:N45)</f>
        <v/>
      </c>
      <c r="O46" s="47">
        <f>SUM(O43:O45)</f>
        <v/>
      </c>
      <c r="P46" s="47">
        <f>SUM(P43:P45)</f>
        <v/>
      </c>
      <c r="Q46" s="47">
        <f>SUM(Q43:Q45)</f>
        <v/>
      </c>
      <c r="R46" s="47">
        <f>SUM(R43:R45)</f>
        <v/>
      </c>
      <c r="S46" s="44">
        <f>SUM(S43:S45)</f>
        <v/>
      </c>
      <c r="T46" s="44">
        <f>SUM(T43:T45)</f>
        <v/>
      </c>
      <c r="U46" s="44">
        <f>SUM(U43:U45)</f>
        <v/>
      </c>
      <c r="V46" s="48">
        <f>SUM(V43:V45)</f>
        <v/>
      </c>
    </row>
    <row r="47" ht="20.1" customHeight="1">
      <c r="A47" s="95" t="inlineStr">
        <is>
          <t>"Москва-Санкт-Петербург"-Чуприяновка-Старый Погост - 00187</t>
        </is>
      </c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7" t="n"/>
    </row>
    <row r="48">
      <c r="A48" s="42" t="inlineStr">
        <is>
          <t>104</t>
        </is>
      </c>
      <c r="B48" s="20" t="inlineStr">
        <is>
          <t>0409</t>
        </is>
      </c>
      <c r="C48" s="20" t="inlineStr">
        <is>
          <t>5810153900</t>
        </is>
      </c>
      <c r="D48" s="20" t="inlineStr">
        <is>
          <t>414</t>
        </is>
      </c>
      <c r="E48" s="20" t="inlineStr">
        <is>
          <t>228</t>
        </is>
      </c>
      <c r="F48" s="21" t="inlineStr">
        <is>
          <t>21228500000000210001</t>
        </is>
      </c>
      <c r="G48" s="20" t="inlineStr">
        <is>
          <t>2.0</t>
        </is>
      </c>
      <c r="H48" s="20" t="inlineStr">
        <is>
          <t>5810121И00</t>
        </is>
      </c>
      <c r="I48" s="21" t="inlineStr">
        <is>
          <t>00187</t>
        </is>
      </c>
      <c r="J48" s="22" t="inlineStr"/>
      <c r="K48" s="10" t="n">
        <v>0</v>
      </c>
      <c r="L48" s="27" t="n">
        <v>3316134.94</v>
      </c>
      <c r="M48" s="10" t="n">
        <v>0</v>
      </c>
      <c r="N48" s="23">
        <f>K48-L48-M48</f>
        <v/>
      </c>
      <c r="O48" s="24" t="n">
        <v>0</v>
      </c>
      <c r="P48" s="24" t="n">
        <v>0</v>
      </c>
      <c r="Q48" s="24" t="n">
        <v>0</v>
      </c>
      <c r="R48" s="24">
        <f>O48-P48-Q48</f>
        <v/>
      </c>
      <c r="S48" s="10" t="n">
        <v>0</v>
      </c>
      <c r="T48" s="10" t="n">
        <v>0</v>
      </c>
      <c r="U48" s="10" t="n">
        <v>0</v>
      </c>
      <c r="V48" s="43">
        <f>S48-T48-U48</f>
        <v/>
      </c>
    </row>
    <row r="49" ht="15" customHeight="1">
      <c r="A49" s="42" t="inlineStr">
        <is>
          <t>104</t>
        </is>
      </c>
      <c r="B49" s="20" t="inlineStr">
        <is>
          <t>0409</t>
        </is>
      </c>
      <c r="C49" s="20" t="inlineStr">
        <is>
          <t>5810153900</t>
        </is>
      </c>
      <c r="D49" s="20" t="inlineStr">
        <is>
          <t>414</t>
        </is>
      </c>
      <c r="E49" s="20" t="inlineStr">
        <is>
          <t>310</t>
        </is>
      </c>
      <c r="F49" s="21" t="inlineStr">
        <is>
          <t>21228500000000210001</t>
        </is>
      </c>
      <c r="G49" s="20" t="inlineStr">
        <is>
          <t>2.0</t>
        </is>
      </c>
      <c r="H49" s="20" t="inlineStr">
        <is>
          <t>5810121И00</t>
        </is>
      </c>
      <c r="I49" s="21" t="inlineStr">
        <is>
          <t>00187</t>
        </is>
      </c>
      <c r="J49" s="22" t="inlineStr"/>
      <c r="K49" s="10" t="n">
        <v>0</v>
      </c>
      <c r="L49" s="27" t="n">
        <v>239631088.6</v>
      </c>
      <c r="M49" s="10" t="n">
        <v>0</v>
      </c>
      <c r="N49" s="23">
        <f>K49-L49-M49</f>
        <v/>
      </c>
      <c r="O49" s="24" t="n">
        <v>0</v>
      </c>
      <c r="P49" s="24" t="n">
        <v>0</v>
      </c>
      <c r="Q49" s="24" t="n">
        <v>0</v>
      </c>
      <c r="R49" s="24">
        <f>O49-P49-Q49</f>
        <v/>
      </c>
      <c r="S49" s="10" t="n">
        <v>0</v>
      </c>
      <c r="T49" s="10" t="n">
        <v>0</v>
      </c>
      <c r="U49" s="10" t="n">
        <v>0</v>
      </c>
      <c r="V49" s="43">
        <f>S49-T49-U49</f>
        <v/>
      </c>
    </row>
    <row r="50" ht="15" customHeight="1" thickBot="1">
      <c r="A50" s="98" t="inlineStr">
        <is>
          <t>Итого</t>
        </is>
      </c>
      <c r="B50" s="99" t="n"/>
      <c r="C50" s="99" t="n"/>
      <c r="D50" s="99" t="n"/>
      <c r="E50" s="99" t="n"/>
      <c r="F50" s="99" t="n"/>
      <c r="G50" s="99" t="n"/>
      <c r="H50" s="99" t="n"/>
      <c r="I50" s="99" t="n"/>
      <c r="J50" s="100" t="n"/>
      <c r="K50" s="44">
        <f>SUM(K48:K49)</f>
        <v/>
      </c>
      <c r="L50" s="45">
        <f>SUM(L48:L49)</f>
        <v/>
      </c>
      <c r="M50" s="44">
        <f>SUM(M48:M49)</f>
        <v/>
      </c>
      <c r="N50" s="46">
        <f>SUM(N48:N49)</f>
        <v/>
      </c>
      <c r="O50" s="47">
        <f>SUM(O48:O49)</f>
        <v/>
      </c>
      <c r="P50" s="47">
        <f>SUM(P48:P49)</f>
        <v/>
      </c>
      <c r="Q50" s="47">
        <f>SUM(Q48:Q49)</f>
        <v/>
      </c>
      <c r="R50" s="47">
        <f>SUM(R48:R49)</f>
        <v/>
      </c>
      <c r="S50" s="44">
        <f>SUM(S48:S49)</f>
        <v/>
      </c>
      <c r="T50" s="44">
        <f>SUM(T48:T49)</f>
        <v/>
      </c>
      <c r="U50" s="44">
        <f>SUM(U48:U49)</f>
        <v/>
      </c>
      <c r="V50" s="48">
        <f>SUM(V48:V49)</f>
        <v/>
      </c>
    </row>
    <row r="51" ht="20.1" customHeight="1">
      <c r="A51" s="95" t="inlineStr">
        <is>
          <t>Шоша (4 этап)" - 00200</t>
        </is>
      </c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7" t="n"/>
    </row>
    <row r="52" ht="15" customHeight="1">
      <c r="A52" s="42" t="inlineStr">
        <is>
          <t>104</t>
        </is>
      </c>
      <c r="B52" s="20" t="inlineStr">
        <is>
          <t>0412</t>
        </is>
      </c>
      <c r="C52" s="20" t="inlineStr">
        <is>
          <t>081П1А3380</t>
        </is>
      </c>
      <c r="D52" s="20" t="inlineStr">
        <is>
          <t>414</t>
        </is>
      </c>
      <c r="E52" s="20" t="inlineStr">
        <is>
          <t>228</t>
        </is>
      </c>
      <c r="F52" s="21" t="inlineStr"/>
      <c r="G52" s="20" t="inlineStr">
        <is>
          <t>2.0</t>
        </is>
      </c>
      <c r="H52" s="20" t="inlineStr">
        <is>
          <t>0831П11097</t>
        </is>
      </c>
      <c r="I52" s="21" t="inlineStr">
        <is>
          <t>00200</t>
        </is>
      </c>
      <c r="J52" s="22" t="inlineStr"/>
      <c r="K52" s="27" t="n">
        <v>789929.58</v>
      </c>
      <c r="L52" s="27" t="n">
        <v>789929.58</v>
      </c>
      <c r="M52" s="10" t="n">
        <v>0</v>
      </c>
      <c r="N52" s="10">
        <f>K52-L52-M52</f>
        <v/>
      </c>
      <c r="O52" s="24" t="n">
        <v>0</v>
      </c>
      <c r="P52" s="24" t="n">
        <v>0</v>
      </c>
      <c r="Q52" s="24" t="n">
        <v>0</v>
      </c>
      <c r="R52" s="24">
        <f>O52-P52-Q52</f>
        <v/>
      </c>
      <c r="S52" s="10" t="n">
        <v>0</v>
      </c>
      <c r="T52" s="10" t="n">
        <v>0</v>
      </c>
      <c r="U52" s="10" t="n">
        <v>0</v>
      </c>
      <c r="V52" s="43">
        <f>S52-T52-U52</f>
        <v/>
      </c>
    </row>
    <row r="53" ht="15" customHeight="1">
      <c r="A53" s="42" t="inlineStr">
        <is>
          <t>104</t>
        </is>
      </c>
      <c r="B53" s="20" t="inlineStr">
        <is>
          <t>0412</t>
        </is>
      </c>
      <c r="C53" s="20" t="inlineStr">
        <is>
          <t>081П1А3380</t>
        </is>
      </c>
      <c r="D53" s="20" t="inlineStr">
        <is>
          <t>414</t>
        </is>
      </c>
      <c r="E53" s="20" t="inlineStr">
        <is>
          <t>310</t>
        </is>
      </c>
      <c r="F53" s="21" t="inlineStr"/>
      <c r="G53" s="20" t="inlineStr">
        <is>
          <t>2.0</t>
        </is>
      </c>
      <c r="H53" s="20" t="inlineStr">
        <is>
          <t>0831П11097</t>
        </is>
      </c>
      <c r="I53" s="21" t="inlineStr">
        <is>
          <t>00200</t>
        </is>
      </c>
      <c r="J53" s="22" t="inlineStr"/>
      <c r="K53" s="27" t="n">
        <v>85136670.42</v>
      </c>
      <c r="L53" s="27" t="n">
        <v>83469909.23</v>
      </c>
      <c r="M53" s="10" t="n">
        <v>0</v>
      </c>
      <c r="N53" s="12">
        <f>K53-L53-M53</f>
        <v/>
      </c>
      <c r="O53" s="24" t="n">
        <v>0</v>
      </c>
      <c r="P53" s="24" t="n">
        <v>0</v>
      </c>
      <c r="Q53" s="24" t="n">
        <v>0</v>
      </c>
      <c r="R53" s="24">
        <f>O53-P53-Q53</f>
        <v/>
      </c>
      <c r="S53" s="10" t="n">
        <v>0</v>
      </c>
      <c r="T53" s="10" t="n">
        <v>0</v>
      </c>
      <c r="U53" s="10" t="n">
        <v>0</v>
      </c>
      <c r="V53" s="43">
        <f>S53-T53-U53</f>
        <v/>
      </c>
    </row>
    <row r="54" ht="15" customHeight="1" thickBot="1">
      <c r="A54" s="98" t="inlineStr">
        <is>
          <t>Итого</t>
        </is>
      </c>
      <c r="B54" s="99" t="n"/>
      <c r="C54" s="99" t="n"/>
      <c r="D54" s="99" t="n"/>
      <c r="E54" s="99" t="n"/>
      <c r="F54" s="99" t="n"/>
      <c r="G54" s="99" t="n"/>
      <c r="H54" s="99" t="n"/>
      <c r="I54" s="99" t="n"/>
      <c r="J54" s="100" t="n"/>
      <c r="K54" s="45">
        <f>SUM(K52:K53)</f>
        <v/>
      </c>
      <c r="L54" s="45">
        <f>SUM(L52:L53)</f>
        <v/>
      </c>
      <c r="M54" s="44">
        <f>SUM(M52:M53)</f>
        <v/>
      </c>
      <c r="N54" s="51">
        <f>SUM(N52:N53)</f>
        <v/>
      </c>
      <c r="O54" s="47">
        <f>SUM(O52:O53)</f>
        <v/>
      </c>
      <c r="P54" s="47">
        <f>SUM(P52:P53)</f>
        <v/>
      </c>
      <c r="Q54" s="47">
        <f>SUM(Q52:Q53)</f>
        <v/>
      </c>
      <c r="R54" s="47">
        <f>SUM(R52:R53)</f>
        <v/>
      </c>
      <c r="S54" s="44">
        <f>SUM(S52:S53)</f>
        <v/>
      </c>
      <c r="T54" s="44">
        <f>SUM(T52:T53)</f>
        <v/>
      </c>
      <c r="U54" s="44">
        <f>SUM(U52:U53)</f>
        <v/>
      </c>
      <c r="V54" s="48">
        <f>SUM(V52:V53)</f>
        <v/>
      </c>
    </row>
    <row r="55" ht="20.1" customHeight="1">
      <c r="A55" s="95" t="inlineStr">
        <is>
          <t>ТПУ "Завидово" - 00273 (Контракт 1-3)</t>
        </is>
      </c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7" t="n"/>
    </row>
    <row r="56" ht="15" customHeight="1">
      <c r="A56" s="42" t="inlineStr">
        <is>
          <t>104</t>
        </is>
      </c>
      <c r="B56" s="20" t="inlineStr">
        <is>
          <t>0408</t>
        </is>
      </c>
      <c r="C56" s="20" t="inlineStr">
        <is>
          <t>0840398001</t>
        </is>
      </c>
      <c r="D56" s="20" t="inlineStr">
        <is>
          <t>414</t>
        </is>
      </c>
      <c r="E56" s="20" t="inlineStr">
        <is>
          <t>310</t>
        </is>
      </c>
      <c r="F56" s="21" t="inlineStr">
        <is>
          <t>982228001</t>
        </is>
      </c>
      <c r="G56" s="20" t="inlineStr">
        <is>
          <t>2.0</t>
        </is>
      </c>
      <c r="H56" s="20" t="inlineStr">
        <is>
          <t>0834031058</t>
        </is>
      </c>
      <c r="I56" s="21" t="inlineStr">
        <is>
          <t>00273</t>
        </is>
      </c>
      <c r="J56" s="22" t="inlineStr"/>
      <c r="K56" s="27" t="n">
        <v>5115216000</v>
      </c>
      <c r="L56" s="27" t="n">
        <v>5115216000</v>
      </c>
      <c r="M56" s="10" t="n">
        <v>0</v>
      </c>
      <c r="N56" s="10">
        <f>K56-L56-M56</f>
        <v/>
      </c>
      <c r="O56" s="24" t="n">
        <v>0</v>
      </c>
      <c r="P56" s="24" t="n">
        <v>0</v>
      </c>
      <c r="Q56" s="24" t="n">
        <v>0</v>
      </c>
      <c r="R56" s="24">
        <f>O56-P56-Q56</f>
        <v/>
      </c>
      <c r="S56" s="10" t="n">
        <v>0</v>
      </c>
      <c r="T56" s="10" t="n">
        <v>0</v>
      </c>
      <c r="U56" s="10" t="n">
        <v>0</v>
      </c>
      <c r="V56" s="43">
        <f>S56-T56-U56</f>
        <v/>
      </c>
    </row>
    <row r="57" ht="15" customHeight="1">
      <c r="A57" s="42" t="inlineStr">
        <is>
          <t>104</t>
        </is>
      </c>
      <c r="B57" s="20" t="inlineStr">
        <is>
          <t>0408</t>
        </is>
      </c>
      <c r="C57" s="20" t="inlineStr">
        <is>
          <t>08403К8001</t>
        </is>
      </c>
      <c r="D57" s="20" t="inlineStr">
        <is>
          <t>414</t>
        </is>
      </c>
      <c r="E57" s="20" t="inlineStr">
        <is>
          <t>228</t>
        </is>
      </c>
      <c r="F57" s="21" t="inlineStr"/>
      <c r="G57" s="20" t="inlineStr">
        <is>
          <t>1.0</t>
        </is>
      </c>
      <c r="H57" s="20" t="inlineStr">
        <is>
          <t>0834031058</t>
        </is>
      </c>
      <c r="I57" s="21" t="inlineStr">
        <is>
          <t>00273</t>
        </is>
      </c>
      <c r="J57" s="22" t="inlineStr"/>
      <c r="K57" s="27" t="n">
        <v>32283900</v>
      </c>
      <c r="L57" s="27" t="n">
        <v>32283826</v>
      </c>
      <c r="M57" s="10" t="n">
        <v>0</v>
      </c>
      <c r="N57" s="12">
        <f>K57-L57-M57</f>
        <v/>
      </c>
      <c r="O57" s="24" t="n">
        <v>0</v>
      </c>
      <c r="P57" s="24" t="n">
        <v>0</v>
      </c>
      <c r="Q57" s="24" t="n">
        <v>0</v>
      </c>
      <c r="R57" s="24">
        <f>O57-P57-Q57</f>
        <v/>
      </c>
      <c r="S57" s="10" t="n">
        <v>0</v>
      </c>
      <c r="T57" s="10" t="n">
        <v>0</v>
      </c>
      <c r="U57" s="10" t="n">
        <v>0</v>
      </c>
      <c r="V57" s="43">
        <f>S57-T57-U57</f>
        <v/>
      </c>
    </row>
    <row r="58" ht="15" customHeight="1">
      <c r="A58" s="42" t="inlineStr">
        <is>
          <t>104</t>
        </is>
      </c>
      <c r="B58" s="20" t="inlineStr">
        <is>
          <t>0408</t>
        </is>
      </c>
      <c r="C58" s="20" t="inlineStr">
        <is>
          <t>08403К8001</t>
        </is>
      </c>
      <c r="D58" s="20" t="inlineStr">
        <is>
          <t>414</t>
        </is>
      </c>
      <c r="E58" s="20" t="inlineStr">
        <is>
          <t>228</t>
        </is>
      </c>
      <c r="F58" s="21" t="inlineStr"/>
      <c r="G58" s="20" t="inlineStr">
        <is>
          <t>2.0</t>
        </is>
      </c>
      <c r="H58" s="20" t="inlineStr">
        <is>
          <t>0834031058</t>
        </is>
      </c>
      <c r="I58" s="21" t="inlineStr">
        <is>
          <t>00273</t>
        </is>
      </c>
      <c r="J58" s="22" t="inlineStr"/>
      <c r="K58" s="10" t="n">
        <v>0</v>
      </c>
      <c r="L58" s="10" t="n">
        <v>0</v>
      </c>
      <c r="M58" s="10" t="n">
        <v>0</v>
      </c>
      <c r="N58" s="10">
        <f>K58-L58-M58</f>
        <v/>
      </c>
      <c r="O58" s="24" t="n">
        <v>0</v>
      </c>
      <c r="P58" s="24" t="n">
        <v>0</v>
      </c>
      <c r="Q58" s="24" t="n">
        <v>0</v>
      </c>
      <c r="R58" s="24">
        <f>O58-P58-Q58</f>
        <v/>
      </c>
      <c r="S58" s="27" t="n">
        <v>75276209.5</v>
      </c>
      <c r="T58" s="10" t="n">
        <v>0</v>
      </c>
      <c r="U58" s="27" t="n">
        <v>75276209.5</v>
      </c>
      <c r="V58" s="43">
        <f>S58-T58-U58</f>
        <v/>
      </c>
    </row>
    <row r="59" ht="15" customHeight="1">
      <c r="A59" s="42" t="inlineStr">
        <is>
          <t>104</t>
        </is>
      </c>
      <c r="B59" s="20" t="inlineStr">
        <is>
          <t>0408</t>
        </is>
      </c>
      <c r="C59" s="20" t="inlineStr">
        <is>
          <t>08403К8001</t>
        </is>
      </c>
      <c r="D59" s="20" t="inlineStr">
        <is>
          <t>414</t>
        </is>
      </c>
      <c r="E59" s="20" t="inlineStr">
        <is>
          <t>310</t>
        </is>
      </c>
      <c r="F59" s="21" t="inlineStr"/>
      <c r="G59" s="20" t="inlineStr">
        <is>
          <t>2.0</t>
        </is>
      </c>
      <c r="H59" s="20" t="inlineStr">
        <is>
          <t>0834031058</t>
        </is>
      </c>
      <c r="I59" s="21" t="inlineStr">
        <is>
          <t>00273</t>
        </is>
      </c>
      <c r="J59" s="22" t="inlineStr"/>
      <c r="K59" s="10" t="n">
        <v>0</v>
      </c>
      <c r="L59" s="10" t="n">
        <v>0</v>
      </c>
      <c r="M59" s="10" t="n">
        <v>0</v>
      </c>
      <c r="N59" s="10">
        <f>K59-L59-M59</f>
        <v/>
      </c>
      <c r="O59" s="24" t="n">
        <v>0</v>
      </c>
      <c r="P59" s="24" t="n">
        <v>0</v>
      </c>
      <c r="Q59" s="24" t="n">
        <v>0</v>
      </c>
      <c r="R59" s="24">
        <f>O59-P59-Q59</f>
        <v/>
      </c>
      <c r="S59" s="27" t="n">
        <v>829025390.5</v>
      </c>
      <c r="T59" s="27" t="n">
        <v>823038099.98</v>
      </c>
      <c r="U59" s="10" t="n">
        <v>0</v>
      </c>
      <c r="V59" s="52">
        <f>S59-T59-U59</f>
        <v/>
      </c>
    </row>
    <row r="60" ht="15" customHeight="1" thickBot="1">
      <c r="A60" s="98" t="inlineStr">
        <is>
          <t>Итого</t>
        </is>
      </c>
      <c r="B60" s="99" t="n"/>
      <c r="C60" s="99" t="n"/>
      <c r="D60" s="99" t="n"/>
      <c r="E60" s="99" t="n"/>
      <c r="F60" s="99" t="n"/>
      <c r="G60" s="99" t="n"/>
      <c r="H60" s="99" t="n"/>
      <c r="I60" s="99" t="n"/>
      <c r="J60" s="100" t="n"/>
      <c r="K60" s="45">
        <f>SUM(K56:K59)</f>
        <v/>
      </c>
      <c r="L60" s="45">
        <f>SUM(L56:L59)</f>
        <v/>
      </c>
      <c r="M60" s="44">
        <f>SUM(M56:M59)</f>
        <v/>
      </c>
      <c r="N60" s="51">
        <f>SUM(N56:N59)</f>
        <v/>
      </c>
      <c r="O60" s="47">
        <f>SUM(O56:O59)</f>
        <v/>
      </c>
      <c r="P60" s="47">
        <f>SUM(P56:P59)</f>
        <v/>
      </c>
      <c r="Q60" s="47">
        <f>SUM(Q56:Q59)</f>
        <v/>
      </c>
      <c r="R60" s="47">
        <f>SUM(R56:R59)</f>
        <v/>
      </c>
      <c r="S60" s="45">
        <f>SUM(S56:S59)</f>
        <v/>
      </c>
      <c r="T60" s="45">
        <f>SUM(T56:T59)</f>
        <v/>
      </c>
      <c r="U60" s="45">
        <f>SUM(U56:U59)</f>
        <v/>
      </c>
      <c r="V60" s="53">
        <f>SUM(V56:V59)</f>
        <v/>
      </c>
    </row>
    <row r="61" ht="20.1" customHeight="1">
      <c r="A61" s="95" t="inlineStr">
        <is>
          <t>Бежецкое шоссе на участке от ул. Богородицерождественская - 00278</t>
        </is>
      </c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7" t="n"/>
    </row>
    <row r="62" ht="15" customHeight="1">
      <c r="A62" s="42" t="inlineStr">
        <is>
          <t>104</t>
        </is>
      </c>
      <c r="B62" s="20" t="inlineStr">
        <is>
          <t>0409</t>
        </is>
      </c>
      <c r="C62" s="20" t="inlineStr">
        <is>
          <t>144019Д003</t>
        </is>
      </c>
      <c r="D62" s="20" t="inlineStr">
        <is>
          <t>414</t>
        </is>
      </c>
      <c r="E62" s="20" t="inlineStr">
        <is>
          <t>228</t>
        </is>
      </c>
      <c r="F62" s="21" t="inlineStr"/>
      <c r="G62" s="20" t="inlineStr">
        <is>
          <t>2.0</t>
        </is>
      </c>
      <c r="H62" s="20" t="inlineStr">
        <is>
          <t>1414011009</t>
        </is>
      </c>
      <c r="I62" s="21" t="inlineStr">
        <is>
          <t>00278</t>
        </is>
      </c>
      <c r="J62" s="21" t="inlineStr"/>
      <c r="K62" s="27" t="n">
        <v>6095297.65</v>
      </c>
      <c r="L62" s="27" t="n">
        <v>4700454.68</v>
      </c>
      <c r="M62" s="10" t="n">
        <v>0</v>
      </c>
      <c r="N62" s="12">
        <f>K62-L62-M62</f>
        <v/>
      </c>
      <c r="O62" s="24" t="n">
        <v>0</v>
      </c>
      <c r="P62" s="24" t="n">
        <v>0</v>
      </c>
      <c r="Q62" s="24" t="n">
        <v>0</v>
      </c>
      <c r="R62" s="24">
        <f>O62-P62-Q62</f>
        <v/>
      </c>
      <c r="S62" s="10" t="n">
        <v>0</v>
      </c>
      <c r="T62" s="10" t="n">
        <v>0</v>
      </c>
      <c r="U62" s="10" t="n">
        <v>0</v>
      </c>
      <c r="V62" s="43">
        <f>S62-T62-U62</f>
        <v/>
      </c>
    </row>
    <row r="63" ht="15" customHeight="1">
      <c r="A63" s="42" t="inlineStr">
        <is>
          <t>104</t>
        </is>
      </c>
      <c r="B63" s="20" t="inlineStr">
        <is>
          <t>0409</t>
        </is>
      </c>
      <c r="C63" s="20" t="inlineStr">
        <is>
          <t>144019Д003</t>
        </is>
      </c>
      <c r="D63" s="20" t="inlineStr">
        <is>
          <t>414</t>
        </is>
      </c>
      <c r="E63" s="20" t="inlineStr">
        <is>
          <t>310</t>
        </is>
      </c>
      <c r="F63" s="21" t="inlineStr"/>
      <c r="G63" s="20" t="inlineStr">
        <is>
          <t>2.0</t>
        </is>
      </c>
      <c r="H63" s="20" t="inlineStr">
        <is>
          <t>1414011009</t>
        </is>
      </c>
      <c r="I63" s="21" t="inlineStr">
        <is>
          <t>00278</t>
        </is>
      </c>
      <c r="J63" s="21" t="inlineStr"/>
      <c r="K63" s="27" t="n">
        <v>731992302.35</v>
      </c>
      <c r="L63" s="27" t="n">
        <v>556238102.35</v>
      </c>
      <c r="M63" s="10" t="n">
        <v>0</v>
      </c>
      <c r="N63" s="12">
        <f>K63-L63-M63</f>
        <v/>
      </c>
      <c r="O63" s="24" t="n">
        <v>0</v>
      </c>
      <c r="P63" s="24" t="n">
        <v>0</v>
      </c>
      <c r="Q63" s="24" t="n">
        <v>0</v>
      </c>
      <c r="R63" s="24">
        <f>O63-P63-Q63</f>
        <v/>
      </c>
      <c r="S63" s="10" t="n">
        <v>0</v>
      </c>
      <c r="T63" s="10" t="n">
        <v>0</v>
      </c>
      <c r="U63" s="10" t="n">
        <v>0</v>
      </c>
      <c r="V63" s="43">
        <f>S63-T63-U63</f>
        <v/>
      </c>
    </row>
    <row r="64" ht="15" customHeight="1">
      <c r="A64" s="42" t="inlineStr">
        <is>
          <t>104</t>
        </is>
      </c>
      <c r="B64" s="20" t="inlineStr">
        <is>
          <t>0409</t>
        </is>
      </c>
      <c r="C64" s="20" t="inlineStr">
        <is>
          <t>144019Д003</t>
        </is>
      </c>
      <c r="D64" s="20" t="inlineStr">
        <is>
          <t>414</t>
        </is>
      </c>
      <c r="E64" s="20" t="inlineStr">
        <is>
          <t>310</t>
        </is>
      </c>
      <c r="F64" s="21" t="inlineStr"/>
      <c r="G64" s="20" t="inlineStr">
        <is>
          <t>2.0</t>
        </is>
      </c>
      <c r="H64" s="20" t="inlineStr">
        <is>
          <t>1414011009</t>
        </is>
      </c>
      <c r="I64" s="21" t="inlineStr">
        <is>
          <t>00278</t>
        </is>
      </c>
      <c r="J64" s="21" t="inlineStr">
        <is>
          <t>9999</t>
        </is>
      </c>
      <c r="K64" s="10" t="n">
        <v>0</v>
      </c>
      <c r="L64" s="27" t="n">
        <v>4181227.75</v>
      </c>
      <c r="M64" s="10" t="n">
        <v>0</v>
      </c>
      <c r="N64" s="23">
        <f>K64-L64-M64</f>
        <v/>
      </c>
      <c r="O64" s="24" t="n">
        <v>0</v>
      </c>
      <c r="P64" s="24" t="n">
        <v>0</v>
      </c>
      <c r="Q64" s="24" t="n">
        <v>0</v>
      </c>
      <c r="R64" s="24">
        <f>O64-P64-Q64</f>
        <v/>
      </c>
      <c r="S64" s="10" t="n">
        <v>0</v>
      </c>
      <c r="T64" s="10" t="n">
        <v>0</v>
      </c>
      <c r="U64" s="10" t="n">
        <v>0</v>
      </c>
      <c r="V64" s="43">
        <f>S64-T64-U64</f>
        <v/>
      </c>
    </row>
    <row r="65" ht="15" customHeight="1" thickBot="1">
      <c r="A65" s="98" t="inlineStr">
        <is>
          <t>Итого</t>
        </is>
      </c>
      <c r="B65" s="99" t="n"/>
      <c r="C65" s="99" t="n"/>
      <c r="D65" s="99" t="n"/>
      <c r="E65" s="99" t="n"/>
      <c r="F65" s="99" t="n"/>
      <c r="G65" s="99" t="n"/>
      <c r="H65" s="99" t="n"/>
      <c r="I65" s="99" t="n"/>
      <c r="J65" s="100" t="n"/>
      <c r="K65" s="45">
        <f>SUM(K62:K64)</f>
        <v/>
      </c>
      <c r="L65" s="45">
        <f>SUM(L62:L64)</f>
        <v/>
      </c>
      <c r="M65" s="44">
        <f>SUM(M62:M64)</f>
        <v/>
      </c>
      <c r="N65" s="51">
        <f>SUM(N62:N64)</f>
        <v/>
      </c>
      <c r="O65" s="44">
        <f>SUM(O62:O64)</f>
        <v/>
      </c>
      <c r="P65" s="44">
        <f>SUM(P62:P64)</f>
        <v/>
      </c>
      <c r="Q65" s="44">
        <f>SUM(Q62:Q64)</f>
        <v/>
      </c>
      <c r="R65" s="44">
        <f>SUM(R62:R64)</f>
        <v/>
      </c>
      <c r="S65" s="44">
        <f>SUM(S62:S64)</f>
        <v/>
      </c>
      <c r="T65" s="44">
        <f>SUM(T62:T64)</f>
        <v/>
      </c>
      <c r="U65" s="44">
        <f>SUM(U62:U64)</f>
        <v/>
      </c>
      <c r="V65" s="48">
        <f>SUM(V62:V64)</f>
        <v/>
      </c>
    </row>
    <row r="66" ht="20.1" customHeight="1">
      <c r="A66" s="95" t="inlineStr">
        <is>
          <t xml:space="preserve"> Фрунзе - 00279</t>
        </is>
      </c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7" t="n"/>
    </row>
    <row r="67" ht="15" customHeight="1">
      <c r="A67" s="42" t="inlineStr">
        <is>
          <t>104</t>
        </is>
      </c>
      <c r="B67" s="20" t="inlineStr">
        <is>
          <t>0409</t>
        </is>
      </c>
      <c r="C67" s="20" t="inlineStr">
        <is>
          <t>144019Д004</t>
        </is>
      </c>
      <c r="D67" s="20" t="inlineStr">
        <is>
          <t>414</t>
        </is>
      </c>
      <c r="E67" s="20" t="inlineStr">
        <is>
          <t>310</t>
        </is>
      </c>
      <c r="F67" s="21" t="inlineStr"/>
      <c r="G67" s="20" t="inlineStr">
        <is>
          <t>2.0</t>
        </is>
      </c>
      <c r="H67" s="20" t="inlineStr">
        <is>
          <t>1414011010</t>
        </is>
      </c>
      <c r="I67" s="21" t="inlineStr">
        <is>
          <t>00279</t>
        </is>
      </c>
      <c r="J67" s="22" t="inlineStr"/>
      <c r="K67" s="27" t="n">
        <v>124505800</v>
      </c>
      <c r="L67" s="27" t="n">
        <v>122031904</v>
      </c>
      <c r="M67" s="10" t="n">
        <v>0</v>
      </c>
      <c r="N67" s="12">
        <f>K67-L67-M67</f>
        <v/>
      </c>
      <c r="O67" s="24" t="n">
        <v>0</v>
      </c>
      <c r="P67" s="24" t="n">
        <v>0</v>
      </c>
      <c r="Q67" s="24" t="n">
        <v>0</v>
      </c>
      <c r="R67" s="24">
        <f>O67-P67-Q67</f>
        <v/>
      </c>
      <c r="S67" s="10" t="n">
        <v>0</v>
      </c>
      <c r="T67" s="10" t="n">
        <v>0</v>
      </c>
      <c r="U67" s="10" t="n">
        <v>0</v>
      </c>
      <c r="V67" s="43">
        <f>S67-T67-U67</f>
        <v/>
      </c>
    </row>
    <row r="68" ht="15" customHeight="1" thickBot="1">
      <c r="A68" s="98" t="inlineStr">
        <is>
          <t>Итого</t>
        </is>
      </c>
      <c r="B68" s="99" t="n"/>
      <c r="C68" s="99" t="n"/>
      <c r="D68" s="99" t="n"/>
      <c r="E68" s="99" t="n"/>
      <c r="F68" s="99" t="n"/>
      <c r="G68" s="99" t="n"/>
      <c r="H68" s="99" t="n"/>
      <c r="I68" s="99" t="n"/>
      <c r="J68" s="100" t="n"/>
      <c r="K68" s="45">
        <f>SUM(K67)</f>
        <v/>
      </c>
      <c r="L68" s="45">
        <f>SUM(L67)</f>
        <v/>
      </c>
      <c r="M68" s="44">
        <f>SUM(M67)</f>
        <v/>
      </c>
      <c r="N68" s="51">
        <f>SUM(N67)</f>
        <v/>
      </c>
      <c r="O68" s="47">
        <f>SUM(O67)</f>
        <v/>
      </c>
      <c r="P68" s="47">
        <f>SUM(P67)</f>
        <v/>
      </c>
      <c r="Q68" s="47">
        <f>SUM(Q67)</f>
        <v/>
      </c>
      <c r="R68" s="47">
        <f>SUM(R67)</f>
        <v/>
      </c>
      <c r="S68" s="44">
        <f>SUM(S67)</f>
        <v/>
      </c>
      <c r="T68" s="44">
        <f>SUM(T67)</f>
        <v/>
      </c>
      <c r="U68" s="44">
        <f>SUM(U67)</f>
        <v/>
      </c>
      <c r="V68" s="48">
        <f>SUM(V67)</f>
        <v/>
      </c>
    </row>
    <row r="69" ht="20.1" customHeight="1">
      <c r="A69" s="95" t="inlineStr">
        <is>
          <t>"Москва – Санкт-Петербург" - Конаково – Иваньково (М-10) - 00315</t>
        </is>
      </c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7" t="n"/>
    </row>
    <row r="70" ht="15" customHeight="1">
      <c r="A70" s="42" t="inlineStr">
        <is>
          <t>104</t>
        </is>
      </c>
      <c r="B70" s="20" t="inlineStr">
        <is>
          <t>0409</t>
        </is>
      </c>
      <c r="C70" s="20" t="inlineStr">
        <is>
          <t>141J153380</t>
        </is>
      </c>
      <c r="D70" s="20" t="inlineStr">
        <is>
          <t>414</t>
        </is>
      </c>
      <c r="E70" s="20" t="inlineStr">
        <is>
          <t>228</t>
        </is>
      </c>
      <c r="F70" s="21" t="inlineStr">
        <is>
          <t>24000000001120962348</t>
        </is>
      </c>
      <c r="G70" s="20" t="inlineStr">
        <is>
          <t>1.0</t>
        </is>
      </c>
      <c r="H70" s="20" t="inlineStr">
        <is>
          <t>1411J11007</t>
        </is>
      </c>
      <c r="I70" s="21" t="inlineStr">
        <is>
          <t>00315</t>
        </is>
      </c>
      <c r="J70" s="21" t="inlineStr">
        <is>
          <t>9999</t>
        </is>
      </c>
      <c r="K70" s="10" t="n">
        <v>0</v>
      </c>
      <c r="L70" s="27" t="n">
        <v>21913422.99</v>
      </c>
      <c r="M70" s="10" t="n">
        <v>0</v>
      </c>
      <c r="N70" s="23">
        <f>K70-L70-M70</f>
        <v/>
      </c>
      <c r="O70" s="24" t="n">
        <v>0</v>
      </c>
      <c r="P70" s="24" t="n">
        <v>0</v>
      </c>
      <c r="Q70" s="24" t="n">
        <v>0</v>
      </c>
      <c r="R70" s="24">
        <f>O70-P70-Q70</f>
        <v/>
      </c>
      <c r="S70" s="10" t="n">
        <v>0</v>
      </c>
      <c r="T70" s="10" t="n">
        <v>0</v>
      </c>
      <c r="U70" s="10" t="n">
        <v>0</v>
      </c>
      <c r="V70" s="43">
        <f>S70-T70-U70</f>
        <v/>
      </c>
    </row>
    <row r="71" ht="15" customHeight="1">
      <c r="A71" s="42" t="inlineStr">
        <is>
          <t>104</t>
        </is>
      </c>
      <c r="B71" s="20" t="inlineStr">
        <is>
          <t>0409</t>
        </is>
      </c>
      <c r="C71" s="20" t="inlineStr">
        <is>
          <t>141J153380</t>
        </is>
      </c>
      <c r="D71" s="20" t="inlineStr">
        <is>
          <t>414</t>
        </is>
      </c>
      <c r="E71" s="20" t="inlineStr">
        <is>
          <t>310</t>
        </is>
      </c>
      <c r="F71" s="21" t="inlineStr">
        <is>
          <t>24000000001120962348</t>
        </is>
      </c>
      <c r="G71" s="20" t="inlineStr">
        <is>
          <t>2.0</t>
        </is>
      </c>
      <c r="H71" s="20" t="inlineStr">
        <is>
          <t>1411J11007</t>
        </is>
      </c>
      <c r="I71" s="21" t="inlineStr">
        <is>
          <t>00315</t>
        </is>
      </c>
      <c r="J71" s="21" t="inlineStr"/>
      <c r="K71" s="10" t="n">
        <v>0</v>
      </c>
      <c r="L71" s="27" t="n">
        <v>29618700</v>
      </c>
      <c r="M71" s="10" t="n">
        <v>0</v>
      </c>
      <c r="N71" s="23">
        <f>K71-L71-M71</f>
        <v/>
      </c>
      <c r="O71" s="24" t="n">
        <v>0</v>
      </c>
      <c r="P71" s="41" t="n">
        <v>29203700</v>
      </c>
      <c r="Q71" s="24" t="n">
        <v>0</v>
      </c>
      <c r="R71" s="26">
        <f>O71-P71-Q71</f>
        <v/>
      </c>
      <c r="S71" s="10" t="n">
        <v>0</v>
      </c>
      <c r="T71" s="27" t="n">
        <v>1581873252.97</v>
      </c>
      <c r="U71" s="10" t="n">
        <v>0</v>
      </c>
      <c r="V71" s="54">
        <f>S71-T71-U71</f>
        <v/>
      </c>
    </row>
    <row r="72" ht="15" customHeight="1">
      <c r="A72" s="42" t="inlineStr">
        <is>
          <t>104</t>
        </is>
      </c>
      <c r="B72" s="20" t="inlineStr">
        <is>
          <t>0409</t>
        </is>
      </c>
      <c r="C72" s="20" t="inlineStr">
        <is>
          <t>141J153380</t>
        </is>
      </c>
      <c r="D72" s="20" t="inlineStr">
        <is>
          <t>414</t>
        </is>
      </c>
      <c r="E72" s="20" t="inlineStr">
        <is>
          <t>310</t>
        </is>
      </c>
      <c r="F72" s="21" t="inlineStr">
        <is>
          <t>24000000001120962348</t>
        </is>
      </c>
      <c r="G72" s="20" t="inlineStr">
        <is>
          <t>2.0</t>
        </is>
      </c>
      <c r="H72" s="20" t="inlineStr">
        <is>
          <t>1411J11007</t>
        </is>
      </c>
      <c r="I72" s="21" t="inlineStr">
        <is>
          <t>00315</t>
        </is>
      </c>
      <c r="J72" s="21" t="inlineStr">
        <is>
          <t>9999</t>
        </is>
      </c>
      <c r="K72" s="10" t="n">
        <v>0</v>
      </c>
      <c r="L72" s="27" t="n">
        <v>1028759420.8</v>
      </c>
      <c r="M72" s="10" t="n">
        <v>0</v>
      </c>
      <c r="N72" s="23">
        <f>K72-L72-M72</f>
        <v/>
      </c>
      <c r="O72" s="24" t="n">
        <v>0</v>
      </c>
      <c r="P72" s="41" t="n">
        <v>925721126.11</v>
      </c>
      <c r="Q72" s="24" t="n">
        <v>0</v>
      </c>
      <c r="R72" s="26">
        <f>O72-P72-Q72</f>
        <v/>
      </c>
      <c r="S72" s="10" t="n">
        <v>0</v>
      </c>
      <c r="T72" s="10" t="n">
        <v>0</v>
      </c>
      <c r="U72" s="10" t="n">
        <v>0</v>
      </c>
      <c r="V72" s="43">
        <f>S72-T72-U72</f>
        <v/>
      </c>
    </row>
    <row r="73" ht="15" customHeight="1">
      <c r="A73" s="42" t="inlineStr">
        <is>
          <t>104</t>
        </is>
      </c>
      <c r="B73" s="20" t="inlineStr">
        <is>
          <t>0409</t>
        </is>
      </c>
      <c r="C73" s="20" t="inlineStr">
        <is>
          <t>141П153380</t>
        </is>
      </c>
      <c r="D73" s="20" t="inlineStr">
        <is>
          <t>414</t>
        </is>
      </c>
      <c r="E73" s="20" t="inlineStr">
        <is>
          <t>310</t>
        </is>
      </c>
      <c r="F73" s="21" t="inlineStr">
        <is>
          <t>25000000001120962348</t>
        </is>
      </c>
      <c r="G73" s="20" t="inlineStr">
        <is>
          <t>2.0</t>
        </is>
      </c>
      <c r="H73" s="20" t="inlineStr">
        <is>
          <t>1411П11053</t>
        </is>
      </c>
      <c r="I73" s="21" t="inlineStr">
        <is>
          <t>00315</t>
        </is>
      </c>
      <c r="J73" s="21" t="inlineStr"/>
      <c r="K73" s="10" t="n">
        <v>0</v>
      </c>
      <c r="L73" s="10" t="n">
        <v>0</v>
      </c>
      <c r="M73" s="10" t="n">
        <v>0</v>
      </c>
      <c r="N73" s="10">
        <f>K73-L73-M73</f>
        <v/>
      </c>
      <c r="O73" s="41" t="n">
        <v>369072200</v>
      </c>
      <c r="P73" s="24" t="n">
        <v>0</v>
      </c>
      <c r="Q73" s="24" t="n">
        <v>0</v>
      </c>
      <c r="R73" s="25">
        <f>O73-P73-Q73</f>
        <v/>
      </c>
      <c r="S73" s="27" t="n">
        <v>748453600</v>
      </c>
      <c r="T73" s="10" t="n">
        <v>0</v>
      </c>
      <c r="U73" s="10" t="n">
        <v>0</v>
      </c>
      <c r="V73" s="52">
        <f>S73-T73-U73</f>
        <v/>
      </c>
    </row>
    <row r="74" ht="15" customHeight="1" thickBot="1">
      <c r="A74" s="98" t="inlineStr">
        <is>
          <t>Итого</t>
        </is>
      </c>
      <c r="B74" s="99" t="n"/>
      <c r="C74" s="99" t="n"/>
      <c r="D74" s="99" t="n"/>
      <c r="E74" s="99" t="n"/>
      <c r="F74" s="99" t="n"/>
      <c r="G74" s="99" t="n"/>
      <c r="H74" s="99" t="n"/>
      <c r="I74" s="99" t="n"/>
      <c r="J74" s="100" t="n"/>
      <c r="K74" s="44">
        <f>SUM(K70:K73)</f>
        <v/>
      </c>
      <c r="L74" s="45">
        <f>SUM(L70:L73)</f>
        <v/>
      </c>
      <c r="M74" s="44">
        <f>SUM(M70:M73)</f>
        <v/>
      </c>
      <c r="N74" s="46">
        <f>SUM(N70:N73)</f>
        <v/>
      </c>
      <c r="O74" s="49">
        <f>SUM(O70:O73)</f>
        <v/>
      </c>
      <c r="P74" s="49">
        <f>SUM(P70:P73)</f>
        <v/>
      </c>
      <c r="Q74" s="47">
        <f>SUM(Q70:Q73)</f>
        <v/>
      </c>
      <c r="R74" s="55">
        <f>SUM(R70:R73)</f>
        <v/>
      </c>
      <c r="S74" s="45">
        <f>SUM(S70:S73)</f>
        <v/>
      </c>
      <c r="T74" s="45">
        <f>SUM(T70:T73)</f>
        <v/>
      </c>
      <c r="U74" s="44">
        <f>SUM(U70:U73)</f>
        <v/>
      </c>
      <c r="V74" s="56">
        <f>SUM(V70:V73)</f>
        <v/>
      </c>
    </row>
    <row r="75" ht="20.1" customHeight="1">
      <c r="A75" s="95" t="inlineStr">
        <is>
          <t>"Боровлево-2" до «ПК Аквариус» - 00326</t>
        </is>
      </c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7" t="n"/>
    </row>
    <row r="76" ht="15" customHeight="1">
      <c r="A76" s="42" t="inlineStr">
        <is>
          <t>104</t>
        </is>
      </c>
      <c r="B76" s="20" t="inlineStr">
        <is>
          <t>0409</t>
        </is>
      </c>
      <c r="C76" s="20" t="inlineStr">
        <is>
          <t>144019Д003</t>
        </is>
      </c>
      <c r="D76" s="20" t="inlineStr">
        <is>
          <t>414</t>
        </is>
      </c>
      <c r="E76" s="20" t="inlineStr">
        <is>
          <t>228</t>
        </is>
      </c>
      <c r="F76" s="21" t="inlineStr"/>
      <c r="G76" s="20" t="inlineStr">
        <is>
          <t>2.0</t>
        </is>
      </c>
      <c r="H76" s="20" t="inlineStr">
        <is>
          <t>1414011009</t>
        </is>
      </c>
      <c r="I76" s="21" t="inlineStr">
        <is>
          <t>00326</t>
        </is>
      </c>
      <c r="J76" s="21" t="inlineStr"/>
      <c r="K76" s="27" t="n">
        <v>87442.25999999999</v>
      </c>
      <c r="L76" s="27" t="n">
        <v>87442.25999999999</v>
      </c>
      <c r="M76" s="10" t="n">
        <v>0</v>
      </c>
      <c r="N76" s="10">
        <f>K76-L76-M76</f>
        <v/>
      </c>
      <c r="O76" s="24" t="n">
        <v>0</v>
      </c>
      <c r="P76" s="24" t="n">
        <v>0</v>
      </c>
      <c r="Q76" s="24" t="n">
        <v>0</v>
      </c>
      <c r="R76" s="24">
        <f>O76-P76-Q76</f>
        <v/>
      </c>
      <c r="S76" s="10" t="n">
        <v>0</v>
      </c>
      <c r="T76" s="10" t="n">
        <v>0</v>
      </c>
      <c r="U76" s="10" t="n">
        <v>0</v>
      </c>
      <c r="V76" s="43">
        <f>S76-T76-U76</f>
        <v/>
      </c>
    </row>
    <row r="77" ht="15" customHeight="1">
      <c r="A77" s="42" t="inlineStr">
        <is>
          <t>104</t>
        </is>
      </c>
      <c r="B77" s="20" t="inlineStr">
        <is>
          <t>0409</t>
        </is>
      </c>
      <c r="C77" s="20" t="inlineStr">
        <is>
          <t>144019Д003</t>
        </is>
      </c>
      <c r="D77" s="20" t="inlineStr">
        <is>
          <t>414</t>
        </is>
      </c>
      <c r="E77" s="20" t="inlineStr">
        <is>
          <t>310</t>
        </is>
      </c>
      <c r="F77" s="21" t="inlineStr"/>
      <c r="G77" s="20" t="inlineStr">
        <is>
          <t>2.0</t>
        </is>
      </c>
      <c r="H77" s="20" t="inlineStr">
        <is>
          <t>1414011009</t>
        </is>
      </c>
      <c r="I77" s="21" t="inlineStr">
        <is>
          <t>00326</t>
        </is>
      </c>
      <c r="J77" s="21" t="inlineStr"/>
      <c r="K77" s="27" t="n">
        <v>6877957.74</v>
      </c>
      <c r="L77" s="27" t="n">
        <v>6877831.24</v>
      </c>
      <c r="M77" s="10" t="n">
        <v>0</v>
      </c>
      <c r="N77" s="12">
        <f>K77-L77-M77</f>
        <v/>
      </c>
      <c r="O77" s="24" t="n">
        <v>0</v>
      </c>
      <c r="P77" s="24" t="n">
        <v>0</v>
      </c>
      <c r="Q77" s="24" t="n">
        <v>0</v>
      </c>
      <c r="R77" s="24">
        <f>O77-P77-Q77</f>
        <v/>
      </c>
      <c r="S77" s="10" t="n">
        <v>0</v>
      </c>
      <c r="T77" s="10" t="n">
        <v>0</v>
      </c>
      <c r="U77" s="10" t="n">
        <v>0</v>
      </c>
      <c r="V77" s="43">
        <f>S77-T77-U77</f>
        <v/>
      </c>
    </row>
    <row r="78" ht="15" customHeight="1" thickBot="1">
      <c r="A78" s="98" t="inlineStr">
        <is>
          <t>Итого</t>
        </is>
      </c>
      <c r="B78" s="99" t="n"/>
      <c r="C78" s="99" t="n"/>
      <c r="D78" s="99" t="n"/>
      <c r="E78" s="99" t="n"/>
      <c r="F78" s="99" t="n"/>
      <c r="G78" s="99" t="n"/>
      <c r="H78" s="99" t="n"/>
      <c r="I78" s="99" t="n"/>
      <c r="J78" s="100" t="n"/>
      <c r="K78" s="45">
        <f>SUM(K76:K77)</f>
        <v/>
      </c>
      <c r="L78" s="45">
        <f>SUM(L76:L77)</f>
        <v/>
      </c>
      <c r="M78" s="44">
        <f>SUM(M76:M77)</f>
        <v/>
      </c>
      <c r="N78" s="51">
        <f>SUM(N76:N77)</f>
        <v/>
      </c>
      <c r="O78" s="47">
        <f>SUM(O76:O77)</f>
        <v/>
      </c>
      <c r="P78" s="47">
        <f>SUM(P76:P77)</f>
        <v/>
      </c>
      <c r="Q78" s="47">
        <f>SUM(Q76:Q77)</f>
        <v/>
      </c>
      <c r="R78" s="47">
        <f>SUM(R76:R77)</f>
        <v/>
      </c>
      <c r="S78" s="44">
        <f>SUM(S76:S77)</f>
        <v/>
      </c>
      <c r="T78" s="44">
        <f>SUM(T76:T77)</f>
        <v/>
      </c>
      <c r="U78" s="44">
        <f>SUM(U76:U77)</f>
        <v/>
      </c>
      <c r="V78" s="48">
        <f>SUM(V76:V77)</f>
        <v/>
      </c>
    </row>
    <row r="79" ht="20.1" customHeight="1">
      <c r="A79" s="95" t="inlineStr">
        <is>
          <t>Подъезд к школе Радужный - 00331</t>
        </is>
      </c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7" t="n"/>
    </row>
    <row r="80" ht="15" customHeight="1">
      <c r="A80" s="42" t="inlineStr">
        <is>
          <t>104</t>
        </is>
      </c>
      <c r="B80" s="20" t="inlineStr">
        <is>
          <t>0409</t>
        </is>
      </c>
      <c r="C80" s="20" t="inlineStr">
        <is>
          <t>144019Д004</t>
        </is>
      </c>
      <c r="D80" s="20" t="inlineStr">
        <is>
          <t>414</t>
        </is>
      </c>
      <c r="E80" s="20" t="inlineStr">
        <is>
          <t>228</t>
        </is>
      </c>
      <c r="F80" s="21" t="inlineStr"/>
      <c r="G80" s="20" t="inlineStr">
        <is>
          <t>1.0</t>
        </is>
      </c>
      <c r="H80" s="20" t="inlineStr">
        <is>
          <t>1414011010</t>
        </is>
      </c>
      <c r="I80" s="21" t="inlineStr">
        <is>
          <t>00331</t>
        </is>
      </c>
      <c r="J80" s="21" t="inlineStr"/>
      <c r="K80" s="27" t="n">
        <v>1937400</v>
      </c>
      <c r="L80" s="27" t="n">
        <v>1664674.57</v>
      </c>
      <c r="M80" s="10" t="n">
        <v>0</v>
      </c>
      <c r="N80" s="12">
        <f>K80-L80-M80</f>
        <v/>
      </c>
      <c r="O80" s="24" t="n">
        <v>0</v>
      </c>
      <c r="P80" s="24" t="n">
        <v>0</v>
      </c>
      <c r="Q80" s="24" t="n">
        <v>0</v>
      </c>
      <c r="R80" s="24">
        <f>O80-P80-Q80</f>
        <v/>
      </c>
      <c r="S80" s="10" t="n">
        <v>0</v>
      </c>
      <c r="T80" s="10" t="n">
        <v>0</v>
      </c>
      <c r="U80" s="10" t="n">
        <v>0</v>
      </c>
      <c r="V80" s="43">
        <f>S80-T80-U80</f>
        <v/>
      </c>
    </row>
    <row r="81" ht="15" customHeight="1">
      <c r="A81" s="42" t="inlineStr">
        <is>
          <t>104</t>
        </is>
      </c>
      <c r="B81" s="20" t="inlineStr">
        <is>
          <t>0409</t>
        </is>
      </c>
      <c r="C81" s="20" t="inlineStr">
        <is>
          <t>144019Д004</t>
        </is>
      </c>
      <c r="D81" s="20" t="inlineStr">
        <is>
          <t>414</t>
        </is>
      </c>
      <c r="E81" s="20" t="inlineStr">
        <is>
          <t>310</t>
        </is>
      </c>
      <c r="F81" s="21" t="inlineStr"/>
      <c r="G81" s="20" t="inlineStr">
        <is>
          <t>2.0</t>
        </is>
      </c>
      <c r="H81" s="20" t="inlineStr">
        <is>
          <t>1414011010</t>
        </is>
      </c>
      <c r="I81" s="21" t="inlineStr">
        <is>
          <t>00331</t>
        </is>
      </c>
      <c r="J81" s="21" t="inlineStr"/>
      <c r="K81" s="27" t="n">
        <v>40554300</v>
      </c>
      <c r="L81" s="27" t="n">
        <v>21835275.92</v>
      </c>
      <c r="M81" s="10" t="n">
        <v>0</v>
      </c>
      <c r="N81" s="12">
        <f>K81-L81-M81</f>
        <v/>
      </c>
      <c r="O81" s="24" t="n">
        <v>0</v>
      </c>
      <c r="P81" s="24" t="n">
        <v>0</v>
      </c>
      <c r="Q81" s="24" t="n">
        <v>0</v>
      </c>
      <c r="R81" s="24">
        <f>O81-P81-Q81</f>
        <v/>
      </c>
      <c r="S81" s="10" t="n">
        <v>0</v>
      </c>
      <c r="T81" s="10" t="n">
        <v>0</v>
      </c>
      <c r="U81" s="10" t="n">
        <v>0</v>
      </c>
      <c r="V81" s="43">
        <f>S81-T81-U81</f>
        <v/>
      </c>
    </row>
    <row r="82" ht="15" customHeight="1" thickBot="1">
      <c r="A82" s="98" t="inlineStr">
        <is>
          <t>Итого</t>
        </is>
      </c>
      <c r="B82" s="99" t="n"/>
      <c r="C82" s="99" t="n"/>
      <c r="D82" s="99" t="n"/>
      <c r="E82" s="99" t="n"/>
      <c r="F82" s="99" t="n"/>
      <c r="G82" s="99" t="n"/>
      <c r="H82" s="99" t="n"/>
      <c r="I82" s="99" t="n"/>
      <c r="J82" s="100" t="n"/>
      <c r="K82" s="45">
        <f>SUM(K80:K81)</f>
        <v/>
      </c>
      <c r="L82" s="45">
        <f>SUM(L80:L81)</f>
        <v/>
      </c>
      <c r="M82" s="44">
        <f>SUM(M80:M81)</f>
        <v/>
      </c>
      <c r="N82" s="51">
        <f>SUM(N80:N81)</f>
        <v/>
      </c>
      <c r="O82" s="47">
        <f>SUM(O80:O81)</f>
        <v/>
      </c>
      <c r="P82" s="47">
        <f>SUM(P80:P81)</f>
        <v/>
      </c>
      <c r="Q82" s="47">
        <f>SUM(Q80:Q81)</f>
        <v/>
      </c>
      <c r="R82" s="47">
        <f>SUM(R80:R81)</f>
        <v/>
      </c>
      <c r="S82" s="44">
        <f>SUM(S80:S81)</f>
        <v/>
      </c>
      <c r="T82" s="44">
        <f>SUM(T80:T81)</f>
        <v/>
      </c>
      <c r="U82" s="44">
        <f>SUM(U80:U81)</f>
        <v/>
      </c>
      <c r="V82" s="48">
        <f>SUM(V80:V81)</f>
        <v/>
      </c>
    </row>
    <row r="83" ht="20.1" customHeight="1">
      <c r="A83" s="95" t="inlineStr">
        <is>
          <t>ЛНО Нелидово - 00333</t>
        </is>
      </c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7" t="n"/>
    </row>
    <row r="84" ht="15" customHeight="1">
      <c r="A84" s="42" t="inlineStr">
        <is>
          <t>104</t>
        </is>
      </c>
      <c r="B84" s="20" t="inlineStr">
        <is>
          <t>0409</t>
        </is>
      </c>
      <c r="C84" s="20" t="inlineStr">
        <is>
          <t>144019Д005</t>
        </is>
      </c>
      <c r="D84" s="20" t="inlineStr">
        <is>
          <t>414</t>
        </is>
      </c>
      <c r="E84" s="20" t="inlineStr">
        <is>
          <t>228</t>
        </is>
      </c>
      <c r="F84" s="21" t="inlineStr"/>
      <c r="G84" s="20" t="inlineStr">
        <is>
          <t>1.0</t>
        </is>
      </c>
      <c r="H84" s="20" t="inlineStr">
        <is>
          <t>1414011011</t>
        </is>
      </c>
      <c r="I84" s="21" t="inlineStr">
        <is>
          <t>00333</t>
        </is>
      </c>
      <c r="J84" s="21" t="inlineStr"/>
      <c r="K84" s="27" t="n">
        <v>1749000</v>
      </c>
      <c r="L84" s="27" t="n">
        <v>1749000</v>
      </c>
      <c r="M84" s="10" t="n">
        <v>0</v>
      </c>
      <c r="N84" s="10">
        <f>K84-L84-M84</f>
        <v/>
      </c>
      <c r="O84" s="24" t="n">
        <v>0</v>
      </c>
      <c r="P84" s="24" t="n">
        <v>0</v>
      </c>
      <c r="Q84" s="24" t="n">
        <v>0</v>
      </c>
      <c r="R84" s="24">
        <f>O84-P84-Q84</f>
        <v/>
      </c>
      <c r="S84" s="10" t="n">
        <v>0</v>
      </c>
      <c r="T84" s="10" t="n">
        <v>0</v>
      </c>
      <c r="U84" s="10" t="n">
        <v>0</v>
      </c>
      <c r="V84" s="43">
        <f>S84-T84-U84</f>
        <v/>
      </c>
    </row>
    <row r="85" ht="15" customHeight="1">
      <c r="A85" s="42" t="inlineStr">
        <is>
          <t>104</t>
        </is>
      </c>
      <c r="B85" s="20" t="inlineStr">
        <is>
          <t>0409</t>
        </is>
      </c>
      <c r="C85" s="20" t="inlineStr">
        <is>
          <t>144019Д005</t>
        </is>
      </c>
      <c r="D85" s="20" t="inlineStr">
        <is>
          <t>414</t>
        </is>
      </c>
      <c r="E85" s="20" t="inlineStr">
        <is>
          <t>228</t>
        </is>
      </c>
      <c r="F85" s="21" t="inlineStr"/>
      <c r="G85" s="20" t="inlineStr">
        <is>
          <t>2.0</t>
        </is>
      </c>
      <c r="H85" s="20" t="inlineStr">
        <is>
          <t>1414011011</t>
        </is>
      </c>
      <c r="I85" s="21" t="inlineStr">
        <is>
          <t>00333</t>
        </is>
      </c>
      <c r="J85" s="21" t="inlineStr"/>
      <c r="K85" s="27" t="n">
        <v>600000</v>
      </c>
      <c r="L85" s="27" t="n">
        <v>600000</v>
      </c>
      <c r="M85" s="10" t="n">
        <v>0</v>
      </c>
      <c r="N85" s="10">
        <f>K85-L85-M85</f>
        <v/>
      </c>
      <c r="O85" s="24" t="n">
        <v>0</v>
      </c>
      <c r="P85" s="24" t="n">
        <v>0</v>
      </c>
      <c r="Q85" s="24" t="n">
        <v>0</v>
      </c>
      <c r="R85" s="24">
        <f>O85-P85-Q85</f>
        <v/>
      </c>
      <c r="S85" s="10" t="n">
        <v>0</v>
      </c>
      <c r="T85" s="10" t="n">
        <v>0</v>
      </c>
      <c r="U85" s="10" t="n">
        <v>0</v>
      </c>
      <c r="V85" s="43">
        <f>S85-T85-U85</f>
        <v/>
      </c>
    </row>
    <row r="86" ht="15" customHeight="1">
      <c r="A86" s="42" t="inlineStr">
        <is>
          <t>104</t>
        </is>
      </c>
      <c r="B86" s="20" t="inlineStr">
        <is>
          <t>0409</t>
        </is>
      </c>
      <c r="C86" s="20" t="inlineStr">
        <is>
          <t>144019Д005</t>
        </is>
      </c>
      <c r="D86" s="20" t="inlineStr">
        <is>
          <t>414</t>
        </is>
      </c>
      <c r="E86" s="20" t="inlineStr">
        <is>
          <t>310</t>
        </is>
      </c>
      <c r="F86" s="21" t="inlineStr"/>
      <c r="G86" s="20" t="inlineStr">
        <is>
          <t>2.0</t>
        </is>
      </c>
      <c r="H86" s="20" t="inlineStr">
        <is>
          <t>1414011011</t>
        </is>
      </c>
      <c r="I86" s="21" t="inlineStr">
        <is>
          <t>00333</t>
        </is>
      </c>
      <c r="J86" s="21" t="inlineStr"/>
      <c r="K86" s="27" t="n">
        <v>31107400</v>
      </c>
      <c r="L86" s="27" t="n">
        <v>29292772.56</v>
      </c>
      <c r="M86" s="10" t="n">
        <v>0</v>
      </c>
      <c r="N86" s="12">
        <f>K86-L86-M86</f>
        <v/>
      </c>
      <c r="O86" s="24" t="n">
        <v>0</v>
      </c>
      <c r="P86" s="24" t="n">
        <v>0</v>
      </c>
      <c r="Q86" s="24" t="n">
        <v>0</v>
      </c>
      <c r="R86" s="24">
        <f>O86-P86-Q86</f>
        <v/>
      </c>
      <c r="S86" s="10" t="n">
        <v>0</v>
      </c>
      <c r="T86" s="10" t="n">
        <v>0</v>
      </c>
      <c r="U86" s="10" t="n">
        <v>0</v>
      </c>
      <c r="V86" s="43">
        <f>S86-T86-U86</f>
        <v/>
      </c>
    </row>
    <row r="87" ht="15" customHeight="1" thickBot="1">
      <c r="A87" s="98" t="inlineStr">
        <is>
          <t>Итого</t>
        </is>
      </c>
      <c r="B87" s="99" t="n"/>
      <c r="C87" s="99" t="n"/>
      <c r="D87" s="99" t="n"/>
      <c r="E87" s="99" t="n"/>
      <c r="F87" s="99" t="n"/>
      <c r="G87" s="99" t="n"/>
      <c r="H87" s="99" t="n"/>
      <c r="I87" s="99" t="n"/>
      <c r="J87" s="100" t="n"/>
      <c r="K87" s="45">
        <f>SUM(K84:K86)</f>
        <v/>
      </c>
      <c r="L87" s="45">
        <f>SUM(L84:L86)</f>
        <v/>
      </c>
      <c r="M87" s="44">
        <f>SUM(M84:M86)</f>
        <v/>
      </c>
      <c r="N87" s="51">
        <f>SUM(N84:N86)</f>
        <v/>
      </c>
      <c r="O87" s="47">
        <f>SUM(O84:O86)</f>
        <v/>
      </c>
      <c r="P87" s="47">
        <f>SUM(P84:P86)</f>
        <v/>
      </c>
      <c r="Q87" s="47">
        <f>SUM(Q84:Q86)</f>
        <v/>
      </c>
      <c r="R87" s="47">
        <f>SUM(R84:R86)</f>
        <v/>
      </c>
      <c r="S87" s="44">
        <f>SUM(S84:S86)</f>
        <v/>
      </c>
      <c r="T87" s="44">
        <f>SUM(T84:T86)</f>
        <v/>
      </c>
      <c r="U87" s="44">
        <f>SUM(U84:U86)</f>
        <v/>
      </c>
      <c r="V87" s="48">
        <f>SUM(V84:V86)</f>
        <v/>
      </c>
    </row>
    <row r="88" ht="20.1" customHeight="1">
      <c r="A88" s="95" t="inlineStr">
        <is>
          <t>ЛНО Западная Двина - 00334</t>
        </is>
      </c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7" t="n"/>
    </row>
    <row r="89" ht="15" customHeight="1">
      <c r="A89" s="42" t="inlineStr">
        <is>
          <t>104</t>
        </is>
      </c>
      <c r="B89" s="20" t="inlineStr">
        <is>
          <t>0409</t>
        </is>
      </c>
      <c r="C89" s="20" t="inlineStr">
        <is>
          <t>144019Д005</t>
        </is>
      </c>
      <c r="D89" s="20" t="inlineStr">
        <is>
          <t>414</t>
        </is>
      </c>
      <c r="E89" s="20" t="inlineStr">
        <is>
          <t>228</t>
        </is>
      </c>
      <c r="F89" s="21" t="inlineStr"/>
      <c r="G89" s="20" t="inlineStr">
        <is>
          <t>1.0</t>
        </is>
      </c>
      <c r="H89" s="20" t="inlineStr">
        <is>
          <t>1414011011</t>
        </is>
      </c>
      <c r="I89" s="21" t="inlineStr">
        <is>
          <t>00334</t>
        </is>
      </c>
      <c r="J89" s="21" t="inlineStr"/>
      <c r="K89" s="27" t="n">
        <v>2296900</v>
      </c>
      <c r="L89" s="27" t="n">
        <v>2296832</v>
      </c>
      <c r="M89" s="10" t="n">
        <v>0</v>
      </c>
      <c r="N89" s="12">
        <f>K89-L89-M89</f>
        <v/>
      </c>
      <c r="O89" s="24" t="n">
        <v>0</v>
      </c>
      <c r="P89" s="24" t="n">
        <v>0</v>
      </c>
      <c r="Q89" s="24" t="n">
        <v>0</v>
      </c>
      <c r="R89" s="24">
        <f>O89-P89-Q89</f>
        <v/>
      </c>
      <c r="S89" s="10" t="n">
        <v>0</v>
      </c>
      <c r="T89" s="10" t="n">
        <v>0</v>
      </c>
      <c r="U89" s="10" t="n">
        <v>0</v>
      </c>
      <c r="V89" s="43">
        <f>S89-T89-U89</f>
        <v/>
      </c>
    </row>
    <row r="90" ht="15" customHeight="1">
      <c r="A90" s="42" t="inlineStr">
        <is>
          <t>104</t>
        </is>
      </c>
      <c r="B90" s="20" t="inlineStr">
        <is>
          <t>0409</t>
        </is>
      </c>
      <c r="C90" s="20" t="inlineStr">
        <is>
          <t>144019Д005</t>
        </is>
      </c>
      <c r="D90" s="20" t="inlineStr">
        <is>
          <t>414</t>
        </is>
      </c>
      <c r="E90" s="20" t="inlineStr">
        <is>
          <t>228</t>
        </is>
      </c>
      <c r="F90" s="21" t="inlineStr"/>
      <c r="G90" s="20" t="inlineStr">
        <is>
          <t>2.0</t>
        </is>
      </c>
      <c r="H90" s="20" t="inlineStr">
        <is>
          <t>1414011011</t>
        </is>
      </c>
      <c r="I90" s="21" t="inlineStr">
        <is>
          <t>00334</t>
        </is>
      </c>
      <c r="J90" s="21" t="inlineStr"/>
      <c r="K90" s="27" t="n">
        <v>1200000</v>
      </c>
      <c r="L90" s="27" t="n">
        <v>600000</v>
      </c>
      <c r="M90" s="10" t="n">
        <v>0</v>
      </c>
      <c r="N90" s="12">
        <f>K90-L90-M90</f>
        <v/>
      </c>
      <c r="O90" s="24" t="n">
        <v>0</v>
      </c>
      <c r="P90" s="24" t="n">
        <v>0</v>
      </c>
      <c r="Q90" s="24" t="n">
        <v>0</v>
      </c>
      <c r="R90" s="24">
        <f>O90-P90-Q90</f>
        <v/>
      </c>
      <c r="S90" s="10" t="n">
        <v>0</v>
      </c>
      <c r="T90" s="10" t="n">
        <v>0</v>
      </c>
      <c r="U90" s="10" t="n">
        <v>0</v>
      </c>
      <c r="V90" s="43">
        <f>S90-T90-U90</f>
        <v/>
      </c>
    </row>
    <row r="91" ht="15" customHeight="1">
      <c r="A91" s="42" t="inlineStr">
        <is>
          <t>104</t>
        </is>
      </c>
      <c r="B91" s="20" t="inlineStr">
        <is>
          <t>0409</t>
        </is>
      </c>
      <c r="C91" s="20" t="inlineStr">
        <is>
          <t>144019Д005</t>
        </is>
      </c>
      <c r="D91" s="20" t="inlineStr">
        <is>
          <t>414</t>
        </is>
      </c>
      <c r="E91" s="20" t="inlineStr">
        <is>
          <t>310</t>
        </is>
      </c>
      <c r="F91" s="21" t="inlineStr"/>
      <c r="G91" s="20" t="inlineStr">
        <is>
          <t>2.0</t>
        </is>
      </c>
      <c r="H91" s="20" t="inlineStr">
        <is>
          <t>1414011011</t>
        </is>
      </c>
      <c r="I91" s="21" t="inlineStr">
        <is>
          <t>00334</t>
        </is>
      </c>
      <c r="J91" s="21" t="inlineStr"/>
      <c r="K91" s="27" t="n">
        <v>55443200</v>
      </c>
      <c r="L91" s="27" t="n">
        <v>52966710.15</v>
      </c>
      <c r="M91" s="10" t="n">
        <v>0</v>
      </c>
      <c r="N91" s="12">
        <f>K91-L91-M91</f>
        <v/>
      </c>
      <c r="O91" s="24" t="n">
        <v>0</v>
      </c>
      <c r="P91" s="24" t="n">
        <v>0</v>
      </c>
      <c r="Q91" s="24" t="n">
        <v>0</v>
      </c>
      <c r="R91" s="24">
        <f>O91-P91-Q91</f>
        <v/>
      </c>
      <c r="S91" s="10" t="n">
        <v>0</v>
      </c>
      <c r="T91" s="10" t="n">
        <v>0</v>
      </c>
      <c r="U91" s="10" t="n">
        <v>0</v>
      </c>
      <c r="V91" s="43">
        <f>S91-T91-U91</f>
        <v/>
      </c>
    </row>
    <row r="92" ht="15" customHeight="1" thickBot="1">
      <c r="A92" s="98" t="inlineStr">
        <is>
          <t>Итого</t>
        </is>
      </c>
      <c r="B92" s="99" t="n"/>
      <c r="C92" s="99" t="n"/>
      <c r="D92" s="99" t="n"/>
      <c r="E92" s="99" t="n"/>
      <c r="F92" s="99" t="n"/>
      <c r="G92" s="99" t="n"/>
      <c r="H92" s="99" t="n"/>
      <c r="I92" s="99" t="n"/>
      <c r="J92" s="100" t="n"/>
      <c r="K92" s="45">
        <f>SUM(K89:K91)</f>
        <v/>
      </c>
      <c r="L92" s="45">
        <f>SUM(L89:L91)</f>
        <v/>
      </c>
      <c r="M92" s="44">
        <f>SUM(M89:M91)</f>
        <v/>
      </c>
      <c r="N92" s="51">
        <f>SUM(N89:N91)</f>
        <v/>
      </c>
      <c r="O92" s="47">
        <f>SUM(O89:O91)</f>
        <v/>
      </c>
      <c r="P92" s="47">
        <f>SUM(P89:P91)</f>
        <v/>
      </c>
      <c r="Q92" s="47">
        <f>SUM(Q89:Q91)</f>
        <v/>
      </c>
      <c r="R92" s="47">
        <f>SUM(R89:R91)</f>
        <v/>
      </c>
      <c r="S92" s="44">
        <f>SUM(S89:S91)</f>
        <v/>
      </c>
      <c r="T92" s="44">
        <f>SUM(T89:T91)</f>
        <v/>
      </c>
      <c r="U92" s="44">
        <f>SUM(U89:U91)</f>
        <v/>
      </c>
      <c r="V92" s="48">
        <f>SUM(V89:V91)</f>
        <v/>
      </c>
    </row>
    <row r="93" ht="20.1" customHeight="1">
      <c r="A93" s="95" t="inlineStr">
        <is>
          <t>Туполева - 00336</t>
        </is>
      </c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7" t="n"/>
    </row>
    <row r="94" ht="15" customHeight="1">
      <c r="A94" s="42" t="inlineStr">
        <is>
          <t>104</t>
        </is>
      </c>
      <c r="B94" s="20" t="inlineStr">
        <is>
          <t>0409</t>
        </is>
      </c>
      <c r="C94" s="20" t="inlineStr">
        <is>
          <t>144019Д004</t>
        </is>
      </c>
      <c r="D94" s="20" t="inlineStr">
        <is>
          <t>414</t>
        </is>
      </c>
      <c r="E94" s="20" t="inlineStr">
        <is>
          <t>228</t>
        </is>
      </c>
      <c r="F94" s="21" t="inlineStr"/>
      <c r="G94" s="20" t="inlineStr">
        <is>
          <t>1.0</t>
        </is>
      </c>
      <c r="H94" s="20" t="inlineStr">
        <is>
          <t>1414011010</t>
        </is>
      </c>
      <c r="I94" s="21" t="inlineStr">
        <is>
          <t>00336</t>
        </is>
      </c>
      <c r="J94" s="21" t="inlineStr"/>
      <c r="K94" s="27" t="n">
        <v>50000000</v>
      </c>
      <c r="L94" s="27" t="n">
        <v>50000000</v>
      </c>
      <c r="M94" s="10" t="n">
        <v>0</v>
      </c>
      <c r="N94" s="10">
        <f>K94-L94-M94</f>
        <v/>
      </c>
      <c r="O94" s="41" t="n">
        <v>129993400</v>
      </c>
      <c r="P94" s="41" t="n">
        <v>124549741.34</v>
      </c>
      <c r="Q94" s="24" t="n">
        <v>0</v>
      </c>
      <c r="R94" s="25">
        <f>O94-P94-Q94</f>
        <v/>
      </c>
      <c r="S94" s="10" t="n">
        <v>0</v>
      </c>
      <c r="T94" s="10" t="n">
        <v>0</v>
      </c>
      <c r="U94" s="10" t="n">
        <v>0</v>
      </c>
      <c r="V94" s="43">
        <f>S94-T94-U94</f>
        <v/>
      </c>
    </row>
    <row r="95" ht="15" customHeight="1">
      <c r="A95" s="42" t="inlineStr">
        <is>
          <t>104</t>
        </is>
      </c>
      <c r="B95" s="20" t="inlineStr">
        <is>
          <t>0409</t>
        </is>
      </c>
      <c r="C95" s="20" t="inlineStr">
        <is>
          <t>144019Д004</t>
        </is>
      </c>
      <c r="D95" s="20" t="inlineStr">
        <is>
          <t>414</t>
        </is>
      </c>
      <c r="E95" s="20" t="inlineStr">
        <is>
          <t>310</t>
        </is>
      </c>
      <c r="F95" s="21" t="inlineStr"/>
      <c r="G95" s="20" t="inlineStr">
        <is>
          <t>2.0</t>
        </is>
      </c>
      <c r="H95" s="20" t="inlineStr">
        <is>
          <t>1414011010</t>
        </is>
      </c>
      <c r="I95" s="21" t="inlineStr">
        <is>
          <t>00336</t>
        </is>
      </c>
      <c r="J95" s="21" t="inlineStr"/>
      <c r="K95" s="10" t="n">
        <v>0</v>
      </c>
      <c r="L95" s="10" t="n">
        <v>0</v>
      </c>
      <c r="M95" s="10" t="n">
        <v>0</v>
      </c>
      <c r="N95" s="10">
        <f>K95-L95-M95</f>
        <v/>
      </c>
      <c r="O95" s="41" t="n">
        <v>510711600</v>
      </c>
      <c r="P95" s="41" t="n">
        <v>499921925.03</v>
      </c>
      <c r="Q95" s="24" t="n">
        <v>0</v>
      </c>
      <c r="R95" s="25">
        <f>O95-P95-Q95</f>
        <v/>
      </c>
      <c r="S95" s="27" t="n">
        <v>750000000</v>
      </c>
      <c r="T95" s="27" t="n">
        <v>734260327.38</v>
      </c>
      <c r="U95" s="10" t="n">
        <v>0</v>
      </c>
      <c r="V95" s="52">
        <f>S95-T95-U95</f>
        <v/>
      </c>
    </row>
    <row r="96" ht="15" customHeight="1" thickBot="1">
      <c r="A96" s="98" t="inlineStr">
        <is>
          <t>Итого</t>
        </is>
      </c>
      <c r="B96" s="99" t="n"/>
      <c r="C96" s="99" t="n"/>
      <c r="D96" s="99" t="n"/>
      <c r="E96" s="99" t="n"/>
      <c r="F96" s="99" t="n"/>
      <c r="G96" s="99" t="n"/>
      <c r="H96" s="99" t="n"/>
      <c r="I96" s="99" t="n"/>
      <c r="J96" s="100" t="n"/>
      <c r="K96" s="45">
        <f>SUM(K94:K95)</f>
        <v/>
      </c>
      <c r="L96" s="45">
        <f>SUM(L94:L95)</f>
        <v/>
      </c>
      <c r="M96" s="44">
        <f>SUM(M94:M95)</f>
        <v/>
      </c>
      <c r="N96" s="44">
        <f>SUM(N94:N95)</f>
        <v/>
      </c>
      <c r="O96" s="49">
        <f>SUM(O94:O95)</f>
        <v/>
      </c>
      <c r="P96" s="49">
        <f>SUM(P94:P95)</f>
        <v/>
      </c>
      <c r="Q96" s="47">
        <f>SUM(Q94:Q95)</f>
        <v/>
      </c>
      <c r="R96" s="50">
        <f>SUM(R94:R95)</f>
        <v/>
      </c>
      <c r="S96" s="45">
        <f>SUM(S94:S95)</f>
        <v/>
      </c>
      <c r="T96" s="45">
        <f>SUM(T94:T95)</f>
        <v/>
      </c>
      <c r="U96" s="44">
        <f>SUM(U94:U95)</f>
        <v/>
      </c>
      <c r="V96" s="53">
        <f>SUM(V94:V95)</f>
        <v/>
      </c>
    </row>
    <row r="97" ht="20.1" customHeight="1">
      <c r="A97" s="95" t="inlineStr">
        <is>
          <t>Подъезд к спорткомплексу в с. Тургиново - 00427</t>
        </is>
      </c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7" t="n"/>
    </row>
    <row r="98" ht="15" customHeight="1">
      <c r="A98" s="42" t="inlineStr">
        <is>
          <t>104</t>
        </is>
      </c>
      <c r="B98" s="20" t="inlineStr">
        <is>
          <t>0409</t>
        </is>
      </c>
      <c r="C98" s="20" t="inlineStr">
        <is>
          <t>144019Д004</t>
        </is>
      </c>
      <c r="D98" s="20" t="inlineStr">
        <is>
          <t>414</t>
        </is>
      </c>
      <c r="E98" s="20" t="inlineStr">
        <is>
          <t>228</t>
        </is>
      </c>
      <c r="F98" s="21" t="inlineStr"/>
      <c r="G98" s="20" t="inlineStr">
        <is>
          <t>2.0</t>
        </is>
      </c>
      <c r="H98" s="20" t="inlineStr">
        <is>
          <t>1414011010</t>
        </is>
      </c>
      <c r="I98" s="21" t="inlineStr">
        <is>
          <t>00427</t>
        </is>
      </c>
      <c r="J98" s="21" t="inlineStr"/>
      <c r="K98" s="27" t="n">
        <v>18400</v>
      </c>
      <c r="L98" s="27" t="n">
        <v>18370.09</v>
      </c>
      <c r="M98" s="10" t="n">
        <v>0</v>
      </c>
      <c r="N98" s="12">
        <f>K98-L98-M98</f>
        <v/>
      </c>
      <c r="O98" s="24" t="n">
        <v>0</v>
      </c>
      <c r="P98" s="24" t="n">
        <v>0</v>
      </c>
      <c r="Q98" s="24" t="n">
        <v>0</v>
      </c>
      <c r="R98" s="24">
        <f>O98-P98-Q98</f>
        <v/>
      </c>
      <c r="S98" s="10" t="n">
        <v>0</v>
      </c>
      <c r="T98" s="10" t="n">
        <v>0</v>
      </c>
      <c r="U98" s="10" t="n">
        <v>0</v>
      </c>
      <c r="V98" s="43">
        <f>S98-T98-U98</f>
        <v/>
      </c>
    </row>
    <row r="99" ht="15" customHeight="1" thickBot="1">
      <c r="A99" s="98" t="inlineStr">
        <is>
          <t>Итого</t>
        </is>
      </c>
      <c r="B99" s="99" t="n"/>
      <c r="C99" s="99" t="n"/>
      <c r="D99" s="99" t="n"/>
      <c r="E99" s="99" t="n"/>
      <c r="F99" s="99" t="n"/>
      <c r="G99" s="99" t="n"/>
      <c r="H99" s="99" t="n"/>
      <c r="I99" s="99" t="n"/>
      <c r="J99" s="100" t="n"/>
      <c r="K99" s="45">
        <f>SUM(K98)</f>
        <v/>
      </c>
      <c r="L99" s="45">
        <f>SUM(L98)</f>
        <v/>
      </c>
      <c r="M99" s="44">
        <f>SUM(M98)</f>
        <v/>
      </c>
      <c r="N99" s="51">
        <f>SUM(N98)</f>
        <v/>
      </c>
      <c r="O99" s="47">
        <f>SUM(O98)</f>
        <v/>
      </c>
      <c r="P99" s="47">
        <f>SUM(P98)</f>
        <v/>
      </c>
      <c r="Q99" s="47">
        <f>SUM(Q98)</f>
        <v/>
      </c>
      <c r="R99" s="47">
        <f>SUM(R98)</f>
        <v/>
      </c>
      <c r="S99" s="44">
        <f>SUM(S98)</f>
        <v/>
      </c>
      <c r="T99" s="44">
        <f>SUM(T98)</f>
        <v/>
      </c>
      <c r="U99" s="44">
        <f>SUM(U98)</f>
        <v/>
      </c>
      <c r="V99" s="48">
        <f>SUM(V98)</f>
        <v/>
      </c>
    </row>
    <row r="100" ht="20.1" customHeight="1">
      <c r="A100" s="95" t="inlineStr">
        <is>
          <t>Вертолетные площадки - 00429</t>
        </is>
      </c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7" t="n"/>
    </row>
    <row r="101" ht="15" customHeight="1">
      <c r="A101" s="42" t="inlineStr">
        <is>
          <t>104</t>
        </is>
      </c>
      <c r="B101" s="20" t="inlineStr">
        <is>
          <t>0409</t>
        </is>
      </c>
      <c r="C101" s="20" t="inlineStr">
        <is>
          <t>144019Д004</t>
        </is>
      </c>
      <c r="D101" s="20" t="inlineStr">
        <is>
          <t>414</t>
        </is>
      </c>
      <c r="E101" s="20" t="inlineStr">
        <is>
          <t>228</t>
        </is>
      </c>
      <c r="F101" s="21" t="inlineStr"/>
      <c r="G101" s="20" t="inlineStr">
        <is>
          <t>1.0</t>
        </is>
      </c>
      <c r="H101" s="20" t="inlineStr">
        <is>
          <t>1414011010</t>
        </is>
      </c>
      <c r="I101" s="21" t="inlineStr">
        <is>
          <t>00429</t>
        </is>
      </c>
      <c r="J101" s="21" t="inlineStr"/>
      <c r="K101" s="27" t="n">
        <v>6741194</v>
      </c>
      <c r="L101" s="27" t="n">
        <v>6741194</v>
      </c>
      <c r="M101" s="10" t="n">
        <v>0</v>
      </c>
      <c r="N101" s="12">
        <f>K101-L101-M101</f>
        <v/>
      </c>
      <c r="O101" s="24" t="n">
        <v>0</v>
      </c>
      <c r="P101" s="24" t="n">
        <v>0</v>
      </c>
      <c r="Q101" s="24" t="n">
        <v>0</v>
      </c>
      <c r="R101" s="24">
        <f>O101-P101-Q101</f>
        <v/>
      </c>
      <c r="S101" s="10" t="n">
        <v>0</v>
      </c>
      <c r="T101" s="10" t="n">
        <v>0</v>
      </c>
      <c r="U101" s="10" t="n">
        <v>0</v>
      </c>
      <c r="V101" s="43">
        <f>S101-T101-U101</f>
        <v/>
      </c>
    </row>
    <row r="102" ht="15" customHeight="1">
      <c r="A102" s="42" t="inlineStr">
        <is>
          <t>104</t>
        </is>
      </c>
      <c r="B102" s="20" t="inlineStr">
        <is>
          <t>0409</t>
        </is>
      </c>
      <c r="C102" s="20" t="inlineStr">
        <is>
          <t>144019Д004</t>
        </is>
      </c>
      <c r="D102" s="20" t="inlineStr">
        <is>
          <t>414</t>
        </is>
      </c>
      <c r="E102" s="20" t="inlineStr">
        <is>
          <t>228</t>
        </is>
      </c>
      <c r="F102" s="21" t="inlineStr"/>
      <c r="G102" s="20" t="inlineStr">
        <is>
          <t>2.0</t>
        </is>
      </c>
      <c r="H102" s="20" t="inlineStr">
        <is>
          <t>1414011010</t>
        </is>
      </c>
      <c r="I102" s="21" t="inlineStr">
        <is>
          <t>00429</t>
        </is>
      </c>
      <c r="J102" s="21" t="inlineStr"/>
      <c r="K102" s="27" t="n">
        <v>865723.02</v>
      </c>
      <c r="L102" s="27" t="n">
        <v>865723.02</v>
      </c>
      <c r="M102" s="10" t="n">
        <v>0</v>
      </c>
      <c r="N102" s="10">
        <f>K102-L102-M102</f>
        <v/>
      </c>
      <c r="O102" s="24" t="n">
        <v>0</v>
      </c>
      <c r="P102" s="24" t="n">
        <v>0</v>
      </c>
      <c r="Q102" s="24" t="n">
        <v>0</v>
      </c>
      <c r="R102" s="24">
        <f>O102-P102-Q102</f>
        <v/>
      </c>
      <c r="S102" s="10" t="n">
        <v>0</v>
      </c>
      <c r="T102" s="10" t="n">
        <v>0</v>
      </c>
      <c r="U102" s="10" t="n">
        <v>0</v>
      </c>
      <c r="V102" s="43">
        <f>S102-T102-U102</f>
        <v/>
      </c>
    </row>
    <row r="103" ht="15" customHeight="1">
      <c r="A103" s="42" t="inlineStr">
        <is>
          <t>104</t>
        </is>
      </c>
      <c r="B103" s="20" t="inlineStr">
        <is>
          <t>0409</t>
        </is>
      </c>
      <c r="C103" s="20" t="inlineStr">
        <is>
          <t>144019Д004</t>
        </is>
      </c>
      <c r="D103" s="20" t="inlineStr">
        <is>
          <t>414</t>
        </is>
      </c>
      <c r="E103" s="20" t="inlineStr">
        <is>
          <t>310</t>
        </is>
      </c>
      <c r="F103" s="21" t="inlineStr"/>
      <c r="G103" s="20" t="inlineStr">
        <is>
          <t>2.0</t>
        </is>
      </c>
      <c r="H103" s="20" t="inlineStr">
        <is>
          <t>1414011010</t>
        </is>
      </c>
      <c r="I103" s="21" t="inlineStr">
        <is>
          <t>00429</t>
        </is>
      </c>
      <c r="J103" s="21" t="inlineStr"/>
      <c r="K103" s="27" t="n">
        <v>151745782.98</v>
      </c>
      <c r="L103" s="27" t="n">
        <v>151745754.62</v>
      </c>
      <c r="M103" s="10" t="n">
        <v>0</v>
      </c>
      <c r="N103" s="12">
        <f>K103-L103-M103</f>
        <v/>
      </c>
      <c r="O103" s="24" t="n">
        <v>0</v>
      </c>
      <c r="P103" s="24" t="n">
        <v>0</v>
      </c>
      <c r="Q103" s="24" t="n">
        <v>0</v>
      </c>
      <c r="R103" s="24">
        <f>O103-P103-Q103</f>
        <v/>
      </c>
      <c r="S103" s="10" t="n">
        <v>0</v>
      </c>
      <c r="T103" s="10" t="n">
        <v>0</v>
      </c>
      <c r="U103" s="10" t="n">
        <v>0</v>
      </c>
      <c r="V103" s="43">
        <f>S103-T103-U103</f>
        <v/>
      </c>
    </row>
    <row r="104" ht="15" customHeight="1" thickBot="1">
      <c r="A104" s="98" t="inlineStr">
        <is>
          <t>Итого</t>
        </is>
      </c>
      <c r="B104" s="99" t="n"/>
      <c r="C104" s="99" t="n"/>
      <c r="D104" s="99" t="n"/>
      <c r="E104" s="99" t="n"/>
      <c r="F104" s="99" t="n"/>
      <c r="G104" s="99" t="n"/>
      <c r="H104" s="99" t="n"/>
      <c r="I104" s="99" t="n"/>
      <c r="J104" s="100" t="n"/>
      <c r="K104" s="45">
        <f>SUM(K101:K103)</f>
        <v/>
      </c>
      <c r="L104" s="45">
        <f>SUM(L101:L103)</f>
        <v/>
      </c>
      <c r="M104" s="44">
        <f>SUM(M101:M103)</f>
        <v/>
      </c>
      <c r="N104" s="51">
        <f>SUM(N101:N103)</f>
        <v/>
      </c>
      <c r="O104" s="47">
        <f>SUM(O101:O103)</f>
        <v/>
      </c>
      <c r="P104" s="47">
        <f>SUM(P101:P103)</f>
        <v/>
      </c>
      <c r="Q104" s="47">
        <f>SUM(Q101:Q103)</f>
        <v/>
      </c>
      <c r="R104" s="47">
        <f>SUM(R101:R103)</f>
        <v/>
      </c>
      <c r="S104" s="44">
        <f>SUM(S101:S103)</f>
        <v/>
      </c>
      <c r="T104" s="44">
        <f>SUM(T101:T103)</f>
        <v/>
      </c>
      <c r="U104" s="44">
        <f>SUM(U101:U103)</f>
        <v/>
      </c>
      <c r="V104" s="48">
        <f>SUM(V101:V103)</f>
        <v/>
      </c>
    </row>
    <row r="105" ht="20.1" customHeight="1">
      <c r="A105" s="95" t="inlineStr">
        <is>
          <t>Бежецкая ЦРБ 1 этап - 00488</t>
        </is>
      </c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7" t="n"/>
    </row>
    <row r="106" ht="15" customHeight="1">
      <c r="A106" s="42" t="inlineStr">
        <is>
          <t>104</t>
        </is>
      </c>
      <c r="B106" s="20" t="inlineStr">
        <is>
          <t>0409</t>
        </is>
      </c>
      <c r="C106" s="20" t="inlineStr">
        <is>
          <t>144019Д004</t>
        </is>
      </c>
      <c r="D106" s="20" t="inlineStr">
        <is>
          <t>414</t>
        </is>
      </c>
      <c r="E106" s="20" t="inlineStr">
        <is>
          <t>228</t>
        </is>
      </c>
      <c r="F106" s="21" t="inlineStr"/>
      <c r="G106" s="20" t="inlineStr">
        <is>
          <t>1.0</t>
        </is>
      </c>
      <c r="H106" s="20" t="inlineStr">
        <is>
          <t>1414011010</t>
        </is>
      </c>
      <c r="I106" s="21" t="inlineStr">
        <is>
          <t>00488</t>
        </is>
      </c>
      <c r="J106" s="21" t="inlineStr"/>
      <c r="K106" s="27" t="n">
        <v>2779300</v>
      </c>
      <c r="L106" s="27" t="n">
        <v>2731741.06</v>
      </c>
      <c r="M106" s="10" t="n">
        <v>0</v>
      </c>
      <c r="N106" s="12">
        <f>K106-L106-M106</f>
        <v/>
      </c>
      <c r="O106" s="24" t="n">
        <v>0</v>
      </c>
      <c r="P106" s="24" t="n">
        <v>0</v>
      </c>
      <c r="Q106" s="24" t="n">
        <v>0</v>
      </c>
      <c r="R106" s="24">
        <f>O106-P106-Q106</f>
        <v/>
      </c>
      <c r="S106" s="10" t="n">
        <v>0</v>
      </c>
      <c r="T106" s="10" t="n">
        <v>0</v>
      </c>
      <c r="U106" s="10" t="n">
        <v>0</v>
      </c>
      <c r="V106" s="43">
        <f>S106-T106-U106</f>
        <v/>
      </c>
    </row>
    <row r="107" ht="15" customHeight="1">
      <c r="A107" s="42" t="inlineStr">
        <is>
          <t>104</t>
        </is>
      </c>
      <c r="B107" s="20" t="inlineStr">
        <is>
          <t>0409</t>
        </is>
      </c>
      <c r="C107" s="20" t="inlineStr">
        <is>
          <t>144019Д004</t>
        </is>
      </c>
      <c r="D107" s="20" t="inlineStr">
        <is>
          <t>414</t>
        </is>
      </c>
      <c r="E107" s="20" t="inlineStr">
        <is>
          <t>228</t>
        </is>
      </c>
      <c r="F107" s="21" t="inlineStr"/>
      <c r="G107" s="20" t="inlineStr">
        <is>
          <t>2.0</t>
        </is>
      </c>
      <c r="H107" s="20" t="inlineStr">
        <is>
          <t>1414011010</t>
        </is>
      </c>
      <c r="I107" s="21" t="inlineStr">
        <is>
          <t>00488</t>
        </is>
      </c>
      <c r="J107" s="21" t="inlineStr"/>
      <c r="K107" s="27" t="n">
        <v>1200000</v>
      </c>
      <c r="L107" s="27" t="n">
        <v>600000</v>
      </c>
      <c r="M107" s="10" t="n">
        <v>0</v>
      </c>
      <c r="N107" s="12">
        <f>K107-L107-M107</f>
        <v/>
      </c>
      <c r="O107" s="24" t="n">
        <v>0</v>
      </c>
      <c r="P107" s="24" t="n">
        <v>0</v>
      </c>
      <c r="Q107" s="24" t="n">
        <v>0</v>
      </c>
      <c r="R107" s="24">
        <f>O107-P107-Q107</f>
        <v/>
      </c>
      <c r="S107" s="10" t="n">
        <v>0</v>
      </c>
      <c r="T107" s="10" t="n">
        <v>0</v>
      </c>
      <c r="U107" s="10" t="n">
        <v>0</v>
      </c>
      <c r="V107" s="43">
        <f>S107-T107-U107</f>
        <v/>
      </c>
    </row>
    <row r="108" ht="15" customHeight="1">
      <c r="A108" s="42" t="inlineStr">
        <is>
          <t>104</t>
        </is>
      </c>
      <c r="B108" s="20" t="inlineStr">
        <is>
          <t>0409</t>
        </is>
      </c>
      <c r="C108" s="20" t="inlineStr">
        <is>
          <t>144019Д004</t>
        </is>
      </c>
      <c r="D108" s="20" t="inlineStr">
        <is>
          <t>414</t>
        </is>
      </c>
      <c r="E108" s="20" t="inlineStr">
        <is>
          <t>310</t>
        </is>
      </c>
      <c r="F108" s="21" t="inlineStr"/>
      <c r="G108" s="20" t="inlineStr">
        <is>
          <t>2.0</t>
        </is>
      </c>
      <c r="H108" s="20" t="inlineStr">
        <is>
          <t>1414011010</t>
        </is>
      </c>
      <c r="I108" s="21" t="inlineStr">
        <is>
          <t>00488</t>
        </is>
      </c>
      <c r="J108" s="21" t="inlineStr"/>
      <c r="K108" s="27" t="n">
        <v>92126600</v>
      </c>
      <c r="L108" s="27" t="n">
        <v>89865908.64</v>
      </c>
      <c r="M108" s="10" t="n">
        <v>0</v>
      </c>
      <c r="N108" s="12">
        <f>K108-L108-M108</f>
        <v/>
      </c>
      <c r="O108" s="24" t="n">
        <v>0</v>
      </c>
      <c r="P108" s="24" t="n">
        <v>0</v>
      </c>
      <c r="Q108" s="24" t="n">
        <v>0</v>
      </c>
      <c r="R108" s="24">
        <f>O108-P108-Q108</f>
        <v/>
      </c>
      <c r="S108" s="10" t="n">
        <v>0</v>
      </c>
      <c r="T108" s="10" t="n">
        <v>0</v>
      </c>
      <c r="U108" s="10" t="n">
        <v>0</v>
      </c>
      <c r="V108" s="43">
        <f>S108-T108-U108</f>
        <v/>
      </c>
    </row>
    <row r="109" ht="15" customHeight="1" thickBot="1">
      <c r="A109" s="98" t="inlineStr">
        <is>
          <t>Итого</t>
        </is>
      </c>
      <c r="B109" s="99" t="n"/>
      <c r="C109" s="99" t="n"/>
      <c r="D109" s="99" t="n"/>
      <c r="E109" s="99" t="n"/>
      <c r="F109" s="99" t="n"/>
      <c r="G109" s="99" t="n"/>
      <c r="H109" s="99" t="n"/>
      <c r="I109" s="99" t="n"/>
      <c r="J109" s="100" t="n"/>
      <c r="K109" s="45">
        <f>SUM(K106:K108)</f>
        <v/>
      </c>
      <c r="L109" s="45">
        <f>SUM(L106:L108)</f>
        <v/>
      </c>
      <c r="M109" s="44">
        <f>SUM(M106:M108)</f>
        <v/>
      </c>
      <c r="N109" s="51">
        <f>SUM(N106:N108)</f>
        <v/>
      </c>
      <c r="O109" s="47">
        <f>SUM(O106:O108)</f>
        <v/>
      </c>
      <c r="P109" s="47">
        <f>SUM(P106:P108)</f>
        <v/>
      </c>
      <c r="Q109" s="47">
        <f>SUM(Q106:Q108)</f>
        <v/>
      </c>
      <c r="R109" s="47">
        <f>SUM(R106:R108)</f>
        <v/>
      </c>
      <c r="S109" s="44">
        <f>SUM(S106:S108)</f>
        <v/>
      </c>
      <c r="T109" s="44">
        <f>SUM(T106:T108)</f>
        <v/>
      </c>
      <c r="U109" s="44">
        <f>SUM(U106:U108)</f>
        <v/>
      </c>
      <c r="V109" s="48">
        <f>SUM(V106:V108)</f>
        <v/>
      </c>
    </row>
    <row r="110" ht="20.1" customHeight="1">
      <c r="A110" s="95" t="inlineStr">
        <is>
          <t>Бежецкая ЦРБ 2 этап - 00489</t>
        </is>
      </c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7" t="n"/>
    </row>
    <row r="111" ht="15" customHeight="1">
      <c r="A111" s="42" t="inlineStr">
        <is>
          <t>104</t>
        </is>
      </c>
      <c r="B111" s="20" t="inlineStr">
        <is>
          <t>0409</t>
        </is>
      </c>
      <c r="C111" s="20" t="inlineStr">
        <is>
          <t>144019Д004</t>
        </is>
      </c>
      <c r="D111" s="20" t="inlineStr">
        <is>
          <t>414</t>
        </is>
      </c>
      <c r="E111" s="20" t="inlineStr">
        <is>
          <t>228</t>
        </is>
      </c>
      <c r="F111" s="21" t="inlineStr"/>
      <c r="G111" s="20" t="inlineStr">
        <is>
          <t>1.0</t>
        </is>
      </c>
      <c r="H111" s="20" t="inlineStr">
        <is>
          <t>1414011010</t>
        </is>
      </c>
      <c r="I111" s="21" t="inlineStr">
        <is>
          <t>00489</t>
        </is>
      </c>
      <c r="J111" s="21" t="inlineStr"/>
      <c r="K111" s="27" t="n">
        <v>4864200</v>
      </c>
      <c r="L111" s="27" t="n">
        <v>2620146.75</v>
      </c>
      <c r="M111" s="10" t="n">
        <v>0</v>
      </c>
      <c r="N111" s="12">
        <f>K111-L111-M111</f>
        <v/>
      </c>
      <c r="O111" s="24" t="n">
        <v>0</v>
      </c>
      <c r="P111" s="24" t="n">
        <v>0</v>
      </c>
      <c r="Q111" s="24" t="n">
        <v>0</v>
      </c>
      <c r="R111" s="24">
        <f>O111-P111-Q111</f>
        <v/>
      </c>
      <c r="S111" s="10" t="n">
        <v>0</v>
      </c>
      <c r="T111" s="10" t="n">
        <v>0</v>
      </c>
      <c r="U111" s="10" t="n">
        <v>0</v>
      </c>
      <c r="V111" s="43">
        <f>S111-T111-U111</f>
        <v/>
      </c>
    </row>
    <row r="112" ht="15" customHeight="1">
      <c r="A112" s="42" t="inlineStr">
        <is>
          <t>104</t>
        </is>
      </c>
      <c r="B112" s="20" t="inlineStr">
        <is>
          <t>0409</t>
        </is>
      </c>
      <c r="C112" s="20" t="inlineStr">
        <is>
          <t>144019Д004</t>
        </is>
      </c>
      <c r="D112" s="20" t="inlineStr">
        <is>
          <t>414</t>
        </is>
      </c>
      <c r="E112" s="20" t="inlineStr">
        <is>
          <t>310</t>
        </is>
      </c>
      <c r="F112" s="21" t="inlineStr"/>
      <c r="G112" s="20" t="inlineStr">
        <is>
          <t>2.0</t>
        </is>
      </c>
      <c r="H112" s="20" t="inlineStr">
        <is>
          <t>1414011010</t>
        </is>
      </c>
      <c r="I112" s="21" t="inlineStr">
        <is>
          <t>00489</t>
        </is>
      </c>
      <c r="J112" s="21" t="inlineStr"/>
      <c r="K112" s="10" t="n">
        <v>0</v>
      </c>
      <c r="L112" s="10" t="n">
        <v>0</v>
      </c>
      <c r="M112" s="10" t="n">
        <v>0</v>
      </c>
      <c r="N112" s="10">
        <f>K112-L112-M112</f>
        <v/>
      </c>
      <c r="O112" s="41" t="n">
        <v>196121700</v>
      </c>
      <c r="P112" s="24" t="n">
        <v>0</v>
      </c>
      <c r="Q112" s="24" t="n">
        <v>0</v>
      </c>
      <c r="R112" s="25">
        <f>O112-P112-Q112</f>
        <v/>
      </c>
      <c r="S112" s="10" t="n">
        <v>0</v>
      </c>
      <c r="T112" s="10" t="n">
        <v>0</v>
      </c>
      <c r="U112" s="10" t="n">
        <v>0</v>
      </c>
      <c r="V112" s="43">
        <f>S112-T112-U112</f>
        <v/>
      </c>
    </row>
    <row r="113" ht="15" customHeight="1" thickBot="1">
      <c r="A113" s="98" t="inlineStr">
        <is>
          <t>Итого</t>
        </is>
      </c>
      <c r="B113" s="99" t="n"/>
      <c r="C113" s="99" t="n"/>
      <c r="D113" s="99" t="n"/>
      <c r="E113" s="99" t="n"/>
      <c r="F113" s="99" t="n"/>
      <c r="G113" s="99" t="n"/>
      <c r="H113" s="99" t="n"/>
      <c r="I113" s="99" t="n"/>
      <c r="J113" s="100" t="n"/>
      <c r="K113" s="45">
        <f>SUM(K111:K112)</f>
        <v/>
      </c>
      <c r="L113" s="45">
        <f>SUM(L111:L112)</f>
        <v/>
      </c>
      <c r="M113" s="44">
        <f>SUM(M111:M112)</f>
        <v/>
      </c>
      <c r="N113" s="51">
        <f>SUM(N111:N112)</f>
        <v/>
      </c>
      <c r="O113" s="49">
        <f>SUM(O111:O112)</f>
        <v/>
      </c>
      <c r="P113" s="47">
        <f>SUM(P111:P112)</f>
        <v/>
      </c>
      <c r="Q113" s="47">
        <f>SUM(Q111:Q112)</f>
        <v/>
      </c>
      <c r="R113" s="50">
        <f>SUM(R111:R112)</f>
        <v/>
      </c>
      <c r="S113" s="44">
        <f>SUM(S111:S112)</f>
        <v/>
      </c>
      <c r="T113" s="44">
        <f>SUM(T111:T112)</f>
        <v/>
      </c>
      <c r="U113" s="44">
        <f>SUM(U111:U112)</f>
        <v/>
      </c>
      <c r="V113" s="48">
        <f>SUM(V111:V112)</f>
        <v/>
      </c>
    </row>
    <row r="114" ht="20.1" customHeight="1">
      <c r="A114" s="95" t="inlineStr">
        <is>
          <t>Петербургское шоссе - 00518</t>
        </is>
      </c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7" t="n"/>
    </row>
    <row r="115" ht="15" customHeight="1">
      <c r="A115" s="42" t="inlineStr">
        <is>
          <t>104</t>
        </is>
      </c>
      <c r="B115" s="20" t="inlineStr">
        <is>
          <t>0409</t>
        </is>
      </c>
      <c r="C115" s="20" t="inlineStr">
        <is>
          <t>144019Д004</t>
        </is>
      </c>
      <c r="D115" s="20" t="inlineStr">
        <is>
          <t>414</t>
        </is>
      </c>
      <c r="E115" s="20" t="inlineStr">
        <is>
          <t>310</t>
        </is>
      </c>
      <c r="F115" s="21" t="inlineStr"/>
      <c r="G115" s="20" t="inlineStr">
        <is>
          <t>2.0</t>
        </is>
      </c>
      <c r="H115" s="20" t="inlineStr">
        <is>
          <t>1414011010</t>
        </is>
      </c>
      <c r="I115" s="21" t="inlineStr">
        <is>
          <t>00518</t>
        </is>
      </c>
      <c r="J115" s="21" t="inlineStr"/>
      <c r="K115" s="27" t="n">
        <v>0</v>
      </c>
      <c r="L115" s="10" t="n">
        <v>0</v>
      </c>
      <c r="M115" s="10" t="n">
        <v>0</v>
      </c>
      <c r="N115" s="12">
        <f>K115-L115-M115</f>
        <v/>
      </c>
      <c r="O115" s="41" t="n">
        <v>0</v>
      </c>
      <c r="P115" s="24" t="n">
        <v>0</v>
      </c>
      <c r="Q115" s="24" t="n">
        <v>0</v>
      </c>
      <c r="R115" s="25">
        <f>O115-P115-Q115</f>
        <v/>
      </c>
      <c r="S115" s="10" t="n">
        <v>0</v>
      </c>
      <c r="T115" s="10" t="n">
        <v>0</v>
      </c>
      <c r="U115" s="10" t="n">
        <v>0</v>
      </c>
      <c r="V115" s="43">
        <f>S115-T115-U115</f>
        <v/>
      </c>
    </row>
    <row r="116" ht="15" customHeight="1" thickBot="1">
      <c r="A116" s="98" t="inlineStr">
        <is>
          <t>Итого</t>
        </is>
      </c>
      <c r="B116" s="99" t="n"/>
      <c r="C116" s="99" t="n"/>
      <c r="D116" s="99" t="n"/>
      <c r="E116" s="99" t="n"/>
      <c r="F116" s="99" t="n"/>
      <c r="G116" s="99" t="n"/>
      <c r="H116" s="99" t="n"/>
      <c r="I116" s="99" t="n"/>
      <c r="J116" s="100" t="n"/>
      <c r="K116" s="45">
        <f>SUM(K115)</f>
        <v/>
      </c>
      <c r="L116" s="44">
        <f>SUM(L115)</f>
        <v/>
      </c>
      <c r="M116" s="44">
        <f>SUM(M115)</f>
        <v/>
      </c>
      <c r="N116" s="51">
        <f>SUM(N115)</f>
        <v/>
      </c>
      <c r="O116" s="49">
        <f>SUM(O115)</f>
        <v/>
      </c>
      <c r="P116" s="47">
        <f>SUM(P115)</f>
        <v/>
      </c>
      <c r="Q116" s="47">
        <f>SUM(Q115)</f>
        <v/>
      </c>
      <c r="R116" s="50">
        <f>SUM(R115)</f>
        <v/>
      </c>
      <c r="S116" s="44">
        <f>SUM(S115)</f>
        <v/>
      </c>
      <c r="T116" s="44">
        <f>SUM(T115)</f>
        <v/>
      </c>
      <c r="U116" s="44">
        <f>SUM(U115)</f>
        <v/>
      </c>
      <c r="V116" s="48">
        <f>SUM(V115)</f>
        <v/>
      </c>
    </row>
    <row r="117" ht="20.1" customHeight="1">
      <c r="A117" s="95" t="inlineStr">
        <is>
          <t>Бежецкое шоссе на участке от ул. Богородицерождественская 2 этап - 00540</t>
        </is>
      </c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7" t="n"/>
    </row>
    <row r="118" ht="15" customHeight="1">
      <c r="A118" s="42" t="inlineStr">
        <is>
          <t>104</t>
        </is>
      </c>
      <c r="B118" s="20" t="inlineStr">
        <is>
          <t>0409</t>
        </is>
      </c>
      <c r="C118" s="20" t="inlineStr">
        <is>
          <t>144019Д003</t>
        </is>
      </c>
      <c r="D118" s="20" t="inlineStr">
        <is>
          <t>414</t>
        </is>
      </c>
      <c r="E118" s="20" t="inlineStr">
        <is>
          <t>228</t>
        </is>
      </c>
      <c r="F118" s="21" t="inlineStr"/>
      <c r="G118" s="20" t="inlineStr">
        <is>
          <t>1.0</t>
        </is>
      </c>
      <c r="H118" s="20" t="inlineStr">
        <is>
          <t>1414011009</t>
        </is>
      </c>
      <c r="I118" s="21" t="inlineStr">
        <is>
          <t>00540</t>
        </is>
      </c>
      <c r="J118" s="21" t="inlineStr"/>
      <c r="K118" s="10" t="n">
        <v>0</v>
      </c>
      <c r="L118" s="10" t="n">
        <v>0</v>
      </c>
      <c r="M118" s="10" t="n">
        <v>0</v>
      </c>
      <c r="N118" s="10">
        <f>K118-L118-M118</f>
        <v/>
      </c>
      <c r="O118" s="41" t="n">
        <v>7528000</v>
      </c>
      <c r="P118" s="24" t="n">
        <v>0</v>
      </c>
      <c r="Q118" s="41" t="n">
        <v>7528000</v>
      </c>
      <c r="R118" s="24">
        <f>O118-P118-Q118</f>
        <v/>
      </c>
      <c r="S118" s="10" t="n">
        <v>0</v>
      </c>
      <c r="T118" s="10" t="n">
        <v>0</v>
      </c>
      <c r="U118" s="10" t="n">
        <v>0</v>
      </c>
      <c r="V118" s="43">
        <f>S118-T118-U118</f>
        <v/>
      </c>
    </row>
    <row r="119" ht="15" customHeight="1">
      <c r="A119" s="42" t="inlineStr">
        <is>
          <t>104</t>
        </is>
      </c>
      <c r="B119" s="20" t="inlineStr">
        <is>
          <t>0409</t>
        </is>
      </c>
      <c r="C119" s="20" t="inlineStr">
        <is>
          <t>144019Д003</t>
        </is>
      </c>
      <c r="D119" s="20" t="inlineStr">
        <is>
          <t>414</t>
        </is>
      </c>
      <c r="E119" s="20" t="inlineStr">
        <is>
          <t>310</t>
        </is>
      </c>
      <c r="F119" s="21" t="inlineStr"/>
      <c r="G119" s="20" t="inlineStr">
        <is>
          <t>2.0</t>
        </is>
      </c>
      <c r="H119" s="20" t="inlineStr">
        <is>
          <t>1414011009</t>
        </is>
      </c>
      <c r="I119" s="21" t="inlineStr">
        <is>
          <t>00540</t>
        </is>
      </c>
      <c r="J119" s="21" t="inlineStr"/>
      <c r="K119" s="10" t="n">
        <v>0</v>
      </c>
      <c r="L119" s="10" t="n">
        <v>0</v>
      </c>
      <c r="M119" s="10" t="n">
        <v>0</v>
      </c>
      <c r="N119" s="10">
        <f>K119-L119-M119</f>
        <v/>
      </c>
      <c r="O119" s="41" t="n">
        <v>356858300</v>
      </c>
      <c r="P119" s="24" t="n">
        <v>0</v>
      </c>
      <c r="Q119" s="41" t="n">
        <v>348384157.48</v>
      </c>
      <c r="R119" s="25">
        <f>O119-P119-Q119</f>
        <v/>
      </c>
      <c r="S119" s="10" t="n">
        <v>0</v>
      </c>
      <c r="T119" s="10" t="n">
        <v>0</v>
      </c>
      <c r="U119" s="10" t="n">
        <v>0</v>
      </c>
      <c r="V119" s="43">
        <f>S119-T119-U119</f>
        <v/>
      </c>
    </row>
    <row r="120" ht="15" customHeight="1" thickBot="1">
      <c r="A120" s="98" t="inlineStr">
        <is>
          <t>Итого</t>
        </is>
      </c>
      <c r="B120" s="99" t="n"/>
      <c r="C120" s="99" t="n"/>
      <c r="D120" s="99" t="n"/>
      <c r="E120" s="99" t="n"/>
      <c r="F120" s="99" t="n"/>
      <c r="G120" s="99" t="n"/>
      <c r="H120" s="99" t="n"/>
      <c r="I120" s="99" t="n"/>
      <c r="J120" s="100" t="n"/>
      <c r="K120" s="44">
        <f>SUM(K118:K119)</f>
        <v/>
      </c>
      <c r="L120" s="44">
        <f>SUM(L118:L119)</f>
        <v/>
      </c>
      <c r="M120" s="44">
        <f>SUM(M118:M119)</f>
        <v/>
      </c>
      <c r="N120" s="44">
        <f>SUM(N118:N119)</f>
        <v/>
      </c>
      <c r="O120" s="49">
        <f>SUM(O118:O119)</f>
        <v/>
      </c>
      <c r="P120" s="47">
        <f>SUM(P118:P119)</f>
        <v/>
      </c>
      <c r="Q120" s="49">
        <f>SUM(Q118:Q119)</f>
        <v/>
      </c>
      <c r="R120" s="50">
        <f>SUM(R118:R119)</f>
        <v/>
      </c>
      <c r="S120" s="44">
        <f>SUM(S118:S119)</f>
        <v/>
      </c>
      <c r="T120" s="44">
        <f>SUM(T118:T119)</f>
        <v/>
      </c>
      <c r="U120" s="44">
        <f>SUM(U118:U119)</f>
        <v/>
      </c>
      <c r="V120" s="48">
        <f>SUM(V118:V119)</f>
        <v/>
      </c>
    </row>
    <row r="121" ht="30" customHeight="1" thickBot="1">
      <c r="A121" s="101" t="inlineStr">
        <is>
          <t>Итого по всем объектам АИП</t>
        </is>
      </c>
      <c r="B121" s="102" t="n"/>
      <c r="C121" s="102" t="n"/>
      <c r="D121" s="102" t="n"/>
      <c r="E121" s="102" t="n"/>
      <c r="F121" s="102" t="n"/>
      <c r="G121" s="102" t="n"/>
      <c r="H121" s="102" t="n"/>
      <c r="I121" s="102" t="n"/>
      <c r="J121" s="103" t="n"/>
      <c r="K121" s="57">
        <f>SUM(K34,K38,K41,K46,K50,K54,K60,K65,K68,K74,K78,K82,K87,K92,K96,K99,K104,K109,K113,K116,K120)</f>
        <v/>
      </c>
      <c r="L121" s="58">
        <f>SUM(L34,L38,L41,L46,L50,L54,L60,L65,L68,L74,L78,L82,L87,L92,L96,L99,L104,L109,L113,L116,L120)</f>
        <v/>
      </c>
      <c r="M121" s="58">
        <f>SUM(M34,M38,M41,M46,M50,M54,M60,M65,M68,M74,M78,M82,M87,M92,M96,M99,M104,M109,M113,M116,M120)</f>
        <v/>
      </c>
      <c r="N121" s="60">
        <f>SUM(N34,N38,N41,N46,N50,N54,N60,N65,N68,N74,N78,N82,N87,N92,N96,N99,N104,N109,N113,N116,N120)</f>
        <v/>
      </c>
      <c r="O121" s="59">
        <f>SUM(O34,O38,O41,O46,O50,O54,O60,O65,O68,O74,O78,O82,O87,O92,O96,O99,O104,O109,O113,O116,O120)</f>
        <v/>
      </c>
      <c r="P121" s="59">
        <f>SUM(P34,P38,P41,P46,P50,P54,P60,P65,P68,P74,P78,P82,P87,P92,P96,P99,P104,P109,P113,P116,P120)</f>
        <v/>
      </c>
      <c r="Q121" s="59">
        <f>SUM(Q34,Q38,Q41,Q46,Q50,Q54,Q60,Q65,Q68,Q74,Q78,Q82,Q87,Q92,Q96,Q99,Q104,Q109,Q113,Q116,Q120)</f>
        <v/>
      </c>
      <c r="R121" s="64">
        <f>SUM(R34,R38,R41,R46,R50,R54,R60,R65,R68,R74,R78,R82,R87,R92,R96,R99,R104,R109,R113,R116,R120)</f>
        <v/>
      </c>
      <c r="S121" s="58">
        <f>SUM(S34,S38,S41,S46,S50,S54,S60,S65,S68,S74,S78,S82,S87,S92,S96,S99,S104,S109,S113,S116,S120)</f>
        <v/>
      </c>
      <c r="T121" s="58">
        <f>SUM(T34,T38,T41,T46,T50,T54,T60,T65,T68,T74,T78,T82,T87,T92,T96,T99,T104,T109,T113,T116,T120)</f>
        <v/>
      </c>
      <c r="U121" s="58">
        <f>SUM(U34,U38,U41,U46,U50,U54,U60,U65,U68,U74,U78,U82,U87,U92,U96,U99,U104,U109,U113,U116,U120)</f>
        <v/>
      </c>
      <c r="V121" s="61">
        <f>SUM(V34,V38,V41,V46,V50,V54,V60,V65,V68,V74,V78,V82,V87,V92,V96,V99,V104,V109,V113,V116,V120)</f>
        <v/>
      </c>
    </row>
    <row r="122" ht="30" customHeight="1" thickBot="1">
      <c r="A122" s="101" t="inlineStr">
        <is>
          <t>ИТОГО (по всем объектам)</t>
        </is>
      </c>
      <c r="B122" s="102" t="n"/>
      <c r="C122" s="102" t="n"/>
      <c r="D122" s="102" t="n"/>
      <c r="E122" s="102" t="n"/>
      <c r="F122" s="102" t="n"/>
      <c r="G122" s="102" t="n"/>
      <c r="H122" s="102" t="n"/>
      <c r="I122" s="102" t="n"/>
      <c r="J122" s="103" t="n"/>
      <c r="K122" s="57">
        <f>SUM(K6,K12,K23,K30,K34,K38,K41,K46,K50,K54,K60,K65,K68,K74,K78,K82,K87,K92,K96,K99,K104,K109,K113,K116,K120)</f>
        <v/>
      </c>
      <c r="L122" s="58">
        <f>SUM(L6,L12,L23,L30,L34,L38,L41,L46,L50,L54,L60,L65,L68,L74,L78,L82,L87,L92,L96,L99,L104,L109,L113,L116,L120)</f>
        <v/>
      </c>
      <c r="M122" s="58">
        <f>SUM(M6,M12,M23,M30,M34,M38,M41,M46,M50,M54,M60,M65,M68,M74,M78,M82,M87,M92,M96,M99,M104,M109,M113,M116,M120)</f>
        <v/>
      </c>
      <c r="N122" s="63">
        <f>SUM(N6,N12,N23,N30,N34,N38,N41,N46,N50,N54,N60,N65,N68,N74,N78,N82,N87,N92,N96,N99,N104,N109,N113,N116,N120)</f>
        <v/>
      </c>
      <c r="O122" s="59">
        <f>SUM(O6,O12,O23,O30,O34,O38,O41,O46,O50,O54,O60,O65,O68,O74,O78,O82,O87,O92,O96,O99,O104,O109,O113,O116,O120)</f>
        <v/>
      </c>
      <c r="P122" s="59">
        <f>SUM(P6,P12,P23,P30,P34,P38,P41,P46,P50,P54,P60,P65,P68,P74,P78,P82,P87,P92,P96,P99,P104,P109,P113,P116,P120)</f>
        <v/>
      </c>
      <c r="Q122" s="59">
        <f>SUM(Q6,Q12,Q23,Q30,Q34,Q38,Q41,Q46,Q50,Q54,Q60,Q65,Q68,Q74,Q78,Q82,Q87,Q92,Q96,Q99,Q104,Q109,Q113,Q116,Q120)</f>
        <v/>
      </c>
      <c r="R122" s="64">
        <f>SUM(R6,R12,R23,R30,R34,R38,R41,R46,R50,R54,R60,R65,R68,R74,R78,R82,R87,R92,R96,R99,R104,R109,R113,R116,R120)</f>
        <v/>
      </c>
      <c r="S122" s="58">
        <f>SUM(S6,S12,S23,S30,S34,S38,S41,S46,S50,S54,S60,S65,S68,S74,S78,S82,S87,S92,S96,S99,S104,S109,S113,S116,S120)</f>
        <v/>
      </c>
      <c r="T122" s="58">
        <f>SUM(T6,T12,T23,T30,T34,T38,T41,T46,T50,T54,T60,T65,T68,T74,T78,T82,T87,T92,T96,T99,T104,T109,T113,T116,T120)</f>
        <v/>
      </c>
      <c r="U122" s="58">
        <f>SUM(U6,U12,U23,U30,U34,U38,U41,U46,U50,U54,U60,U65,U68,U74,U78,U82,U87,U92,U96,U99,U104,U109,U113,U116,U120)</f>
        <v/>
      </c>
      <c r="V122" s="63">
        <f>SUM(V6,V12,V23,V30,V34,V38,V41,V46,V50,V54,V60,V65,V68,V74,V78,V82,V87,V92,V96,V99,V104,V109,V113,V116,V120)</f>
        <v/>
      </c>
    </row>
    <row r="124">
      <c r="N124" s="6" t="n"/>
    </row>
    <row r="128">
      <c r="O128" s="62" t="n"/>
    </row>
  </sheetData>
  <mergeCells count="57">
    <mergeCell ref="A116:J116"/>
    <mergeCell ref="A23:J23"/>
    <mergeCell ref="A42:V42"/>
    <mergeCell ref="A47:V47"/>
    <mergeCell ref="A32:V32"/>
    <mergeCell ref="A122:J122"/>
    <mergeCell ref="A109:J109"/>
    <mergeCell ref="A97:V97"/>
    <mergeCell ref="A100:V100"/>
    <mergeCell ref="A96:J96"/>
    <mergeCell ref="A38:J38"/>
    <mergeCell ref="A121:J121"/>
    <mergeCell ref="A35:V35"/>
    <mergeCell ref="A68:J68"/>
    <mergeCell ref="S1:V1"/>
    <mergeCell ref="A13:V13"/>
    <mergeCell ref="A117:V117"/>
    <mergeCell ref="A93:V93"/>
    <mergeCell ref="A92:J92"/>
    <mergeCell ref="A30:J30"/>
    <mergeCell ref="A31:V31"/>
    <mergeCell ref="A34:J34"/>
    <mergeCell ref="A114:V114"/>
    <mergeCell ref="A83:V83"/>
    <mergeCell ref="A39:V39"/>
    <mergeCell ref="A60:J60"/>
    <mergeCell ref="A82:J82"/>
    <mergeCell ref="A24:V24"/>
    <mergeCell ref="A51:V51"/>
    <mergeCell ref="A1:J1"/>
    <mergeCell ref="A6:J6"/>
    <mergeCell ref="A110:V110"/>
    <mergeCell ref="A79:V79"/>
    <mergeCell ref="A78:J78"/>
    <mergeCell ref="A61:V61"/>
    <mergeCell ref="A88:V88"/>
    <mergeCell ref="A87:J87"/>
    <mergeCell ref="A65:J65"/>
    <mergeCell ref="A54:J54"/>
    <mergeCell ref="K1:N1"/>
    <mergeCell ref="A69:V69"/>
    <mergeCell ref="A7:V7"/>
    <mergeCell ref="A41:J41"/>
    <mergeCell ref="O1:R1"/>
    <mergeCell ref="A99:J99"/>
    <mergeCell ref="A46:J46"/>
    <mergeCell ref="A66:V66"/>
    <mergeCell ref="A74:J74"/>
    <mergeCell ref="A105:V105"/>
    <mergeCell ref="A75:V75"/>
    <mergeCell ref="A120:J120"/>
    <mergeCell ref="A50:J50"/>
    <mergeCell ref="A12:J12"/>
    <mergeCell ref="A113:J113"/>
    <mergeCell ref="A3:V3"/>
    <mergeCell ref="A104:J104"/>
    <mergeCell ref="A55:V55"/>
  </mergeCells>
  <pageMargins left="0.7" right="0.7" top="0.75" bottom="0.75" header="0.3" footer="0.3"/>
  <pageSetup orientation="portrait" paperSize="9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 horizontalDpi="180" verticalDpi="1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2006-09-28T05:33:49Z</dcterms:created>
  <dcterms:modified xsi:type="dcterms:W3CDTF">2025-11-19T14:32:52Z</dcterms:modified>
</cp:coreProperties>
</file>