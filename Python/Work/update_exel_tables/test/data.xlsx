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105" windowWidth="15120" windowHeight="8010"/>
  </bookViews>
  <sheets>
    <sheet name="Лист1" sheetId="1" r:id="rId1"/>
  </sheets>
  <definedNames>
    <definedName name="_xlnm.Print_Titles" localSheetId="0">Лист1!$1:$2</definedName>
  </definedNames>
  <calcPr calcId="125725"/>
</workbook>
</file>

<file path=xl/calcChain.xml><?xml version="1.0" encoding="utf-8"?>
<calcChain xmlns="http://schemas.openxmlformats.org/spreadsheetml/2006/main">
  <c r="R92" i="1"/>
  <c r="R93" s="1"/>
  <c r="V92"/>
  <c r="U93"/>
  <c r="T93"/>
  <c r="S93"/>
  <c r="Q93"/>
  <c r="P93"/>
  <c r="O93"/>
  <c r="N93"/>
  <c r="M93"/>
  <c r="L93"/>
  <c r="K93"/>
  <c r="N92"/>
  <c r="V91"/>
  <c r="R91"/>
  <c r="N91"/>
  <c r="V38"/>
  <c r="V39"/>
  <c r="V40"/>
  <c r="R38"/>
  <c r="R39"/>
  <c r="R40"/>
  <c r="O41"/>
  <c r="N39"/>
  <c r="N40"/>
  <c r="L41"/>
  <c r="M41"/>
  <c r="P41"/>
  <c r="Q41"/>
  <c r="S41"/>
  <c r="T41"/>
  <c r="U41"/>
  <c r="K41"/>
  <c r="U97"/>
  <c r="T97"/>
  <c r="S97"/>
  <c r="Q97"/>
  <c r="P97"/>
  <c r="O97"/>
  <c r="M97"/>
  <c r="L97"/>
  <c r="K97"/>
  <c r="V96"/>
  <c r="R96"/>
  <c r="N96"/>
  <c r="V95"/>
  <c r="R95"/>
  <c r="N95"/>
  <c r="U89"/>
  <c r="T89"/>
  <c r="S89"/>
  <c r="Q89"/>
  <c r="P89"/>
  <c r="O89"/>
  <c r="M89"/>
  <c r="L89"/>
  <c r="K89"/>
  <c r="V88"/>
  <c r="R88"/>
  <c r="N88"/>
  <c r="U86"/>
  <c r="T86"/>
  <c r="S86"/>
  <c r="Q86"/>
  <c r="P86"/>
  <c r="O86"/>
  <c r="M86"/>
  <c r="L86"/>
  <c r="K86"/>
  <c r="V85"/>
  <c r="R85"/>
  <c r="N85"/>
  <c r="V84"/>
  <c r="R84"/>
  <c r="N84"/>
  <c r="V83"/>
  <c r="R83"/>
  <c r="N83"/>
  <c r="U81"/>
  <c r="T81"/>
  <c r="S81"/>
  <c r="Q81"/>
  <c r="P81"/>
  <c r="O81"/>
  <c r="M81"/>
  <c r="L81"/>
  <c r="K81"/>
  <c r="V80"/>
  <c r="R80"/>
  <c r="N80"/>
  <c r="V79"/>
  <c r="R79"/>
  <c r="N79"/>
  <c r="U77"/>
  <c r="T77"/>
  <c r="S77"/>
  <c r="Q77"/>
  <c r="P77"/>
  <c r="O77"/>
  <c r="M77"/>
  <c r="L77"/>
  <c r="K77"/>
  <c r="V76"/>
  <c r="R76"/>
  <c r="N76"/>
  <c r="V75"/>
  <c r="R75"/>
  <c r="N75"/>
  <c r="U73"/>
  <c r="T73"/>
  <c r="S73"/>
  <c r="Q73"/>
  <c r="P73"/>
  <c r="O73"/>
  <c r="M73"/>
  <c r="L73"/>
  <c r="K73"/>
  <c r="V72"/>
  <c r="R72"/>
  <c r="N72"/>
  <c r="V71"/>
  <c r="R71"/>
  <c r="N71"/>
  <c r="U69"/>
  <c r="T69"/>
  <c r="S69"/>
  <c r="Q69"/>
  <c r="P69"/>
  <c r="O69"/>
  <c r="M69"/>
  <c r="L69"/>
  <c r="K69"/>
  <c r="V68"/>
  <c r="R68"/>
  <c r="N68"/>
  <c r="U66"/>
  <c r="T66"/>
  <c r="S66"/>
  <c r="Q66"/>
  <c r="P66"/>
  <c r="O66"/>
  <c r="M66"/>
  <c r="L66"/>
  <c r="K66"/>
  <c r="V65"/>
  <c r="R65"/>
  <c r="N65"/>
  <c r="V64"/>
  <c r="R64"/>
  <c r="N64"/>
  <c r="V63"/>
  <c r="R63"/>
  <c r="N63"/>
  <c r="U61"/>
  <c r="T61"/>
  <c r="S61"/>
  <c r="Q61"/>
  <c r="P61"/>
  <c r="O61"/>
  <c r="M61"/>
  <c r="L61"/>
  <c r="K61"/>
  <c r="V60"/>
  <c r="V61" s="1"/>
  <c r="R60"/>
  <c r="R61" s="1"/>
  <c r="N60"/>
  <c r="N61" s="1"/>
  <c r="U58"/>
  <c r="T58"/>
  <c r="S58"/>
  <c r="Q58"/>
  <c r="P58"/>
  <c r="O58"/>
  <c r="M58"/>
  <c r="L58"/>
  <c r="K58"/>
  <c r="V57"/>
  <c r="R57"/>
  <c r="N57"/>
  <c r="V56"/>
  <c r="R56"/>
  <c r="N56"/>
  <c r="U54"/>
  <c r="T54"/>
  <c r="S54"/>
  <c r="Q54"/>
  <c r="P54"/>
  <c r="O54"/>
  <c r="M54"/>
  <c r="L54"/>
  <c r="K54"/>
  <c r="V53"/>
  <c r="R53"/>
  <c r="N53"/>
  <c r="V52"/>
  <c r="R52"/>
  <c r="N52"/>
  <c r="U50"/>
  <c r="T50"/>
  <c r="S50"/>
  <c r="Q50"/>
  <c r="P50"/>
  <c r="O50"/>
  <c r="M50"/>
  <c r="L50"/>
  <c r="K50"/>
  <c r="V49"/>
  <c r="R49"/>
  <c r="N49"/>
  <c r="V48"/>
  <c r="R48"/>
  <c r="N48"/>
  <c r="U46"/>
  <c r="T46"/>
  <c r="S46"/>
  <c r="Q46"/>
  <c r="P46"/>
  <c r="O46"/>
  <c r="M46"/>
  <c r="L46"/>
  <c r="K46"/>
  <c r="V45"/>
  <c r="R45"/>
  <c r="N45"/>
  <c r="V44"/>
  <c r="R44"/>
  <c r="N44"/>
  <c r="V43"/>
  <c r="R43"/>
  <c r="N43"/>
  <c r="N38"/>
  <c r="V37"/>
  <c r="R37"/>
  <c r="N37"/>
  <c r="U35"/>
  <c r="T35"/>
  <c r="S35"/>
  <c r="Q35"/>
  <c r="P35"/>
  <c r="O35"/>
  <c r="M35"/>
  <c r="L35"/>
  <c r="K35"/>
  <c r="V34"/>
  <c r="V35" s="1"/>
  <c r="R34"/>
  <c r="R35" s="1"/>
  <c r="N34"/>
  <c r="N35" s="1"/>
  <c r="U31"/>
  <c r="T31"/>
  <c r="S31"/>
  <c r="Q31"/>
  <c r="P31"/>
  <c r="O31"/>
  <c r="M31"/>
  <c r="L31"/>
  <c r="K31"/>
  <c r="V30"/>
  <c r="R30"/>
  <c r="N30"/>
  <c r="V29"/>
  <c r="R29"/>
  <c r="N29"/>
  <c r="V28"/>
  <c r="R28"/>
  <c r="N28"/>
  <c r="V27"/>
  <c r="R27"/>
  <c r="N27"/>
  <c r="V26"/>
  <c r="R26"/>
  <c r="N26"/>
  <c r="U24"/>
  <c r="T24"/>
  <c r="S24"/>
  <c r="Q24"/>
  <c r="P24"/>
  <c r="O24"/>
  <c r="M24"/>
  <c r="L24"/>
  <c r="K24"/>
  <c r="V23"/>
  <c r="R23"/>
  <c r="N23"/>
  <c r="V22"/>
  <c r="R22"/>
  <c r="N22"/>
  <c r="V21"/>
  <c r="R21"/>
  <c r="N21"/>
  <c r="V20"/>
  <c r="R20"/>
  <c r="N20"/>
  <c r="V19"/>
  <c r="R19"/>
  <c r="N19"/>
  <c r="V18"/>
  <c r="R18"/>
  <c r="N18"/>
  <c r="V17"/>
  <c r="R17"/>
  <c r="N17"/>
  <c r="V16"/>
  <c r="R16"/>
  <c r="N16"/>
  <c r="V15"/>
  <c r="R15"/>
  <c r="N15"/>
  <c r="U13"/>
  <c r="T13"/>
  <c r="S13"/>
  <c r="Q13"/>
  <c r="P13"/>
  <c r="O13"/>
  <c r="M13"/>
  <c r="L13"/>
  <c r="K13"/>
  <c r="V12"/>
  <c r="R12"/>
  <c r="N12"/>
  <c r="V11"/>
  <c r="R11"/>
  <c r="N11"/>
  <c r="V10"/>
  <c r="R10"/>
  <c r="N10"/>
  <c r="V9"/>
  <c r="R9"/>
  <c r="N9"/>
  <c r="U7"/>
  <c r="T7"/>
  <c r="S7"/>
  <c r="Q7"/>
  <c r="P7"/>
  <c r="O7"/>
  <c r="M7"/>
  <c r="L7"/>
  <c r="K7"/>
  <c r="V6"/>
  <c r="R6"/>
  <c r="N6"/>
  <c r="V5"/>
  <c r="R5"/>
  <c r="N5"/>
  <c r="V4"/>
  <c r="R4"/>
  <c r="N4"/>
  <c r="V93" l="1"/>
  <c r="R66"/>
  <c r="N77"/>
  <c r="R58"/>
  <c r="R31"/>
  <c r="N54"/>
  <c r="V86"/>
  <c r="R46"/>
  <c r="N46"/>
  <c r="R77"/>
  <c r="V7"/>
  <c r="R13"/>
  <c r="N89"/>
  <c r="V41"/>
  <c r="V98" s="1"/>
  <c r="V89"/>
  <c r="R89"/>
  <c r="R41"/>
  <c r="N24"/>
  <c r="N41"/>
  <c r="R98"/>
  <c r="R73"/>
  <c r="N58"/>
  <c r="N31"/>
  <c r="V50"/>
  <c r="V81"/>
  <c r="R86"/>
  <c r="R81"/>
  <c r="V24"/>
  <c r="R50"/>
  <c r="N50"/>
  <c r="N98" s="1"/>
  <c r="N73"/>
  <c r="N81"/>
  <c r="R7"/>
  <c r="Q99"/>
  <c r="V58"/>
  <c r="V66"/>
  <c r="V69"/>
  <c r="V97"/>
  <c r="V13"/>
  <c r="P99"/>
  <c r="R54"/>
  <c r="R69"/>
  <c r="N86"/>
  <c r="R97"/>
  <c r="N66"/>
  <c r="N69"/>
  <c r="N97"/>
  <c r="U99"/>
  <c r="V31"/>
  <c r="R24"/>
  <c r="U98"/>
  <c r="V46"/>
  <c r="V54"/>
  <c r="V73"/>
  <c r="V77"/>
  <c r="T99"/>
  <c r="T98"/>
  <c r="S99"/>
  <c r="S98"/>
  <c r="Q98"/>
  <c r="O99"/>
  <c r="M99"/>
  <c r="L99"/>
  <c r="O98"/>
  <c r="P98"/>
  <c r="M98"/>
  <c r="L98"/>
  <c r="K99"/>
  <c r="K98"/>
  <c r="N13"/>
  <c r="N7"/>
  <c r="R99" l="1"/>
  <c r="V99"/>
  <c r="N99"/>
</calcChain>
</file>

<file path=xl/sharedStrings.xml><?xml version="1.0" encoding="utf-8"?>
<sst xmlns="http://schemas.openxmlformats.org/spreadsheetml/2006/main" count="490" uniqueCount="116">
  <si>
    <t>КБК</t>
  </si>
  <si>
    <t>Вед</t>
  </si>
  <si>
    <t>Подр</t>
  </si>
  <si>
    <t>ЦСт</t>
  </si>
  <si>
    <t>Расх</t>
  </si>
  <si>
    <t>КОСГУ</t>
  </si>
  <si>
    <t>ДопКласс</t>
  </si>
  <si>
    <t>РегКласс</t>
  </si>
  <si>
    <t>Программа</t>
  </si>
  <si>
    <t>Объект АИП</t>
  </si>
  <si>
    <t>Цель</t>
  </si>
  <si>
    <t>ЛБО на 2026</t>
  </si>
  <si>
    <t>БО на 2026</t>
  </si>
  <si>
    <t>Предв. заявка на закупку на 2026</t>
  </si>
  <si>
    <t>Остаток с учетом гос заказа от Лимитов для принятия БО в 2026</t>
  </si>
  <si>
    <t>ЛБО на 2027</t>
  </si>
  <si>
    <t>БО на 2027</t>
  </si>
  <si>
    <t>Предв. заявка на закупку на 2027</t>
  </si>
  <si>
    <t>Остаток с учетом гос заказа от Лимитов для принятия БО в 2027</t>
  </si>
  <si>
    <t>ЛБО на 2028</t>
  </si>
  <si>
    <t>БО на 2028</t>
  </si>
  <si>
    <t>Предв. заявка на закупку на 2028</t>
  </si>
  <si>
    <t>Остаток с учетом гос заказа от Лимитов для принятия БО в 2028</t>
  </si>
  <si>
    <t xml:space="preserve">Ремнот / Капремонт - Фереральные средтва </t>
  </si>
  <si>
    <t>104</t>
  </si>
  <si>
    <t>0409</t>
  </si>
  <si>
    <t>141И854470</t>
  </si>
  <si>
    <t>243</t>
  </si>
  <si>
    <t>225</t>
  </si>
  <si>
    <t>2554470X204250000000</t>
  </si>
  <si>
    <t>2254</t>
  </si>
  <si>
    <t>1411И81049</t>
  </si>
  <si>
    <t>244</t>
  </si>
  <si>
    <t>2654470X204250000000</t>
  </si>
  <si>
    <t>Итого</t>
  </si>
  <si>
    <t xml:space="preserve">Ремнот / Капремонт - Областные средтва </t>
  </si>
  <si>
    <t>144019Д007</t>
  </si>
  <si>
    <t>1414013013</t>
  </si>
  <si>
    <t>226</t>
  </si>
  <si>
    <t>2267</t>
  </si>
  <si>
    <t>Содержание</t>
  </si>
  <si>
    <t>144019Д006</t>
  </si>
  <si>
    <t>242</t>
  </si>
  <si>
    <t>221</t>
  </si>
  <si>
    <t>2212</t>
  </si>
  <si>
    <t>1414012012</t>
  </si>
  <si>
    <t>2251</t>
  </si>
  <si>
    <t>228</t>
  </si>
  <si>
    <t>310</t>
  </si>
  <si>
    <t>3103</t>
  </si>
  <si>
    <t>247</t>
  </si>
  <si>
    <t>223</t>
  </si>
  <si>
    <t>2233</t>
  </si>
  <si>
    <t>Транспортная безопасность</t>
  </si>
  <si>
    <t>144019Д401</t>
  </si>
  <si>
    <t>2263</t>
  </si>
  <si>
    <t>Строительство / Реконструкция</t>
  </si>
  <si>
    <t>Осташков-Волговерховье - 00112</t>
  </si>
  <si>
    <t>5810110000</t>
  </si>
  <si>
    <t>414</t>
  </si>
  <si>
    <t>1.0</t>
  </si>
  <si>
    <t>5810116И00</t>
  </si>
  <si>
    <t>00112</t>
  </si>
  <si>
    <t>Западный мост - 00123</t>
  </si>
  <si>
    <t>25000000001120960758</t>
  </si>
  <si>
    <t>2.0</t>
  </si>
  <si>
    <t>1411И81050</t>
  </si>
  <si>
    <t>00123</t>
  </si>
  <si>
    <t>144019Д004</t>
  </si>
  <si>
    <t>1414011010</t>
  </si>
  <si>
    <t>Большое Эскино – Трестино – Жданово - 00154</t>
  </si>
  <si>
    <t>144019Д003</t>
  </si>
  <si>
    <t>1414011009</t>
  </si>
  <si>
    <t>00154</t>
  </si>
  <si>
    <t>"Москва-Санкт-Петербург"-Чуприяновка-Старый Погост - 00187</t>
  </si>
  <si>
    <t>5810153900</t>
  </si>
  <si>
    <t>21228500000000210001</t>
  </si>
  <si>
    <t>5810121И00</t>
  </si>
  <si>
    <t>00187</t>
  </si>
  <si>
    <t>ТПУ "Завидово" - (Контракт 1-3) - 00273</t>
  </si>
  <si>
    <t>0408</t>
  </si>
  <si>
    <t>0834031058</t>
  </si>
  <si>
    <t>00273</t>
  </si>
  <si>
    <t>08403К8001</t>
  </si>
  <si>
    <t>Бежецкое шоссе на участке от ул. Богородицерождественская - 00278</t>
  </si>
  <si>
    <t>00278</t>
  </si>
  <si>
    <t>9999</t>
  </si>
  <si>
    <t xml:space="preserve"> Фрунзе - 00279</t>
  </si>
  <si>
    <t>00279</t>
  </si>
  <si>
    <t>"Москва – Санкт-Петербург" - Конаково – Иваньково (М-10) - 00315</t>
  </si>
  <si>
    <t>141J153380</t>
  </si>
  <si>
    <t>24000000001120962348</t>
  </si>
  <si>
    <t>1411J11007</t>
  </si>
  <si>
    <t>00315</t>
  </si>
  <si>
    <t>Подъезд к школе Радужный - 00331</t>
  </si>
  <si>
    <t>00331</t>
  </si>
  <si>
    <t>ЛНО Нелидово - 00333</t>
  </si>
  <si>
    <t>144019Д005</t>
  </si>
  <si>
    <t>1414011011</t>
  </si>
  <si>
    <t>00333</t>
  </si>
  <si>
    <t>ЛНО Западная Двина - 00334</t>
  </si>
  <si>
    <t>00334</t>
  </si>
  <si>
    <t>Туполева - 00336</t>
  </si>
  <si>
    <t>00336</t>
  </si>
  <si>
    <t>Бежецкая ЦРБ 1 этап - 00488</t>
  </si>
  <si>
    <t>00488</t>
  </si>
  <si>
    <t>Бежецкая ЦРБ 2 этап - 00489</t>
  </si>
  <si>
    <t>00489</t>
  </si>
  <si>
    <t>Бежецкое шоссе на участке от ул. Богородицерождественская 2 этап - 00540</t>
  </si>
  <si>
    <t>00540</t>
  </si>
  <si>
    <t>Итого по всем объектам АИП</t>
  </si>
  <si>
    <t>ИТОГО (по всем объектам)</t>
  </si>
  <si>
    <t>26000000001120960758</t>
  </si>
  <si>
    <t>Южный обход г. Торжок - 00490</t>
  </si>
  <si>
    <t>26-54470-00000-00000</t>
  </si>
  <si>
    <t>00490</t>
  </si>
</sst>
</file>

<file path=xl/styles.xml><?xml version="1.0" encoding="utf-8"?>
<styleSheet xmlns="http://schemas.openxmlformats.org/spreadsheetml/2006/main">
  <numFmts count="1">
    <numFmt numFmtId="164" formatCode="\@"/>
  </numFmts>
  <fonts count="25">
    <font>
      <sz val="11"/>
      <color theme="1"/>
      <name val="Calibri"/>
      <family val="2"/>
      <charset val="204"/>
      <scheme val="minor"/>
    </font>
    <font>
      <sz val="10"/>
      <color rgb="FF000000"/>
      <name val="Arial Cyr"/>
    </font>
    <font>
      <sz val="10"/>
      <color rgb="FF008000"/>
      <name val="Arial Cyr"/>
    </font>
    <font>
      <b/>
      <sz val="10"/>
      <color rgb="FF000000"/>
      <name val="Arial Cyr&quot;, sans-serif"/>
    </font>
    <font>
      <sz val="10"/>
      <color theme="1" tint="0.499984740745262"/>
      <name val="Arial Cyr"/>
    </font>
    <font>
      <b/>
      <sz val="11"/>
      <color theme="0"/>
      <name val="Arial Cyr&quot;, sans-serif"/>
    </font>
    <font>
      <sz val="10"/>
      <color rgb="FFFF0000"/>
      <name val="Arial Cyr"/>
    </font>
    <font>
      <sz val="10"/>
      <color theme="3" tint="-0.499984740745262"/>
      <name val="Arial Cyr"/>
    </font>
    <font>
      <sz val="10"/>
      <color theme="1" tint="0.34998626667073579"/>
      <name val="Arial Cyr"/>
    </font>
    <font>
      <b/>
      <sz val="16"/>
      <color theme="0"/>
      <name val="Arial Cyr&quot;, sans-serif"/>
    </font>
    <font>
      <sz val="10"/>
      <color rgb="FF076F1B"/>
      <name val="Arial Cyr"/>
    </font>
    <font>
      <sz val="10"/>
      <color theme="1" tint="4.9989318521683403E-2"/>
      <name val="Arial Cyr"/>
    </font>
    <font>
      <b/>
      <sz val="10"/>
      <color theme="1" tint="4.9989318521683403E-2"/>
      <name val="Arial Cyr"/>
      <charset val="204"/>
    </font>
    <font>
      <b/>
      <sz val="10"/>
      <color theme="3" tint="-0.499984740745262"/>
      <name val="Arial Cyr"/>
      <charset val="204"/>
    </font>
    <font>
      <b/>
      <sz val="10"/>
      <color theme="1" tint="0.499984740745262"/>
      <name val="Arial Cyr"/>
      <charset val="204"/>
    </font>
    <font>
      <b/>
      <sz val="10"/>
      <color rgb="FF076F1B"/>
      <name val="Arial Cyr"/>
      <charset val="204"/>
    </font>
    <font>
      <b/>
      <i/>
      <sz val="14"/>
      <name val="Arial Cyr&quot;, sans-serif"/>
      <charset val="204"/>
    </font>
    <font>
      <b/>
      <i/>
      <sz val="10"/>
      <color rgb="FF000000"/>
      <name val="Arial Cyr&quot;, sans-serif"/>
      <charset val="204"/>
    </font>
    <font>
      <b/>
      <sz val="10"/>
      <color rgb="FFFF0000"/>
      <name val="Arial Cyr"/>
      <charset val="204"/>
    </font>
    <font>
      <sz val="10"/>
      <color theme="0" tint="-0.499984740745262"/>
      <name val="Arial Cyr"/>
    </font>
    <font>
      <b/>
      <sz val="10"/>
      <color theme="0" tint="-0.499984740745262"/>
      <name val="Arial Cyr"/>
    </font>
    <font>
      <sz val="10"/>
      <color theme="0" tint="-0.34998626667073579"/>
      <name val="Arial Cyr"/>
    </font>
    <font>
      <b/>
      <sz val="10"/>
      <color theme="0" tint="-0.499984740745262"/>
      <name val="Arial Cyr"/>
      <charset val="204"/>
    </font>
    <font>
      <b/>
      <sz val="10"/>
      <color rgb="FFFF0000"/>
      <name val="Arial Cyr"/>
    </font>
    <font>
      <b/>
      <sz val="10"/>
      <color theme="3" tint="-0.499984740745262"/>
      <name val="Arial Cyr"/>
    </font>
  </fonts>
  <fills count="14">
    <fill>
      <patternFill patternType="none"/>
    </fill>
    <fill>
      <patternFill patternType="gray125"/>
    </fill>
    <fill>
      <patternFill patternType="solid">
        <fgColor rgb="FF99CCFF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98A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2A36"/>
        <bgColor indexed="64"/>
      </patternFill>
    </fill>
    <fill>
      <patternFill patternType="solid">
        <fgColor rgb="FFEFF4FF"/>
        <bgColor indexed="64"/>
      </patternFill>
    </fill>
    <fill>
      <patternFill patternType="solid">
        <fgColor rgb="FFE5ED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BABA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 style="thin">
        <color theme="0" tint="-0.499984740745262"/>
      </bottom>
      <diagonal/>
    </border>
    <border>
      <left/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 style="medium">
        <color theme="1" tint="0.14999847407452621"/>
      </top>
      <bottom style="thin">
        <color theme="0" tint="-0.499984740745262"/>
      </bottom>
      <diagonal/>
    </border>
    <border>
      <left/>
      <right style="medium">
        <color theme="1" tint="0.14999847407452621"/>
      </right>
      <top style="medium">
        <color theme="1" tint="0.14999847407452621"/>
      </top>
      <bottom style="thin">
        <color theme="0" tint="-0.499984740745262"/>
      </bottom>
      <diagonal/>
    </border>
    <border>
      <left style="medium">
        <color theme="1" tint="0.1499984740745262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 tint="0.14999847407452621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1" tint="0.1499984740745262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1" tint="0.149998474074526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theme="1" tint="0.14999847407452621"/>
      </right>
      <top style="thin">
        <color theme="0" tint="-0.499984740745262"/>
      </top>
      <bottom style="medium">
        <color theme="1" tint="0.14999847407452621"/>
      </bottom>
      <diagonal/>
    </border>
    <border>
      <left style="medium">
        <color theme="1" tint="0.14999847407452621"/>
      </left>
      <right style="thin">
        <color theme="0" tint="-0.499984740745262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theme="1" tint="0.14999847407452621"/>
      </right>
      <top style="medium">
        <color theme="1" tint="0.14999847407452621"/>
      </top>
      <bottom style="medium">
        <color theme="1" tint="0.14999847407452621"/>
      </bottom>
      <diagonal/>
    </border>
    <border>
      <left/>
      <right/>
      <top style="medium">
        <color theme="1" tint="0.14999847407452621"/>
      </top>
      <bottom style="medium">
        <color theme="1" tint="0.14999847407452621"/>
      </bottom>
      <diagonal/>
    </border>
    <border>
      <left/>
      <right style="medium">
        <color theme="1" tint="0.14999847407452621"/>
      </right>
      <top style="medium">
        <color theme="1" tint="0.14999847407452621"/>
      </top>
      <bottom style="medium">
        <color theme="1" tint="0.14999847407452621"/>
      </bottom>
      <diagonal/>
    </border>
    <border>
      <left style="medium">
        <color theme="1" tint="0.14999847407452621"/>
      </left>
      <right style="medium">
        <color theme="1" tint="0.14999847407452621"/>
      </right>
      <top style="medium">
        <color theme="1" tint="0.14999847407452621"/>
      </top>
      <bottom style="medium">
        <color theme="1" tint="0.14999847407452621"/>
      </bottom>
      <diagonal/>
    </border>
    <border>
      <left style="medium">
        <color theme="1" tint="0.14999847407452621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1"/>
      </bottom>
      <diagonal/>
    </border>
    <border>
      <left style="medium">
        <color theme="1" tint="0.14999847407452621"/>
      </left>
      <right style="medium">
        <color theme="1" tint="0.14999847407452621"/>
      </right>
      <top style="medium">
        <color theme="1" tint="0.14999847407452621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ck">
        <color theme="3" tint="-0.499984740745262"/>
      </left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theme="1" tint="0.1499984740745262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indexed="64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1" tint="0.14999847407452621"/>
      </right>
      <top style="thin">
        <color theme="0" tint="-0.499984740745262"/>
      </top>
      <bottom/>
      <diagonal/>
    </border>
  </borders>
  <cellStyleXfs count="5">
    <xf numFmtId="0" fontId="0" fillId="0" borderId="0"/>
    <xf numFmtId="164" fontId="1" fillId="0" borderId="1">
      <alignment vertical="top" wrapText="1"/>
    </xf>
    <xf numFmtId="4" fontId="2" fillId="0" borderId="1">
      <alignment vertical="top" shrinkToFit="1"/>
    </xf>
    <xf numFmtId="0" fontId="3" fillId="2" borderId="1">
      <alignment horizontal="center" vertical="center" wrapText="1"/>
    </xf>
    <xf numFmtId="0" fontId="3" fillId="2" borderId="1">
      <alignment horizontal="center" vertical="center" wrapText="1"/>
    </xf>
  </cellStyleXfs>
  <cellXfs count="161">
    <xf numFmtId="0" fontId="0" fillId="0" borderId="0" xfId="0"/>
    <xf numFmtId="0" fontId="5" fillId="4" borderId="2" xfId="3" applyFont="1" applyFill="1" applyBorder="1" applyAlignment="1">
      <alignment horizontal="center" vertical="center" wrapText="1"/>
    </xf>
    <xf numFmtId="0" fontId="5" fillId="4" borderId="3" xfId="3" applyFont="1" applyFill="1" applyBorder="1" applyAlignment="1">
      <alignment horizontal="center" vertical="center" wrapText="1"/>
    </xf>
    <xf numFmtId="0" fontId="5" fillId="4" borderId="3" xfId="4" applyFont="1" applyFill="1" applyBorder="1" applyAlignment="1">
      <alignment horizontal="center" vertical="center" wrapText="1"/>
    </xf>
    <xf numFmtId="0" fontId="5" fillId="4" borderId="4" xfId="4" applyFont="1" applyFill="1" applyBorder="1" applyAlignment="1">
      <alignment horizontal="center" vertical="center" wrapText="1"/>
    </xf>
    <xf numFmtId="49" fontId="8" fillId="9" borderId="8" xfId="1" applyNumberFormat="1" applyFont="1" applyFill="1" applyBorder="1" applyAlignment="1">
      <alignment vertical="top" wrapText="1"/>
    </xf>
    <xf numFmtId="49" fontId="1" fillId="9" borderId="8" xfId="1" quotePrefix="1" applyNumberFormat="1" applyFill="1" applyBorder="1" applyAlignment="1">
      <alignment vertical="top" wrapText="1"/>
    </xf>
    <xf numFmtId="4" fontId="7" fillId="6" borderId="8" xfId="2" applyFont="1" applyFill="1" applyBorder="1" applyAlignment="1">
      <alignment vertical="top" shrinkToFit="1"/>
    </xf>
    <xf numFmtId="4" fontId="4" fillId="6" borderId="8" xfId="2" applyFont="1" applyFill="1" applyBorder="1" applyAlignment="1">
      <alignment vertical="top" shrinkToFit="1"/>
    </xf>
    <xf numFmtId="4" fontId="4" fillId="9" borderId="8" xfId="2" applyFont="1" applyFill="1" applyBorder="1" applyAlignment="1">
      <alignment vertical="top" shrinkToFit="1"/>
    </xf>
    <xf numFmtId="4" fontId="7" fillId="9" borderId="8" xfId="2" applyFont="1" applyFill="1" applyBorder="1" applyAlignment="1">
      <alignment vertical="top" shrinkToFit="1"/>
    </xf>
    <xf numFmtId="49" fontId="8" fillId="9" borderId="8" xfId="1" quotePrefix="1" applyNumberFormat="1" applyFont="1" applyFill="1" applyBorder="1" applyAlignment="1">
      <alignment vertical="top" wrapText="1"/>
    </xf>
    <xf numFmtId="4" fontId="4" fillId="8" borderId="8" xfId="2" applyFont="1" applyFill="1" applyBorder="1" applyAlignment="1">
      <alignment vertical="top" shrinkToFit="1"/>
    </xf>
    <xf numFmtId="4" fontId="7" fillId="8" borderId="8" xfId="2" applyFont="1" applyFill="1" applyBorder="1" applyAlignment="1">
      <alignment vertical="top" shrinkToFit="1"/>
    </xf>
    <xf numFmtId="49" fontId="8" fillId="10" borderId="8" xfId="1" applyNumberFormat="1" applyFont="1" applyFill="1" applyBorder="1" applyAlignment="1">
      <alignment vertical="top" wrapText="1"/>
    </xf>
    <xf numFmtId="49" fontId="8" fillId="10" borderId="8" xfId="1" quotePrefix="1" applyNumberFormat="1" applyFont="1" applyFill="1" applyBorder="1" applyAlignment="1">
      <alignment vertical="top" wrapText="1"/>
    </xf>
    <xf numFmtId="49" fontId="1" fillId="10" borderId="8" xfId="1" quotePrefix="1" applyNumberFormat="1" applyFill="1" applyBorder="1" applyAlignment="1">
      <alignment vertical="top" wrapText="1"/>
    </xf>
    <xf numFmtId="4" fontId="4" fillId="10" borderId="8" xfId="2" applyFont="1" applyFill="1" applyBorder="1" applyAlignment="1">
      <alignment vertical="top" shrinkToFit="1"/>
    </xf>
    <xf numFmtId="4" fontId="11" fillId="6" borderId="8" xfId="2" applyFont="1" applyFill="1" applyBorder="1" applyAlignment="1">
      <alignment vertical="top" shrinkToFit="1"/>
    </xf>
    <xf numFmtId="49" fontId="8" fillId="9" borderId="11" xfId="1" applyNumberFormat="1" applyFont="1" applyFill="1" applyBorder="1" applyAlignment="1">
      <alignment vertical="top" wrapText="1"/>
    </xf>
    <xf numFmtId="4" fontId="4" fillId="6" borderId="12" xfId="2" applyFont="1" applyFill="1" applyBorder="1" applyAlignment="1">
      <alignment vertical="top" shrinkToFit="1"/>
    </xf>
    <xf numFmtId="4" fontId="10" fillId="6" borderId="12" xfId="2" applyFont="1" applyFill="1" applyBorder="1" applyAlignment="1">
      <alignment vertical="top" shrinkToFit="1"/>
    </xf>
    <xf numFmtId="4" fontId="13" fillId="6" borderId="14" xfId="2" applyFont="1" applyFill="1" applyBorder="1" applyAlignment="1">
      <alignment vertical="top" shrinkToFit="1"/>
    </xf>
    <xf numFmtId="4" fontId="15" fillId="6" borderId="15" xfId="2" applyFont="1" applyFill="1" applyBorder="1" applyAlignment="1">
      <alignment vertical="top" shrinkToFit="1"/>
    </xf>
    <xf numFmtId="4" fontId="13" fillId="8" borderId="14" xfId="2" applyFont="1" applyFill="1" applyBorder="1" applyAlignment="1">
      <alignment vertical="top" shrinkToFit="1"/>
    </xf>
    <xf numFmtId="4" fontId="11" fillId="10" borderId="8" xfId="2" applyFont="1" applyFill="1" applyBorder="1" applyAlignment="1">
      <alignment vertical="top" shrinkToFit="1"/>
    </xf>
    <xf numFmtId="49" fontId="8" fillId="10" borderId="19" xfId="1" applyNumberFormat="1" applyFont="1" applyFill="1" applyBorder="1" applyAlignment="1">
      <alignment vertical="top" wrapText="1"/>
    </xf>
    <xf numFmtId="4" fontId="4" fillId="6" borderId="20" xfId="2" applyFont="1" applyFill="1" applyBorder="1" applyAlignment="1">
      <alignment vertical="top" shrinkToFit="1"/>
    </xf>
    <xf numFmtId="4" fontId="14" fillId="6" borderId="23" xfId="2" applyFont="1" applyFill="1" applyBorder="1" applyAlignment="1">
      <alignment vertical="top" shrinkToFit="1"/>
    </xf>
    <xf numFmtId="4" fontId="12" fillId="6" borderId="23" xfId="2" applyFont="1" applyFill="1" applyBorder="1" applyAlignment="1">
      <alignment vertical="top" shrinkToFit="1"/>
    </xf>
    <xf numFmtId="4" fontId="14" fillId="10" borderId="23" xfId="2" applyFont="1" applyFill="1" applyBorder="1" applyAlignment="1">
      <alignment vertical="top" shrinkToFit="1"/>
    </xf>
    <xf numFmtId="4" fontId="14" fillId="6" borderId="24" xfId="2" applyFont="1" applyFill="1" applyBorder="1" applyAlignment="1">
      <alignment vertical="top" shrinkToFit="1"/>
    </xf>
    <xf numFmtId="4" fontId="12" fillId="10" borderId="23" xfId="2" applyFont="1" applyFill="1" applyBorder="1" applyAlignment="1">
      <alignment vertical="top" shrinkToFit="1"/>
    </xf>
    <xf numFmtId="4" fontId="10" fillId="6" borderId="20" xfId="2" applyFont="1" applyFill="1" applyBorder="1" applyAlignment="1">
      <alignment vertical="top" shrinkToFit="1"/>
    </xf>
    <xf numFmtId="4" fontId="15" fillId="6" borderId="24" xfId="2" applyFont="1" applyFill="1" applyBorder="1" applyAlignment="1">
      <alignment vertical="top" shrinkToFit="1"/>
    </xf>
    <xf numFmtId="4" fontId="12" fillId="6" borderId="25" xfId="2" applyFont="1" applyFill="1" applyBorder="1" applyAlignment="1">
      <alignment horizontal="right" vertical="center" shrinkToFit="1"/>
    </xf>
    <xf numFmtId="4" fontId="12" fillId="6" borderId="26" xfId="2" applyFont="1" applyFill="1" applyBorder="1" applyAlignment="1">
      <alignment horizontal="right" vertical="center" shrinkToFit="1"/>
    </xf>
    <xf numFmtId="4" fontId="12" fillId="10" borderId="26" xfId="2" applyFont="1" applyFill="1" applyBorder="1" applyAlignment="1">
      <alignment horizontal="right" vertical="center" shrinkToFit="1"/>
    </xf>
    <xf numFmtId="4" fontId="18" fillId="6" borderId="27" xfId="2" applyFont="1" applyFill="1" applyBorder="1" applyAlignment="1">
      <alignment horizontal="right" vertical="center" shrinkToFit="1"/>
    </xf>
    <xf numFmtId="0" fontId="0" fillId="3" borderId="0" xfId="0" applyFill="1" applyAlignment="1">
      <alignment horizontal="right" vertical="center"/>
    </xf>
    <xf numFmtId="4" fontId="15" fillId="6" borderId="23" xfId="2" applyFont="1" applyFill="1" applyBorder="1" applyAlignment="1">
      <alignment horizontal="right" vertical="center" shrinkToFit="1"/>
    </xf>
    <xf numFmtId="4" fontId="4" fillId="10" borderId="39" xfId="2" applyFont="1" applyFill="1" applyBorder="1" applyAlignment="1">
      <alignment vertical="top" shrinkToFit="1"/>
    </xf>
    <xf numFmtId="4" fontId="14" fillId="10" borderId="22" xfId="2" applyFont="1" applyFill="1" applyBorder="1" applyAlignment="1">
      <alignment vertical="top" shrinkToFit="1"/>
    </xf>
    <xf numFmtId="4" fontId="10" fillId="6" borderId="40" xfId="2" applyFont="1" applyFill="1" applyBorder="1" applyAlignment="1">
      <alignment vertical="top" shrinkToFit="1"/>
    </xf>
    <xf numFmtId="4" fontId="15" fillId="6" borderId="38" xfId="2" applyFont="1" applyFill="1" applyBorder="1" applyAlignment="1">
      <alignment vertical="top" shrinkToFit="1"/>
    </xf>
    <xf numFmtId="4" fontId="4" fillId="6" borderId="40" xfId="2" applyFont="1" applyFill="1" applyBorder="1" applyAlignment="1">
      <alignment vertical="top" shrinkToFit="1"/>
    </xf>
    <xf numFmtId="4" fontId="6" fillId="6" borderId="40" xfId="2" applyFont="1" applyFill="1" applyBorder="1" applyAlignment="1">
      <alignment vertical="top" shrinkToFit="1"/>
    </xf>
    <xf numFmtId="4" fontId="18" fillId="6" borderId="38" xfId="2" applyFont="1" applyFill="1" applyBorder="1" applyAlignment="1">
      <alignment vertical="top" shrinkToFit="1"/>
    </xf>
    <xf numFmtId="4" fontId="14" fillId="6" borderId="22" xfId="2" applyFont="1" applyFill="1" applyBorder="1" applyAlignment="1">
      <alignment vertical="top" shrinkToFit="1"/>
    </xf>
    <xf numFmtId="4" fontId="11" fillId="10" borderId="39" xfId="2" applyFont="1" applyFill="1" applyBorder="1" applyAlignment="1">
      <alignment vertical="top" shrinkToFit="1"/>
    </xf>
    <xf numFmtId="4" fontId="12" fillId="10" borderId="22" xfId="2" applyFont="1" applyFill="1" applyBorder="1" applyAlignment="1">
      <alignment vertical="top" shrinkToFit="1"/>
    </xf>
    <xf numFmtId="4" fontId="12" fillId="10" borderId="41" xfId="2" applyFont="1" applyFill="1" applyBorder="1" applyAlignment="1">
      <alignment horizontal="right" vertical="center" shrinkToFit="1"/>
    </xf>
    <xf numFmtId="4" fontId="18" fillId="6" borderId="42" xfId="2" applyFont="1" applyFill="1" applyBorder="1" applyAlignment="1">
      <alignment horizontal="right" vertical="center" shrinkToFit="1"/>
    </xf>
    <xf numFmtId="4" fontId="15" fillId="6" borderId="38" xfId="2" applyFont="1" applyFill="1" applyBorder="1" applyAlignment="1">
      <alignment horizontal="right" vertical="center" shrinkToFit="1"/>
    </xf>
    <xf numFmtId="4" fontId="4" fillId="9" borderId="39" xfId="2" applyFont="1" applyFill="1" applyBorder="1" applyAlignment="1">
      <alignment vertical="top" shrinkToFit="1"/>
    </xf>
    <xf numFmtId="4" fontId="7" fillId="9" borderId="39" xfId="2" applyFont="1" applyFill="1" applyBorder="1" applyAlignment="1">
      <alignment vertical="top" shrinkToFit="1"/>
    </xf>
    <xf numFmtId="4" fontId="15" fillId="6" borderId="43" xfId="2" applyFont="1" applyFill="1" applyBorder="1" applyAlignment="1">
      <alignment vertical="top" shrinkToFit="1"/>
    </xf>
    <xf numFmtId="4" fontId="13" fillId="8" borderId="35" xfId="2" applyFont="1" applyFill="1" applyBorder="1" applyAlignment="1">
      <alignment vertical="top" shrinkToFit="1"/>
    </xf>
    <xf numFmtId="4" fontId="4" fillId="8" borderId="39" xfId="2" applyFont="1" applyFill="1" applyBorder="1" applyAlignment="1">
      <alignment vertical="top" shrinkToFit="1"/>
    </xf>
    <xf numFmtId="4" fontId="7" fillId="8" borderId="39" xfId="2" applyFont="1" applyFill="1" applyBorder="1" applyAlignment="1">
      <alignment vertical="top" shrinkToFit="1"/>
    </xf>
    <xf numFmtId="4" fontId="4" fillId="6" borderId="39" xfId="2" applyFont="1" applyFill="1" applyBorder="1" applyAlignment="1">
      <alignment vertical="top" shrinkToFit="1"/>
    </xf>
    <xf numFmtId="4" fontId="7" fillId="6" borderId="39" xfId="2" applyFont="1" applyFill="1" applyBorder="1" applyAlignment="1">
      <alignment vertical="top" shrinkToFit="1"/>
    </xf>
    <xf numFmtId="4" fontId="13" fillId="6" borderId="35" xfId="2" applyFont="1" applyFill="1" applyBorder="1" applyAlignment="1">
      <alignment vertical="top" shrinkToFit="1"/>
    </xf>
    <xf numFmtId="4" fontId="4" fillId="9" borderId="40" xfId="2" applyFont="1" applyFill="1" applyBorder="1" applyAlignment="1">
      <alignment vertical="top" shrinkToFit="1"/>
    </xf>
    <xf numFmtId="4" fontId="10" fillId="9" borderId="40" xfId="2" applyFont="1" applyFill="1" applyBorder="1" applyAlignment="1">
      <alignment vertical="top" shrinkToFit="1"/>
    </xf>
    <xf numFmtId="4" fontId="15" fillId="8" borderId="43" xfId="2" applyFont="1" applyFill="1" applyBorder="1" applyAlignment="1">
      <alignment vertical="top" shrinkToFit="1"/>
    </xf>
    <xf numFmtId="4" fontId="4" fillId="8" borderId="40" xfId="2" applyFont="1" applyFill="1" applyBorder="1" applyAlignment="1">
      <alignment vertical="top" shrinkToFit="1"/>
    </xf>
    <xf numFmtId="4" fontId="10" fillId="8" borderId="40" xfId="2" applyFont="1" applyFill="1" applyBorder="1" applyAlignment="1">
      <alignment vertical="top" shrinkToFit="1"/>
    </xf>
    <xf numFmtId="4" fontId="4" fillId="10" borderId="40" xfId="2" applyFont="1" applyFill="1" applyBorder="1" applyAlignment="1">
      <alignment vertical="top" shrinkToFit="1"/>
    </xf>
    <xf numFmtId="4" fontId="14" fillId="10" borderId="38" xfId="2" applyFont="1" applyFill="1" applyBorder="1" applyAlignment="1">
      <alignment vertical="top" shrinkToFit="1"/>
    </xf>
    <xf numFmtId="4" fontId="10" fillId="10" borderId="40" xfId="2" applyFont="1" applyFill="1" applyBorder="1" applyAlignment="1">
      <alignment vertical="top" shrinkToFit="1"/>
    </xf>
    <xf numFmtId="4" fontId="15" fillId="10" borderId="38" xfId="2" applyFont="1" applyFill="1" applyBorder="1" applyAlignment="1">
      <alignment vertical="top" shrinkToFit="1"/>
    </xf>
    <xf numFmtId="4" fontId="11" fillId="6" borderId="39" xfId="2" applyFont="1" applyFill="1" applyBorder="1" applyAlignment="1">
      <alignment vertical="top" shrinkToFit="1"/>
    </xf>
    <xf numFmtId="4" fontId="12" fillId="6" borderId="22" xfId="2" applyFont="1" applyFill="1" applyBorder="1" applyAlignment="1">
      <alignment vertical="top" shrinkToFit="1"/>
    </xf>
    <xf numFmtId="4" fontId="6" fillId="10" borderId="40" xfId="2" applyFont="1" applyFill="1" applyBorder="1" applyAlignment="1">
      <alignment vertical="top" shrinkToFit="1"/>
    </xf>
    <xf numFmtId="4" fontId="18" fillId="10" borderId="38" xfId="2" applyFont="1" applyFill="1" applyBorder="1" applyAlignment="1">
      <alignment vertical="top" shrinkToFit="1"/>
    </xf>
    <xf numFmtId="4" fontId="12" fillId="6" borderId="41" xfId="2" applyFont="1" applyFill="1" applyBorder="1" applyAlignment="1">
      <alignment horizontal="right" vertical="center" shrinkToFit="1"/>
    </xf>
    <xf numFmtId="4" fontId="15" fillId="10" borderId="38" xfId="2" applyFont="1" applyFill="1" applyBorder="1" applyAlignment="1">
      <alignment vertical="center" shrinkToFit="1"/>
    </xf>
    <xf numFmtId="4" fontId="19" fillId="6" borderId="8" xfId="2" applyFont="1" applyFill="1" applyBorder="1" applyAlignment="1">
      <alignment vertical="top" shrinkToFit="1"/>
    </xf>
    <xf numFmtId="4" fontId="20" fillId="6" borderId="14" xfId="2" applyFont="1" applyFill="1" applyBorder="1" applyAlignment="1">
      <alignment vertical="top" shrinkToFit="1"/>
    </xf>
    <xf numFmtId="4" fontId="13" fillId="9" borderId="8" xfId="2" applyFont="1" applyFill="1" applyBorder="1" applyAlignment="1">
      <alignment vertical="top" shrinkToFit="1"/>
    </xf>
    <xf numFmtId="0" fontId="0" fillId="3" borderId="0" xfId="0" applyFill="1"/>
    <xf numFmtId="4" fontId="7" fillId="6" borderId="45" xfId="2" applyFont="1" applyFill="1" applyBorder="1" applyAlignment="1">
      <alignment vertical="top" shrinkToFit="1"/>
    </xf>
    <xf numFmtId="4" fontId="4" fillId="6" borderId="45" xfId="2" applyFont="1" applyFill="1" applyBorder="1" applyAlignment="1">
      <alignment vertical="top" shrinkToFit="1"/>
    </xf>
    <xf numFmtId="4" fontId="7" fillId="9" borderId="44" xfId="2" applyFont="1" applyFill="1" applyBorder="1" applyAlignment="1">
      <alignment vertical="top" shrinkToFit="1"/>
    </xf>
    <xf numFmtId="4" fontId="7" fillId="6" borderId="44" xfId="2" applyFont="1" applyFill="1" applyBorder="1" applyAlignment="1">
      <alignment vertical="top" shrinkToFit="1"/>
    </xf>
    <xf numFmtId="4" fontId="19" fillId="6" borderId="45" xfId="2" applyFont="1" applyFill="1" applyBorder="1" applyAlignment="1">
      <alignment vertical="top" shrinkToFit="1"/>
    </xf>
    <xf numFmtId="49" fontId="12" fillId="10" borderId="31" xfId="1" applyNumberFormat="1" applyFont="1" applyFill="1" applyBorder="1" applyAlignment="1">
      <alignment horizontal="right" vertical="top" wrapText="1"/>
    </xf>
    <xf numFmtId="0" fontId="0" fillId="0" borderId="21" xfId="0" applyBorder="1"/>
    <xf numFmtId="0" fontId="0" fillId="0" borderId="22" xfId="0" applyBorder="1"/>
    <xf numFmtId="0" fontId="17" fillId="11" borderId="32" xfId="3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0" fontId="16" fillId="5" borderId="37" xfId="3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16" xfId="0" applyBorder="1"/>
    <xf numFmtId="49" fontId="12" fillId="10" borderId="30" xfId="1" applyNumberFormat="1" applyFont="1" applyFill="1" applyBorder="1" applyAlignment="1">
      <alignment horizontal="right" vertical="center" wrapText="1"/>
    </xf>
    <xf numFmtId="0" fontId="0" fillId="0" borderId="28" xfId="0" applyBorder="1"/>
    <xf numFmtId="0" fontId="0" fillId="0" borderId="29" xfId="0" applyBorder="1"/>
    <xf numFmtId="0" fontId="16" fillId="5" borderId="36" xfId="3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49" fontId="12" fillId="9" borderId="13" xfId="1" applyNumberFormat="1" applyFont="1" applyFill="1" applyBorder="1" applyAlignment="1">
      <alignment horizontal="right" vertical="top" wrapText="1"/>
    </xf>
    <xf numFmtId="0" fontId="0" fillId="0" borderId="34" xfId="0" applyBorder="1"/>
    <xf numFmtId="0" fontId="0" fillId="0" borderId="35" xfId="0" applyBorder="1"/>
    <xf numFmtId="0" fontId="9" fillId="7" borderId="5" xfId="3" applyFont="1" applyFill="1" applyBorder="1" applyAlignment="1">
      <alignment horizontal="center" vertical="center" wrapText="1"/>
    </xf>
    <xf numFmtId="0" fontId="0" fillId="0" borderId="6" xfId="0" applyBorder="1"/>
    <xf numFmtId="0" fontId="9" fillId="7" borderId="33" xfId="3" applyFont="1" applyFill="1" applyBorder="1" applyAlignment="1">
      <alignment horizontal="center" vertical="center" wrapText="1"/>
    </xf>
    <xf numFmtId="0" fontId="0" fillId="0" borderId="7" xfId="0" applyBorder="1"/>
    <xf numFmtId="4" fontId="21" fillId="6" borderId="8" xfId="2" applyFont="1" applyFill="1" applyBorder="1" applyAlignment="1">
      <alignment vertical="top" shrinkToFit="1"/>
    </xf>
    <xf numFmtId="4" fontId="15" fillId="6" borderId="40" xfId="2" applyFont="1" applyFill="1" applyBorder="1" applyAlignment="1">
      <alignment vertical="top" shrinkToFit="1"/>
    </xf>
    <xf numFmtId="4" fontId="19" fillId="9" borderId="39" xfId="2" applyFont="1" applyFill="1" applyBorder="1" applyAlignment="1">
      <alignment vertical="top" shrinkToFit="1"/>
    </xf>
    <xf numFmtId="4" fontId="19" fillId="9" borderId="8" xfId="2" applyFont="1" applyFill="1" applyBorder="1" applyAlignment="1">
      <alignment vertical="top" shrinkToFit="1"/>
    </xf>
    <xf numFmtId="4" fontId="19" fillId="9" borderId="40" xfId="2" applyFont="1" applyFill="1" applyBorder="1" applyAlignment="1">
      <alignment vertical="top" shrinkToFit="1"/>
    </xf>
    <xf numFmtId="4" fontId="19" fillId="9" borderId="45" xfId="2" applyFont="1" applyFill="1" applyBorder="1" applyAlignment="1">
      <alignment vertical="top" shrinkToFit="1"/>
    </xf>
    <xf numFmtId="4" fontId="13" fillId="9" borderId="44" xfId="2" applyFont="1" applyFill="1" applyBorder="1" applyAlignment="1">
      <alignment vertical="top" shrinkToFit="1"/>
    </xf>
    <xf numFmtId="4" fontId="15" fillId="9" borderId="40" xfId="2" applyFont="1" applyFill="1" applyBorder="1" applyAlignment="1">
      <alignment vertical="top" shrinkToFit="1"/>
    </xf>
    <xf numFmtId="4" fontId="19" fillId="6" borderId="40" xfId="2" applyFont="1" applyFill="1" applyBorder="1" applyAlignment="1">
      <alignment vertical="top" shrinkToFit="1"/>
    </xf>
    <xf numFmtId="4" fontId="20" fillId="6" borderId="43" xfId="2" applyFont="1" applyFill="1" applyBorder="1" applyAlignment="1">
      <alignment vertical="top" shrinkToFit="1"/>
    </xf>
    <xf numFmtId="4" fontId="20" fillId="9" borderId="35" xfId="2" applyFont="1" applyFill="1" applyBorder="1" applyAlignment="1">
      <alignment vertical="top" shrinkToFit="1"/>
    </xf>
    <xf numFmtId="4" fontId="20" fillId="9" borderId="14" xfId="2" applyFont="1" applyFill="1" applyBorder="1" applyAlignment="1">
      <alignment vertical="top" shrinkToFit="1"/>
    </xf>
    <xf numFmtId="4" fontId="20" fillId="9" borderId="43" xfId="2" applyFont="1" applyFill="1" applyBorder="1" applyAlignment="1">
      <alignment vertical="top" shrinkToFit="1"/>
    </xf>
    <xf numFmtId="4" fontId="19" fillId="6" borderId="39" xfId="2" applyFont="1" applyFill="1" applyBorder="1" applyAlignment="1">
      <alignment vertical="top" shrinkToFit="1"/>
    </xf>
    <xf numFmtId="4" fontId="19" fillId="6" borderId="12" xfId="2" applyFont="1" applyFill="1" applyBorder="1" applyAlignment="1">
      <alignment vertical="top" shrinkToFit="1"/>
    </xf>
    <xf numFmtId="4" fontId="20" fillId="6" borderId="35" xfId="2" applyFont="1" applyFill="1" applyBorder="1" applyAlignment="1">
      <alignment vertical="top" shrinkToFit="1"/>
    </xf>
    <xf numFmtId="4" fontId="20" fillId="6" borderId="15" xfId="2" applyFont="1" applyFill="1" applyBorder="1" applyAlignment="1">
      <alignment vertical="top" shrinkToFit="1"/>
    </xf>
    <xf numFmtId="4" fontId="19" fillId="8" borderId="8" xfId="2" applyFont="1" applyFill="1" applyBorder="1" applyAlignment="1">
      <alignment vertical="top" shrinkToFit="1"/>
    </xf>
    <xf numFmtId="4" fontId="19" fillId="8" borderId="40" xfId="2" applyFont="1" applyFill="1" applyBorder="1" applyAlignment="1">
      <alignment vertical="top" shrinkToFit="1"/>
    </xf>
    <xf numFmtId="4" fontId="19" fillId="8" borderId="39" xfId="2" applyFont="1" applyFill="1" applyBorder="1" applyAlignment="1">
      <alignment vertical="top" shrinkToFit="1"/>
    </xf>
    <xf numFmtId="4" fontId="11" fillId="6" borderId="45" xfId="2" applyFont="1" applyFill="1" applyBorder="1" applyAlignment="1">
      <alignment vertical="top" shrinkToFit="1"/>
    </xf>
    <xf numFmtId="4" fontId="10" fillId="6" borderId="46" xfId="2" applyFont="1" applyFill="1" applyBorder="1" applyAlignment="1">
      <alignment vertical="top" shrinkToFit="1"/>
    </xf>
    <xf numFmtId="4" fontId="22" fillId="6" borderId="23" xfId="2" applyFont="1" applyFill="1" applyBorder="1" applyAlignment="1">
      <alignment vertical="top" shrinkToFit="1"/>
    </xf>
    <xf numFmtId="4" fontId="15" fillId="6" borderId="46" xfId="2" applyFont="1" applyFill="1" applyBorder="1" applyAlignment="1">
      <alignment vertical="top" shrinkToFit="1"/>
    </xf>
    <xf numFmtId="4" fontId="19" fillId="10" borderId="39" xfId="2" applyFont="1" applyFill="1" applyBorder="1" applyAlignment="1">
      <alignment vertical="top" shrinkToFit="1"/>
    </xf>
    <xf numFmtId="4" fontId="19" fillId="10" borderId="8" xfId="2" applyFont="1" applyFill="1" applyBorder="1" applyAlignment="1">
      <alignment vertical="top" shrinkToFit="1"/>
    </xf>
    <xf numFmtId="4" fontId="19" fillId="10" borderId="40" xfId="2" applyFont="1" applyFill="1" applyBorder="1" applyAlignment="1">
      <alignment vertical="top" shrinkToFit="1"/>
    </xf>
    <xf numFmtId="4" fontId="19" fillId="6" borderId="20" xfId="2" applyFont="1" applyFill="1" applyBorder="1" applyAlignment="1">
      <alignment vertical="top" shrinkToFit="1"/>
    </xf>
    <xf numFmtId="4" fontId="19" fillId="10" borderId="44" xfId="2" applyFont="1" applyFill="1" applyBorder="1" applyAlignment="1">
      <alignment vertical="top" shrinkToFit="1"/>
    </xf>
    <xf numFmtId="4" fontId="19" fillId="10" borderId="45" xfId="2" applyFont="1" applyFill="1" applyBorder="1" applyAlignment="1">
      <alignment vertical="top" shrinkToFit="1"/>
    </xf>
    <xf numFmtId="4" fontId="19" fillId="6" borderId="44" xfId="2" applyFont="1" applyFill="1" applyBorder="1" applyAlignment="1">
      <alignment vertical="top" shrinkToFit="1"/>
    </xf>
    <xf numFmtId="4" fontId="20" fillId="6" borderId="23" xfId="2" applyFont="1" applyFill="1" applyBorder="1" applyAlignment="1">
      <alignment vertical="top" shrinkToFit="1"/>
    </xf>
    <xf numFmtId="4" fontId="22" fillId="10" borderId="46" xfId="2" applyFont="1" applyFill="1" applyBorder="1" applyAlignment="1">
      <alignment vertical="top" shrinkToFit="1"/>
    </xf>
    <xf numFmtId="4" fontId="22" fillId="6" borderId="47" xfId="2" applyFont="1" applyFill="1" applyBorder="1" applyAlignment="1">
      <alignment vertical="top" shrinkToFit="1"/>
    </xf>
    <xf numFmtId="4" fontId="23" fillId="6" borderId="38" xfId="2" applyFont="1" applyFill="1" applyBorder="1" applyAlignment="1">
      <alignment vertical="top" shrinkToFit="1"/>
    </xf>
    <xf numFmtId="4" fontId="7" fillId="10" borderId="39" xfId="2" applyFont="1" applyFill="1" applyBorder="1" applyAlignment="1">
      <alignment vertical="top" shrinkToFit="1"/>
    </xf>
    <xf numFmtId="4" fontId="13" fillId="10" borderId="22" xfId="2" applyFont="1" applyFill="1" applyBorder="1" applyAlignment="1">
      <alignment vertical="top" shrinkToFit="1"/>
    </xf>
    <xf numFmtId="4" fontId="7" fillId="10" borderId="8" xfId="2" applyFont="1" applyFill="1" applyBorder="1" applyAlignment="1">
      <alignment vertical="top" shrinkToFit="1"/>
    </xf>
    <xf numFmtId="4" fontId="24" fillId="10" borderId="23" xfId="2" applyFont="1" applyFill="1" applyBorder="1" applyAlignment="1">
      <alignment vertical="top" shrinkToFit="1"/>
    </xf>
    <xf numFmtId="4" fontId="15" fillId="13" borderId="38" xfId="2" applyFont="1" applyFill="1" applyBorder="1" applyAlignment="1">
      <alignment vertical="top" shrinkToFit="1"/>
    </xf>
    <xf numFmtId="4" fontId="20" fillId="6" borderId="22" xfId="2" applyFont="1" applyFill="1" applyBorder="1" applyAlignment="1">
      <alignment vertical="top" shrinkToFit="1"/>
    </xf>
    <xf numFmtId="4" fontId="20" fillId="6" borderId="24" xfId="2" applyFont="1" applyFill="1" applyBorder="1" applyAlignment="1">
      <alignment vertical="top" shrinkToFit="1"/>
    </xf>
    <xf numFmtId="4" fontId="14" fillId="12" borderId="22" xfId="2" applyFont="1" applyFill="1" applyBorder="1" applyAlignment="1">
      <alignment vertical="top" shrinkToFit="1"/>
    </xf>
    <xf numFmtId="4" fontId="14" fillId="12" borderId="23" xfId="2" applyFont="1" applyFill="1" applyBorder="1" applyAlignment="1">
      <alignment vertical="top" shrinkToFit="1"/>
    </xf>
    <xf numFmtId="4" fontId="14" fillId="12" borderId="38" xfId="2" applyFont="1" applyFill="1" applyBorder="1" applyAlignment="1">
      <alignment vertical="top" shrinkToFit="1"/>
    </xf>
    <xf numFmtId="4" fontId="22" fillId="10" borderId="22" xfId="2" applyFont="1" applyFill="1" applyBorder="1" applyAlignment="1">
      <alignment vertical="top" shrinkToFit="1"/>
    </xf>
    <xf numFmtId="4" fontId="20" fillId="10" borderId="22" xfId="2" applyFont="1" applyFill="1" applyBorder="1" applyAlignment="1">
      <alignment vertical="top" shrinkToFit="1"/>
    </xf>
    <xf numFmtId="4" fontId="20" fillId="10" borderId="23" xfId="2" applyFont="1" applyFill="1" applyBorder="1" applyAlignment="1">
      <alignment vertical="top" shrinkToFit="1"/>
    </xf>
    <xf numFmtId="4" fontId="20" fillId="10" borderId="38" xfId="2" applyFont="1" applyFill="1" applyBorder="1" applyAlignment="1">
      <alignment vertical="top" shrinkToFit="1"/>
    </xf>
    <xf numFmtId="4" fontId="13" fillId="6" borderId="23" xfId="2" applyFont="1" applyFill="1" applyBorder="1" applyAlignment="1">
      <alignment vertical="top" shrinkToFit="1"/>
    </xf>
    <xf numFmtId="4" fontId="24" fillId="10" borderId="22" xfId="2" applyFont="1" applyFill="1" applyBorder="1" applyAlignment="1">
      <alignment vertical="top" shrinkToFit="1"/>
    </xf>
    <xf numFmtId="4" fontId="13" fillId="6" borderId="22" xfId="2" applyFont="1" applyFill="1" applyBorder="1" applyAlignment="1">
      <alignment vertical="top" shrinkToFit="1"/>
    </xf>
  </cellXfs>
  <cellStyles count="5">
    <cellStyle name="st16" xfId="1"/>
    <cellStyle name="st17" xfId="4"/>
    <cellStyle name="st19" xfId="2"/>
    <cellStyle name="xl24" xfId="3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105"/>
  <sheetViews>
    <sheetView tabSelected="1" zoomScale="85" zoomScaleNormal="85" workbookViewId="0">
      <pane ySplit="2" topLeftCell="A3" activePane="bottomLeft" state="frozen"/>
      <selection pane="bottomLeft" activeCell="W5" sqref="W4:W5"/>
    </sheetView>
  </sheetViews>
  <sheetFormatPr defaultRowHeight="15"/>
  <cols>
    <col min="1" max="1" width="5.28515625" style="81" bestFit="1" customWidth="1"/>
    <col min="2" max="2" width="6.5703125" style="81" bestFit="1" customWidth="1"/>
    <col min="3" max="3" width="11.7109375" style="81" bestFit="1" customWidth="1"/>
    <col min="4" max="4" width="6" style="81" bestFit="1" customWidth="1"/>
    <col min="5" max="5" width="8.140625" style="81" bestFit="1" customWidth="1"/>
    <col min="6" max="6" width="22" style="81" bestFit="1" customWidth="1"/>
    <col min="7" max="7" width="10.7109375" style="81" bestFit="1" customWidth="1"/>
    <col min="8" max="8" width="12.85546875" style="81" bestFit="1" customWidth="1"/>
    <col min="9" max="9" width="8.85546875" style="81" bestFit="1" customWidth="1"/>
    <col min="10" max="10" width="6.5703125" style="81" bestFit="1" customWidth="1"/>
    <col min="11" max="12" width="16.5703125" style="81" bestFit="1" customWidth="1"/>
    <col min="13" max="13" width="13.85546875" style="81" bestFit="1" customWidth="1"/>
    <col min="14" max="14" width="18.140625" style="81" bestFit="1" customWidth="1"/>
    <col min="15" max="16" width="16.5703125" style="81" bestFit="1" customWidth="1"/>
    <col min="17" max="17" width="18.42578125" style="81" bestFit="1" customWidth="1"/>
    <col min="18" max="18" width="18.140625" style="81" bestFit="1" customWidth="1"/>
    <col min="19" max="19" width="16.5703125" style="81" bestFit="1" customWidth="1"/>
    <col min="20" max="20" width="15.5703125" style="81" bestFit="1" customWidth="1"/>
    <col min="21" max="21" width="15.42578125" style="81" bestFit="1" customWidth="1"/>
    <col min="22" max="22" width="16.140625" style="81" bestFit="1" customWidth="1"/>
    <col min="23" max="23" width="18.7109375" style="81" customWidth="1"/>
    <col min="24" max="24" width="27" style="81" customWidth="1"/>
    <col min="25" max="25" width="28.7109375" style="81" customWidth="1"/>
    <col min="26" max="26" width="25.28515625" style="81" customWidth="1"/>
    <col min="27" max="31" width="9.140625" style="81" customWidth="1"/>
    <col min="32" max="16384" width="9.140625" style="81"/>
  </cols>
  <sheetData>
    <row r="1" spans="1:22" ht="27" customHeight="1" thickBot="1">
      <c r="A1" s="107" t="s">
        <v>0</v>
      </c>
      <c r="B1" s="106"/>
      <c r="C1" s="106"/>
      <c r="D1" s="106"/>
      <c r="E1" s="106"/>
      <c r="F1" s="106"/>
      <c r="G1" s="106"/>
      <c r="H1" s="106"/>
      <c r="I1" s="106"/>
      <c r="J1" s="108"/>
      <c r="K1" s="105">
        <v>2026</v>
      </c>
      <c r="L1" s="106"/>
      <c r="M1" s="106"/>
      <c r="N1" s="106"/>
      <c r="O1" s="105">
        <v>2027</v>
      </c>
      <c r="P1" s="106"/>
      <c r="Q1" s="106"/>
      <c r="R1" s="106"/>
      <c r="S1" s="105">
        <v>2028</v>
      </c>
      <c r="T1" s="106"/>
      <c r="U1" s="106"/>
      <c r="V1" s="106"/>
    </row>
    <row r="2" spans="1:22" ht="94.5" customHeight="1" thickBot="1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3" t="s">
        <v>11</v>
      </c>
      <c r="L2" s="3" t="s">
        <v>12</v>
      </c>
      <c r="M2" s="3" t="s">
        <v>13</v>
      </c>
      <c r="N2" s="4" t="s">
        <v>14</v>
      </c>
      <c r="O2" s="3" t="s">
        <v>15</v>
      </c>
      <c r="P2" s="3" t="s">
        <v>16</v>
      </c>
      <c r="Q2" s="3" t="s">
        <v>17</v>
      </c>
      <c r="R2" s="4" t="s">
        <v>18</v>
      </c>
      <c r="S2" s="3" t="s">
        <v>19</v>
      </c>
      <c r="T2" s="3" t="s">
        <v>20</v>
      </c>
      <c r="U2" s="3" t="s">
        <v>21</v>
      </c>
      <c r="V2" s="4" t="s">
        <v>22</v>
      </c>
    </row>
    <row r="3" spans="1:22" ht="30" customHeight="1" thickTop="1">
      <c r="A3" s="99" t="s">
        <v>23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1"/>
    </row>
    <row r="4" spans="1:22">
      <c r="A4" s="19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30</v>
      </c>
      <c r="H4" s="5" t="s">
        <v>31</v>
      </c>
      <c r="I4" s="6"/>
      <c r="J4" s="6"/>
      <c r="K4" s="109">
        <v>0</v>
      </c>
      <c r="L4" s="7">
        <v>0</v>
      </c>
      <c r="M4" s="8">
        <v>0</v>
      </c>
      <c r="N4" s="45">
        <f>K4-L4-M4</f>
        <v>0</v>
      </c>
      <c r="O4" s="54">
        <v>0</v>
      </c>
      <c r="P4" s="9">
        <v>0</v>
      </c>
      <c r="Q4" s="9">
        <v>0</v>
      </c>
      <c r="R4" s="63">
        <f>O4-P4-Q4</f>
        <v>0</v>
      </c>
      <c r="S4" s="60">
        <v>0</v>
      </c>
      <c r="T4" s="8">
        <v>0</v>
      </c>
      <c r="U4" s="8">
        <v>0</v>
      </c>
      <c r="V4" s="20">
        <f>S4-T4-U4</f>
        <v>0</v>
      </c>
    </row>
    <row r="5" spans="1:22">
      <c r="A5" s="19" t="s">
        <v>24</v>
      </c>
      <c r="B5" s="5" t="s">
        <v>25</v>
      </c>
      <c r="C5" s="5" t="s">
        <v>26</v>
      </c>
      <c r="D5" s="5" t="s">
        <v>32</v>
      </c>
      <c r="E5" s="5" t="s">
        <v>28</v>
      </c>
      <c r="F5" s="5" t="s">
        <v>29</v>
      </c>
      <c r="G5" s="5" t="s">
        <v>30</v>
      </c>
      <c r="H5" s="5" t="s">
        <v>31</v>
      </c>
      <c r="I5" s="6"/>
      <c r="J5" s="6"/>
      <c r="K5" s="109">
        <v>0</v>
      </c>
      <c r="L5" s="7">
        <v>1301609860.73</v>
      </c>
      <c r="M5" s="7">
        <v>208165388.33000001</v>
      </c>
      <c r="N5" s="46">
        <f>K5-L5-M5</f>
        <v>-1509775249.0599999</v>
      </c>
      <c r="O5" s="111">
        <v>0</v>
      </c>
      <c r="P5" s="112">
        <v>0</v>
      </c>
      <c r="Q5" s="112">
        <v>0</v>
      </c>
      <c r="R5" s="113">
        <f>O5-P5-Q5</f>
        <v>0</v>
      </c>
      <c r="S5" s="61">
        <v>0</v>
      </c>
      <c r="T5" s="78">
        <v>0</v>
      </c>
      <c r="U5" s="78">
        <v>0</v>
      </c>
      <c r="V5" s="20">
        <f>S5-T5-U5</f>
        <v>0</v>
      </c>
    </row>
    <row r="6" spans="1:22">
      <c r="A6" s="19" t="s">
        <v>24</v>
      </c>
      <c r="B6" s="5" t="s">
        <v>25</v>
      </c>
      <c r="C6" s="5" t="s">
        <v>26</v>
      </c>
      <c r="D6" s="5" t="s">
        <v>32</v>
      </c>
      <c r="E6" s="5" t="s">
        <v>28</v>
      </c>
      <c r="F6" s="5" t="s">
        <v>33</v>
      </c>
      <c r="G6" s="5" t="s">
        <v>30</v>
      </c>
      <c r="H6" s="5" t="s">
        <v>31</v>
      </c>
      <c r="I6" s="6"/>
      <c r="J6" s="6"/>
      <c r="K6" s="82">
        <v>1632359500</v>
      </c>
      <c r="L6" s="82">
        <v>0</v>
      </c>
      <c r="M6" s="83">
        <v>0</v>
      </c>
      <c r="N6" s="43">
        <f>K6-L6-M6</f>
        <v>1632359500</v>
      </c>
      <c r="O6" s="84">
        <v>5922303800</v>
      </c>
      <c r="P6" s="114">
        <v>0</v>
      </c>
      <c r="Q6" s="114">
        <v>0</v>
      </c>
      <c r="R6" s="64">
        <f>O6-P6-Q6</f>
        <v>5922303800</v>
      </c>
      <c r="S6" s="85">
        <v>6810614400</v>
      </c>
      <c r="T6" s="86">
        <v>0</v>
      </c>
      <c r="U6" s="86">
        <v>0</v>
      </c>
      <c r="V6" s="21">
        <f>S6-T6-U6</f>
        <v>6810614400</v>
      </c>
    </row>
    <row r="7" spans="1:22" ht="15.75" customHeight="1" thickBot="1">
      <c r="A7" s="102" t="s">
        <v>34</v>
      </c>
      <c r="B7" s="103"/>
      <c r="C7" s="103"/>
      <c r="D7" s="103"/>
      <c r="E7" s="103"/>
      <c r="F7" s="103"/>
      <c r="G7" s="103"/>
      <c r="H7" s="103"/>
      <c r="I7" s="103"/>
      <c r="J7" s="104"/>
      <c r="K7" s="22">
        <f t="shared" ref="K7:V7" si="0">SUM(K4:K6)</f>
        <v>1632359500</v>
      </c>
      <c r="L7" s="22">
        <f t="shared" si="0"/>
        <v>1301609860.73</v>
      </c>
      <c r="M7" s="22">
        <f t="shared" si="0"/>
        <v>208165388.33000001</v>
      </c>
      <c r="N7" s="110">
        <f t="shared" si="0"/>
        <v>122584250.94000006</v>
      </c>
      <c r="O7" s="115">
        <f t="shared" si="0"/>
        <v>5922303800</v>
      </c>
      <c r="P7" s="114">
        <f t="shared" si="0"/>
        <v>0</v>
      </c>
      <c r="Q7" s="114">
        <f t="shared" si="0"/>
        <v>0</v>
      </c>
      <c r="R7" s="116">
        <f t="shared" si="0"/>
        <v>5922303800</v>
      </c>
      <c r="S7" s="22">
        <f t="shared" si="0"/>
        <v>6810614400</v>
      </c>
      <c r="T7" s="86">
        <f t="shared" si="0"/>
        <v>0</v>
      </c>
      <c r="U7" s="86">
        <f t="shared" si="0"/>
        <v>0</v>
      </c>
      <c r="V7" s="23">
        <f t="shared" si="0"/>
        <v>6810614400</v>
      </c>
    </row>
    <row r="8" spans="1:22" ht="30" customHeight="1" thickTop="1">
      <c r="A8" s="99" t="s">
        <v>35</v>
      </c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1"/>
    </row>
    <row r="9" spans="1:22">
      <c r="A9" s="19" t="s">
        <v>24</v>
      </c>
      <c r="B9" s="5" t="s">
        <v>25</v>
      </c>
      <c r="C9" s="5" t="s">
        <v>36</v>
      </c>
      <c r="D9" s="5" t="s">
        <v>27</v>
      </c>
      <c r="E9" s="5" t="s">
        <v>28</v>
      </c>
      <c r="F9" s="11"/>
      <c r="G9" s="5" t="s">
        <v>30</v>
      </c>
      <c r="H9" s="5" t="s">
        <v>37</v>
      </c>
      <c r="I9" s="6"/>
      <c r="J9" s="6"/>
      <c r="K9" s="7">
        <v>700000000</v>
      </c>
      <c r="L9" s="7">
        <v>805804324.96000004</v>
      </c>
      <c r="M9" s="8">
        <v>0</v>
      </c>
      <c r="N9" s="46">
        <f>K9-L9-M9</f>
        <v>-105804324.96000004</v>
      </c>
      <c r="O9" s="111">
        <v>0</v>
      </c>
      <c r="P9" s="112">
        <v>0</v>
      </c>
      <c r="Q9" s="9">
        <v>0</v>
      </c>
      <c r="R9" s="63">
        <f>O9-P9-Q9</f>
        <v>0</v>
      </c>
      <c r="S9" s="60">
        <v>0</v>
      </c>
      <c r="T9" s="8">
        <v>0</v>
      </c>
      <c r="U9" s="8">
        <v>0</v>
      </c>
      <c r="V9" s="20">
        <f>S9-T9-U9</f>
        <v>0</v>
      </c>
    </row>
    <row r="10" spans="1:22">
      <c r="A10" s="19" t="s">
        <v>24</v>
      </c>
      <c r="B10" s="5" t="s">
        <v>25</v>
      </c>
      <c r="C10" s="5" t="s">
        <v>36</v>
      </c>
      <c r="D10" s="5" t="s">
        <v>27</v>
      </c>
      <c r="E10" s="5" t="s">
        <v>38</v>
      </c>
      <c r="F10" s="11"/>
      <c r="G10" s="5" t="s">
        <v>39</v>
      </c>
      <c r="H10" s="5" t="s">
        <v>37</v>
      </c>
      <c r="I10" s="6"/>
      <c r="J10" s="6"/>
      <c r="K10" s="78">
        <v>0</v>
      </c>
      <c r="L10" s="7">
        <v>9765383.3499999996</v>
      </c>
      <c r="M10" s="8">
        <v>0</v>
      </c>
      <c r="N10" s="46">
        <f>K10-L10-M10</f>
        <v>-9765383.3499999996</v>
      </c>
      <c r="O10" s="111">
        <v>0</v>
      </c>
      <c r="P10" s="112">
        <v>0</v>
      </c>
      <c r="Q10" s="9">
        <v>0</v>
      </c>
      <c r="R10" s="113">
        <f>O10-P10-Q10</f>
        <v>0</v>
      </c>
      <c r="S10" s="60">
        <v>0</v>
      </c>
      <c r="T10" s="8">
        <v>0</v>
      </c>
      <c r="U10" s="8">
        <v>0</v>
      </c>
      <c r="V10" s="20">
        <f>S10-T10-U10</f>
        <v>0</v>
      </c>
    </row>
    <row r="11" spans="1:22" ht="20.100000000000001" customHeight="1">
      <c r="A11" s="19" t="s">
        <v>24</v>
      </c>
      <c r="B11" s="5" t="s">
        <v>25</v>
      </c>
      <c r="C11" s="5" t="s">
        <v>36</v>
      </c>
      <c r="D11" s="5" t="s">
        <v>32</v>
      </c>
      <c r="E11" s="5" t="s">
        <v>28</v>
      </c>
      <c r="F11" s="11"/>
      <c r="G11" s="5" t="s">
        <v>30</v>
      </c>
      <c r="H11" s="5" t="s">
        <v>37</v>
      </c>
      <c r="I11" s="6"/>
      <c r="J11" s="6"/>
      <c r="K11" s="7">
        <v>5425288100</v>
      </c>
      <c r="L11" s="7">
        <v>3278532291.3000002</v>
      </c>
      <c r="M11" s="7">
        <v>315163009.72000003</v>
      </c>
      <c r="N11" s="43">
        <f>K11-L11-M11</f>
        <v>1831592798.9799998</v>
      </c>
      <c r="O11" s="55">
        <v>5721969400</v>
      </c>
      <c r="P11" s="10">
        <v>186495032.31</v>
      </c>
      <c r="Q11" s="112">
        <v>0</v>
      </c>
      <c r="R11" s="64">
        <f>O11-P11-Q11</f>
        <v>5535474367.6899996</v>
      </c>
      <c r="S11" s="61">
        <v>2329422100</v>
      </c>
      <c r="T11" s="78">
        <v>0</v>
      </c>
      <c r="U11" s="8">
        <v>0</v>
      </c>
      <c r="V11" s="21">
        <f>S11-T11-U11</f>
        <v>2329422100</v>
      </c>
    </row>
    <row r="12" spans="1:22">
      <c r="A12" s="19" t="s">
        <v>24</v>
      </c>
      <c r="B12" s="5" t="s">
        <v>25</v>
      </c>
      <c r="C12" s="5" t="s">
        <v>36</v>
      </c>
      <c r="D12" s="5" t="s">
        <v>32</v>
      </c>
      <c r="E12" s="5" t="s">
        <v>38</v>
      </c>
      <c r="F12" s="11"/>
      <c r="G12" s="5" t="s">
        <v>39</v>
      </c>
      <c r="H12" s="5" t="s">
        <v>37</v>
      </c>
      <c r="I12" s="6"/>
      <c r="J12" s="6"/>
      <c r="K12" s="78">
        <v>0</v>
      </c>
      <c r="L12" s="7">
        <v>996289.73</v>
      </c>
      <c r="M12" s="8">
        <v>0</v>
      </c>
      <c r="N12" s="46">
        <f>K12-L12-M12</f>
        <v>-996289.73</v>
      </c>
      <c r="O12" s="54">
        <v>0</v>
      </c>
      <c r="P12" s="9">
        <v>0</v>
      </c>
      <c r="Q12" s="9">
        <v>0</v>
      </c>
      <c r="R12" s="63">
        <f>O12-P12-Q12</f>
        <v>0</v>
      </c>
      <c r="S12" s="60">
        <v>0</v>
      </c>
      <c r="T12" s="78">
        <v>0</v>
      </c>
      <c r="U12" s="8">
        <v>0</v>
      </c>
      <c r="V12" s="20">
        <f>S12-T12-U12</f>
        <v>0</v>
      </c>
    </row>
    <row r="13" spans="1:22" ht="15.75" customHeight="1" thickBot="1">
      <c r="A13" s="102" t="s">
        <v>34</v>
      </c>
      <c r="B13" s="103"/>
      <c r="C13" s="103"/>
      <c r="D13" s="103"/>
      <c r="E13" s="103"/>
      <c r="F13" s="103"/>
      <c r="G13" s="103"/>
      <c r="H13" s="103"/>
      <c r="I13" s="103"/>
      <c r="J13" s="104"/>
      <c r="K13" s="22">
        <f t="shared" ref="K13:V13" si="1">SUM(K9:K12)</f>
        <v>6125288100</v>
      </c>
      <c r="L13" s="22">
        <f t="shared" si="1"/>
        <v>4095098289.3400002</v>
      </c>
      <c r="M13" s="22">
        <f t="shared" si="1"/>
        <v>315163009.72000003</v>
      </c>
      <c r="N13" s="110">
        <f t="shared" si="1"/>
        <v>1715026800.9399998</v>
      </c>
      <c r="O13" s="57">
        <f t="shared" si="1"/>
        <v>5721969400</v>
      </c>
      <c r="P13" s="24">
        <f t="shared" si="1"/>
        <v>186495032.31</v>
      </c>
      <c r="Q13" s="80">
        <f t="shared" si="1"/>
        <v>0</v>
      </c>
      <c r="R13" s="65">
        <f t="shared" si="1"/>
        <v>5535474367.6899996</v>
      </c>
      <c r="S13" s="62">
        <f t="shared" si="1"/>
        <v>2329422100</v>
      </c>
      <c r="T13" s="79">
        <f t="shared" si="1"/>
        <v>0</v>
      </c>
      <c r="U13" s="79">
        <f t="shared" si="1"/>
        <v>0</v>
      </c>
      <c r="V13" s="23">
        <f t="shared" si="1"/>
        <v>2329422100</v>
      </c>
    </row>
    <row r="14" spans="1:22" ht="30" customHeight="1" thickTop="1">
      <c r="A14" s="99" t="s">
        <v>40</v>
      </c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1"/>
    </row>
    <row r="15" spans="1:22">
      <c r="A15" s="19" t="s">
        <v>24</v>
      </c>
      <c r="B15" s="5" t="s">
        <v>25</v>
      </c>
      <c r="C15" s="5" t="s">
        <v>41</v>
      </c>
      <c r="D15" s="5" t="s">
        <v>42</v>
      </c>
      <c r="E15" s="5" t="s">
        <v>43</v>
      </c>
      <c r="F15" s="11"/>
      <c r="G15" s="5" t="s">
        <v>44</v>
      </c>
      <c r="H15" s="5" t="s">
        <v>45</v>
      </c>
      <c r="I15" s="6"/>
      <c r="J15" s="6"/>
      <c r="K15" s="78">
        <v>0</v>
      </c>
      <c r="L15" s="7">
        <v>23880</v>
      </c>
      <c r="M15" s="8">
        <v>0</v>
      </c>
      <c r="N15" s="46">
        <f t="shared" ref="N15:N23" si="2">K15-L15-M15</f>
        <v>-23880</v>
      </c>
      <c r="O15" s="58">
        <v>0</v>
      </c>
      <c r="P15" s="12">
        <v>0</v>
      </c>
      <c r="Q15" s="12">
        <v>0</v>
      </c>
      <c r="R15" s="66">
        <f t="shared" ref="R15:R23" si="3">O15-P15-Q15</f>
        <v>0</v>
      </c>
      <c r="S15" s="60">
        <v>0</v>
      </c>
      <c r="T15" s="8">
        <v>0</v>
      </c>
      <c r="U15" s="8">
        <v>0</v>
      </c>
      <c r="V15" s="20">
        <f t="shared" ref="V15:V23" si="4">S15-T15-U15</f>
        <v>0</v>
      </c>
    </row>
    <row r="16" spans="1:22">
      <c r="A16" s="19" t="s">
        <v>24</v>
      </c>
      <c r="B16" s="5" t="s">
        <v>25</v>
      </c>
      <c r="C16" s="5" t="s">
        <v>41</v>
      </c>
      <c r="D16" s="5" t="s">
        <v>42</v>
      </c>
      <c r="E16" s="5" t="s">
        <v>28</v>
      </c>
      <c r="F16" s="11"/>
      <c r="G16" s="5" t="s">
        <v>46</v>
      </c>
      <c r="H16" s="5" t="s">
        <v>45</v>
      </c>
      <c r="I16" s="6"/>
      <c r="J16" s="6"/>
      <c r="K16" s="78">
        <v>0</v>
      </c>
      <c r="L16" s="78">
        <v>0</v>
      </c>
      <c r="M16" s="78">
        <v>0</v>
      </c>
      <c r="N16" s="45">
        <f t="shared" si="2"/>
        <v>0</v>
      </c>
      <c r="O16" s="58">
        <v>0</v>
      </c>
      <c r="P16" s="12">
        <v>0</v>
      </c>
      <c r="Q16" s="12">
        <v>0</v>
      </c>
      <c r="R16" s="66">
        <f t="shared" si="3"/>
        <v>0</v>
      </c>
      <c r="S16" s="60">
        <v>0</v>
      </c>
      <c r="T16" s="8">
        <v>0</v>
      </c>
      <c r="U16" s="8">
        <v>0</v>
      </c>
      <c r="V16" s="20">
        <f t="shared" si="4"/>
        <v>0</v>
      </c>
    </row>
    <row r="17" spans="1:22">
      <c r="A17" s="19" t="s">
        <v>24</v>
      </c>
      <c r="B17" s="5" t="s">
        <v>25</v>
      </c>
      <c r="C17" s="5" t="s">
        <v>41</v>
      </c>
      <c r="D17" s="5" t="s">
        <v>42</v>
      </c>
      <c r="E17" s="5" t="s">
        <v>38</v>
      </c>
      <c r="F17" s="11"/>
      <c r="G17" s="5" t="s">
        <v>39</v>
      </c>
      <c r="H17" s="5" t="s">
        <v>45</v>
      </c>
      <c r="I17" s="6"/>
      <c r="J17" s="6"/>
      <c r="K17" s="78">
        <v>0</v>
      </c>
      <c r="L17" s="78">
        <v>0</v>
      </c>
      <c r="M17" s="8">
        <v>0</v>
      </c>
      <c r="N17" s="45">
        <f t="shared" si="2"/>
        <v>0</v>
      </c>
      <c r="O17" s="58">
        <v>0</v>
      </c>
      <c r="P17" s="12">
        <v>0</v>
      </c>
      <c r="Q17" s="12">
        <v>0</v>
      </c>
      <c r="R17" s="66">
        <f t="shared" si="3"/>
        <v>0</v>
      </c>
      <c r="S17" s="60">
        <v>0</v>
      </c>
      <c r="T17" s="8">
        <v>0</v>
      </c>
      <c r="U17" s="8">
        <v>0</v>
      </c>
      <c r="V17" s="20">
        <f t="shared" si="4"/>
        <v>0</v>
      </c>
    </row>
    <row r="18" spans="1:22">
      <c r="A18" s="19" t="s">
        <v>24</v>
      </c>
      <c r="B18" s="5" t="s">
        <v>25</v>
      </c>
      <c r="C18" s="5" t="s">
        <v>41</v>
      </c>
      <c r="D18" s="5" t="s">
        <v>32</v>
      </c>
      <c r="E18" s="5" t="s">
        <v>28</v>
      </c>
      <c r="F18" s="11"/>
      <c r="G18" s="5" t="s">
        <v>46</v>
      </c>
      <c r="H18" s="5" t="s">
        <v>45</v>
      </c>
      <c r="I18" s="6"/>
      <c r="J18" s="6"/>
      <c r="K18" s="78">
        <v>0</v>
      </c>
      <c r="L18" s="78">
        <v>0</v>
      </c>
      <c r="M18" s="8">
        <v>0</v>
      </c>
      <c r="N18" s="45">
        <f t="shared" si="2"/>
        <v>0</v>
      </c>
      <c r="O18" s="58">
        <v>0</v>
      </c>
      <c r="P18" s="12">
        <v>0</v>
      </c>
      <c r="Q18" s="12">
        <v>0</v>
      </c>
      <c r="R18" s="66">
        <f t="shared" si="3"/>
        <v>0</v>
      </c>
      <c r="S18" s="60">
        <v>0</v>
      </c>
      <c r="T18" s="8">
        <v>0</v>
      </c>
      <c r="U18" s="8">
        <v>0</v>
      </c>
      <c r="V18" s="20">
        <f t="shared" si="4"/>
        <v>0</v>
      </c>
    </row>
    <row r="19" spans="1:22">
      <c r="A19" s="19" t="s">
        <v>24</v>
      </c>
      <c r="B19" s="5" t="s">
        <v>25</v>
      </c>
      <c r="C19" s="5" t="s">
        <v>41</v>
      </c>
      <c r="D19" s="5" t="s">
        <v>32</v>
      </c>
      <c r="E19" s="5" t="s">
        <v>28</v>
      </c>
      <c r="F19" s="11"/>
      <c r="G19" s="5" t="s">
        <v>30</v>
      </c>
      <c r="H19" s="5" t="s">
        <v>45</v>
      </c>
      <c r="I19" s="6"/>
      <c r="J19" s="6"/>
      <c r="K19" s="7">
        <v>3131167209.98</v>
      </c>
      <c r="L19" s="7">
        <v>3107884757.5700002</v>
      </c>
      <c r="M19" s="7">
        <v>32349450.890000001</v>
      </c>
      <c r="N19" s="46">
        <f t="shared" si="2"/>
        <v>-9066998.4800001532</v>
      </c>
      <c r="O19" s="59">
        <v>3295239900</v>
      </c>
      <c r="P19" s="13">
        <v>1962209182</v>
      </c>
      <c r="Q19" s="126">
        <v>0</v>
      </c>
      <c r="R19" s="67">
        <f t="shared" si="3"/>
        <v>1333030718</v>
      </c>
      <c r="S19" s="61">
        <v>3425581700</v>
      </c>
      <c r="T19" s="78">
        <v>0</v>
      </c>
      <c r="U19" s="78">
        <v>0</v>
      </c>
      <c r="V19" s="21">
        <f t="shared" si="4"/>
        <v>3425581700</v>
      </c>
    </row>
    <row r="20" spans="1:22">
      <c r="A20" s="19" t="s">
        <v>24</v>
      </c>
      <c r="B20" s="5" t="s">
        <v>25</v>
      </c>
      <c r="C20" s="5" t="s">
        <v>41</v>
      </c>
      <c r="D20" s="5" t="s">
        <v>32</v>
      </c>
      <c r="E20" s="5" t="s">
        <v>38</v>
      </c>
      <c r="F20" s="11"/>
      <c r="G20" s="5" t="s">
        <v>39</v>
      </c>
      <c r="H20" s="5" t="s">
        <v>45</v>
      </c>
      <c r="I20" s="6"/>
      <c r="J20" s="6"/>
      <c r="K20" s="7">
        <v>177036</v>
      </c>
      <c r="L20" s="7">
        <v>14429.88</v>
      </c>
      <c r="M20" s="8">
        <v>0</v>
      </c>
      <c r="N20" s="43">
        <f t="shared" si="2"/>
        <v>162606.12</v>
      </c>
      <c r="O20" s="128">
        <v>0</v>
      </c>
      <c r="P20" s="12">
        <v>0</v>
      </c>
      <c r="Q20" s="12">
        <v>0</v>
      </c>
      <c r="R20" s="127">
        <f t="shared" si="3"/>
        <v>0</v>
      </c>
      <c r="S20" s="122">
        <v>0</v>
      </c>
      <c r="T20" s="78">
        <v>0</v>
      </c>
      <c r="U20" s="78">
        <v>0</v>
      </c>
      <c r="V20" s="123">
        <f t="shared" si="4"/>
        <v>0</v>
      </c>
    </row>
    <row r="21" spans="1:22">
      <c r="A21" s="19" t="s">
        <v>24</v>
      </c>
      <c r="B21" s="5" t="s">
        <v>25</v>
      </c>
      <c r="C21" s="5" t="s">
        <v>41</v>
      </c>
      <c r="D21" s="5" t="s">
        <v>32</v>
      </c>
      <c r="E21" s="5" t="s">
        <v>47</v>
      </c>
      <c r="F21" s="11"/>
      <c r="G21" s="11"/>
      <c r="H21" s="5" t="s">
        <v>45</v>
      </c>
      <c r="I21" s="6"/>
      <c r="J21" s="6"/>
      <c r="K21" s="78">
        <v>0</v>
      </c>
      <c r="L21" s="78">
        <v>0</v>
      </c>
      <c r="M21" s="78">
        <v>0</v>
      </c>
      <c r="N21" s="117">
        <f t="shared" si="2"/>
        <v>0</v>
      </c>
      <c r="O21" s="58">
        <v>0</v>
      </c>
      <c r="P21" s="12">
        <v>0</v>
      </c>
      <c r="Q21" s="12">
        <v>0</v>
      </c>
      <c r="R21" s="127">
        <f t="shared" si="3"/>
        <v>0</v>
      </c>
      <c r="S21" s="60">
        <v>0</v>
      </c>
      <c r="T21" s="78">
        <v>0</v>
      </c>
      <c r="U21" s="78">
        <v>0</v>
      </c>
      <c r="V21" s="20">
        <f t="shared" si="4"/>
        <v>0</v>
      </c>
    </row>
    <row r="22" spans="1:22">
      <c r="A22" s="19" t="s">
        <v>24</v>
      </c>
      <c r="B22" s="5" t="s">
        <v>25</v>
      </c>
      <c r="C22" s="5" t="s">
        <v>41</v>
      </c>
      <c r="D22" s="5" t="s">
        <v>32</v>
      </c>
      <c r="E22" s="5" t="s">
        <v>48</v>
      </c>
      <c r="F22" s="11"/>
      <c r="G22" s="5" t="s">
        <v>49</v>
      </c>
      <c r="H22" s="5" t="s">
        <v>45</v>
      </c>
      <c r="I22" s="6"/>
      <c r="J22" s="6"/>
      <c r="K22" s="78">
        <v>0</v>
      </c>
      <c r="L22" s="78">
        <v>0</v>
      </c>
      <c r="M22" s="78">
        <v>0</v>
      </c>
      <c r="N22" s="117">
        <f t="shared" si="2"/>
        <v>0</v>
      </c>
      <c r="O22" s="58">
        <v>0</v>
      </c>
      <c r="P22" s="12">
        <v>0</v>
      </c>
      <c r="Q22" s="12">
        <v>0</v>
      </c>
      <c r="R22" s="127">
        <f t="shared" si="3"/>
        <v>0</v>
      </c>
      <c r="S22" s="60">
        <v>0</v>
      </c>
      <c r="T22" s="78">
        <v>0</v>
      </c>
      <c r="U22" s="78">
        <v>0</v>
      </c>
      <c r="V22" s="20">
        <f t="shared" si="4"/>
        <v>0</v>
      </c>
    </row>
    <row r="23" spans="1:22">
      <c r="A23" s="19" t="s">
        <v>24</v>
      </c>
      <c r="B23" s="5" t="s">
        <v>25</v>
      </c>
      <c r="C23" s="5" t="s">
        <v>41</v>
      </c>
      <c r="D23" s="5" t="s">
        <v>50</v>
      </c>
      <c r="E23" s="5" t="s">
        <v>51</v>
      </c>
      <c r="F23" s="11"/>
      <c r="G23" s="5" t="s">
        <v>52</v>
      </c>
      <c r="H23" s="5" t="s">
        <v>45</v>
      </c>
      <c r="I23" s="6"/>
      <c r="J23" s="6"/>
      <c r="K23" s="7">
        <v>37583154.020000003</v>
      </c>
      <c r="L23" s="7">
        <v>3259279.35</v>
      </c>
      <c r="M23" s="8">
        <v>0</v>
      </c>
      <c r="N23" s="43">
        <f t="shared" si="2"/>
        <v>34323874.670000002</v>
      </c>
      <c r="O23" s="128">
        <v>0</v>
      </c>
      <c r="P23" s="12">
        <v>0</v>
      </c>
      <c r="Q23" s="12">
        <v>0</v>
      </c>
      <c r="R23" s="127">
        <f t="shared" si="3"/>
        <v>0</v>
      </c>
      <c r="S23" s="122">
        <v>0</v>
      </c>
      <c r="T23" s="78">
        <v>0</v>
      </c>
      <c r="U23" s="78">
        <v>0</v>
      </c>
      <c r="V23" s="123">
        <f t="shared" si="4"/>
        <v>0</v>
      </c>
    </row>
    <row r="24" spans="1:22" ht="15.75" customHeight="1" thickBot="1">
      <c r="A24" s="102" t="s">
        <v>34</v>
      </c>
      <c r="B24" s="103"/>
      <c r="C24" s="103"/>
      <c r="D24" s="103"/>
      <c r="E24" s="103"/>
      <c r="F24" s="103"/>
      <c r="G24" s="103"/>
      <c r="H24" s="103"/>
      <c r="I24" s="103"/>
      <c r="J24" s="104"/>
      <c r="K24" s="22">
        <f t="shared" ref="K24:V24" si="5">SUM(K15:K23)</f>
        <v>3168927400</v>
      </c>
      <c r="L24" s="22">
        <f t="shared" si="5"/>
        <v>3111182346.8000002</v>
      </c>
      <c r="M24" s="22">
        <f t="shared" si="5"/>
        <v>32349450.890000001</v>
      </c>
      <c r="N24" s="56">
        <f>SUM(N15:N23)</f>
        <v>25395602.309999846</v>
      </c>
      <c r="O24" s="57">
        <f t="shared" si="5"/>
        <v>3295239900</v>
      </c>
      <c r="P24" s="24">
        <f t="shared" si="5"/>
        <v>1962209182</v>
      </c>
      <c r="Q24" s="24">
        <f t="shared" si="5"/>
        <v>0</v>
      </c>
      <c r="R24" s="65">
        <f t="shared" si="5"/>
        <v>1333030718</v>
      </c>
      <c r="S24" s="62">
        <f t="shared" si="5"/>
        <v>3425581700</v>
      </c>
      <c r="T24" s="79">
        <f t="shared" si="5"/>
        <v>0</v>
      </c>
      <c r="U24" s="79">
        <f t="shared" si="5"/>
        <v>0</v>
      </c>
      <c r="V24" s="23">
        <f t="shared" si="5"/>
        <v>3425581700</v>
      </c>
    </row>
    <row r="25" spans="1:22" ht="30" customHeight="1" thickTop="1">
      <c r="A25" s="99" t="s">
        <v>53</v>
      </c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1"/>
    </row>
    <row r="26" spans="1:22">
      <c r="A26" s="19" t="s">
        <v>24</v>
      </c>
      <c r="B26" s="5" t="s">
        <v>25</v>
      </c>
      <c r="C26" s="5" t="s">
        <v>54</v>
      </c>
      <c r="D26" s="5" t="s">
        <v>32</v>
      </c>
      <c r="E26" s="5" t="s">
        <v>38</v>
      </c>
      <c r="F26" s="11"/>
      <c r="G26" s="5" t="s">
        <v>55</v>
      </c>
      <c r="H26" s="5" t="s">
        <v>45</v>
      </c>
      <c r="I26" s="6"/>
      <c r="J26" s="6"/>
      <c r="K26" s="78">
        <v>0</v>
      </c>
      <c r="L26" s="78">
        <v>0</v>
      </c>
      <c r="M26" s="78">
        <v>0</v>
      </c>
      <c r="N26" s="117">
        <f>K26-L26-M26</f>
        <v>0</v>
      </c>
      <c r="O26" s="111">
        <v>0</v>
      </c>
      <c r="P26" s="112">
        <v>0</v>
      </c>
      <c r="Q26" s="112">
        <v>0</v>
      </c>
      <c r="R26" s="113">
        <f>O26-P26-Q26</f>
        <v>0</v>
      </c>
      <c r="S26" s="122">
        <v>0</v>
      </c>
      <c r="T26" s="78">
        <v>0</v>
      </c>
      <c r="U26" s="78">
        <v>0</v>
      </c>
      <c r="V26" s="123">
        <f>S26-T26-U26</f>
        <v>0</v>
      </c>
    </row>
    <row r="27" spans="1:22">
      <c r="A27" s="19" t="s">
        <v>24</v>
      </c>
      <c r="B27" s="5" t="s">
        <v>25</v>
      </c>
      <c r="C27" s="5" t="s">
        <v>54</v>
      </c>
      <c r="D27" s="5" t="s">
        <v>32</v>
      </c>
      <c r="E27" s="5" t="s">
        <v>28</v>
      </c>
      <c r="F27" s="11"/>
      <c r="G27" s="5" t="s">
        <v>46</v>
      </c>
      <c r="H27" s="5" t="s">
        <v>45</v>
      </c>
      <c r="I27" s="6"/>
      <c r="J27" s="6"/>
      <c r="K27" s="78">
        <v>0</v>
      </c>
      <c r="L27" s="78">
        <v>0</v>
      </c>
      <c r="M27" s="78">
        <v>0</v>
      </c>
      <c r="N27" s="117">
        <f>K27-L27-M27</f>
        <v>0</v>
      </c>
      <c r="O27" s="111">
        <v>0</v>
      </c>
      <c r="P27" s="112">
        <v>0</v>
      </c>
      <c r="Q27" s="112">
        <v>0</v>
      </c>
      <c r="R27" s="113">
        <f>O27-P27-Q27</f>
        <v>0</v>
      </c>
      <c r="S27" s="122">
        <v>0</v>
      </c>
      <c r="T27" s="78">
        <v>0</v>
      </c>
      <c r="U27" s="78">
        <v>0</v>
      </c>
      <c r="V27" s="123">
        <f>S27-T27-U27</f>
        <v>0</v>
      </c>
    </row>
    <row r="28" spans="1:22">
      <c r="A28" s="19" t="s">
        <v>24</v>
      </c>
      <c r="B28" s="5" t="s">
        <v>25</v>
      </c>
      <c r="C28" s="5" t="s">
        <v>54</v>
      </c>
      <c r="D28" s="5" t="s">
        <v>32</v>
      </c>
      <c r="E28" s="5" t="s">
        <v>38</v>
      </c>
      <c r="F28" s="11"/>
      <c r="G28" s="5" t="s">
        <v>39</v>
      </c>
      <c r="H28" s="5" t="s">
        <v>45</v>
      </c>
      <c r="I28" s="6"/>
      <c r="J28" s="6"/>
      <c r="K28" s="78">
        <v>0</v>
      </c>
      <c r="L28" s="78">
        <v>0</v>
      </c>
      <c r="M28" s="78">
        <v>0</v>
      </c>
      <c r="N28" s="117">
        <f>K28-L28-M28</f>
        <v>0</v>
      </c>
      <c r="O28" s="111">
        <v>0</v>
      </c>
      <c r="P28" s="112">
        <v>0</v>
      </c>
      <c r="Q28" s="112">
        <v>0</v>
      </c>
      <c r="R28" s="113">
        <f>O28-P28-Q28</f>
        <v>0</v>
      </c>
      <c r="S28" s="122">
        <v>0</v>
      </c>
      <c r="T28" s="78">
        <v>0</v>
      </c>
      <c r="U28" s="78">
        <v>0</v>
      </c>
      <c r="V28" s="123">
        <f>S28-T28-U28</f>
        <v>0</v>
      </c>
    </row>
    <row r="29" spans="1:22">
      <c r="A29" s="19" t="s">
        <v>24</v>
      </c>
      <c r="B29" s="5" t="s">
        <v>25</v>
      </c>
      <c r="C29" s="5" t="s">
        <v>54</v>
      </c>
      <c r="D29" s="5" t="s">
        <v>32</v>
      </c>
      <c r="E29" s="5" t="s">
        <v>47</v>
      </c>
      <c r="F29" s="11"/>
      <c r="G29" s="11"/>
      <c r="H29" s="5" t="s">
        <v>45</v>
      </c>
      <c r="I29" s="6"/>
      <c r="J29" s="6"/>
      <c r="K29" s="78">
        <v>0</v>
      </c>
      <c r="L29" s="78">
        <v>0</v>
      </c>
      <c r="M29" s="78">
        <v>0</v>
      </c>
      <c r="N29" s="117">
        <f>K29-L29-M29</f>
        <v>0</v>
      </c>
      <c r="O29" s="111">
        <v>0</v>
      </c>
      <c r="P29" s="112">
        <v>0</v>
      </c>
      <c r="Q29" s="112">
        <v>0</v>
      </c>
      <c r="R29" s="113">
        <f>O29-P29-Q29</f>
        <v>0</v>
      </c>
      <c r="S29" s="122">
        <v>0</v>
      </c>
      <c r="T29" s="78">
        <v>0</v>
      </c>
      <c r="U29" s="78">
        <v>0</v>
      </c>
      <c r="V29" s="123">
        <f>S29-T29-U29</f>
        <v>0</v>
      </c>
    </row>
    <row r="30" spans="1:22">
      <c r="A30" s="19" t="s">
        <v>24</v>
      </c>
      <c r="B30" s="5" t="s">
        <v>25</v>
      </c>
      <c r="C30" s="5" t="s">
        <v>54</v>
      </c>
      <c r="D30" s="5" t="s">
        <v>32</v>
      </c>
      <c r="E30" s="5" t="s">
        <v>48</v>
      </c>
      <c r="F30" s="11"/>
      <c r="G30" s="5" t="s">
        <v>49</v>
      </c>
      <c r="H30" s="5" t="s">
        <v>45</v>
      </c>
      <c r="I30" s="6"/>
      <c r="J30" s="6"/>
      <c r="K30" s="78">
        <v>0</v>
      </c>
      <c r="L30" s="78">
        <v>0</v>
      </c>
      <c r="M30" s="78">
        <v>0</v>
      </c>
      <c r="N30" s="117">
        <f>K30-L30-M30</f>
        <v>0</v>
      </c>
      <c r="O30" s="111">
        <v>0</v>
      </c>
      <c r="P30" s="112">
        <v>0</v>
      </c>
      <c r="Q30" s="112">
        <v>0</v>
      </c>
      <c r="R30" s="113">
        <f>O30-P30-Q30</f>
        <v>0</v>
      </c>
      <c r="S30" s="122">
        <v>0</v>
      </c>
      <c r="T30" s="78">
        <v>0</v>
      </c>
      <c r="U30" s="78">
        <v>0</v>
      </c>
      <c r="V30" s="123">
        <f>S30-T30-U30</f>
        <v>0</v>
      </c>
    </row>
    <row r="31" spans="1:22" ht="15.75" customHeight="1" thickBot="1">
      <c r="A31" s="102" t="s">
        <v>34</v>
      </c>
      <c r="B31" s="103"/>
      <c r="C31" s="103"/>
      <c r="D31" s="103"/>
      <c r="E31" s="103"/>
      <c r="F31" s="103"/>
      <c r="G31" s="103"/>
      <c r="H31" s="103"/>
      <c r="I31" s="103"/>
      <c r="J31" s="104"/>
      <c r="K31" s="79">
        <f t="shared" ref="K31:V31" si="6">SUM(K26:K30)</f>
        <v>0</v>
      </c>
      <c r="L31" s="79">
        <f t="shared" si="6"/>
        <v>0</v>
      </c>
      <c r="M31" s="79">
        <f t="shared" si="6"/>
        <v>0</v>
      </c>
      <c r="N31" s="118">
        <f t="shared" si="6"/>
        <v>0</v>
      </c>
      <c r="O31" s="119">
        <f t="shared" si="6"/>
        <v>0</v>
      </c>
      <c r="P31" s="120">
        <f t="shared" si="6"/>
        <v>0</v>
      </c>
      <c r="Q31" s="120">
        <f t="shared" si="6"/>
        <v>0</v>
      </c>
      <c r="R31" s="121">
        <f t="shared" si="6"/>
        <v>0</v>
      </c>
      <c r="S31" s="124">
        <f t="shared" si="6"/>
        <v>0</v>
      </c>
      <c r="T31" s="79">
        <f t="shared" si="6"/>
        <v>0</v>
      </c>
      <c r="U31" s="79">
        <f t="shared" si="6"/>
        <v>0</v>
      </c>
      <c r="V31" s="125">
        <f t="shared" si="6"/>
        <v>0</v>
      </c>
    </row>
    <row r="32" spans="1:22" ht="30" customHeight="1" thickTop="1" thickBot="1">
      <c r="A32" s="93" t="s">
        <v>56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5"/>
    </row>
    <row r="33" spans="1:22" ht="20.100000000000001" customHeight="1">
      <c r="A33" s="90" t="s">
        <v>57</v>
      </c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2"/>
    </row>
    <row r="34" spans="1:22">
      <c r="A34" s="26" t="s">
        <v>24</v>
      </c>
      <c r="B34" s="14" t="s">
        <v>25</v>
      </c>
      <c r="C34" s="14" t="s">
        <v>58</v>
      </c>
      <c r="D34" s="14" t="s">
        <v>59</v>
      </c>
      <c r="E34" s="14" t="s">
        <v>47</v>
      </c>
      <c r="F34" s="15"/>
      <c r="G34" s="14" t="s">
        <v>60</v>
      </c>
      <c r="H34" s="14" t="s">
        <v>61</v>
      </c>
      <c r="I34" s="15" t="s">
        <v>62</v>
      </c>
      <c r="J34" s="16"/>
      <c r="K34" s="8">
        <v>0</v>
      </c>
      <c r="L34" s="18">
        <v>25461000</v>
      </c>
      <c r="M34" s="8">
        <v>0</v>
      </c>
      <c r="N34" s="46">
        <f>K34-L34-M34</f>
        <v>-25461000</v>
      </c>
      <c r="O34" s="41">
        <v>0</v>
      </c>
      <c r="P34" s="17">
        <v>0</v>
      </c>
      <c r="Q34" s="17">
        <v>0</v>
      </c>
      <c r="R34" s="68">
        <f>O34-P34-Q34</f>
        <v>0</v>
      </c>
      <c r="S34" s="60">
        <v>0</v>
      </c>
      <c r="T34" s="8">
        <v>0</v>
      </c>
      <c r="U34" s="8">
        <v>0</v>
      </c>
      <c r="V34" s="27">
        <f>S34-T34-U34</f>
        <v>0</v>
      </c>
    </row>
    <row r="35" spans="1:22" ht="15.75" customHeight="1" thickBot="1">
      <c r="A35" s="87" t="s">
        <v>34</v>
      </c>
      <c r="B35" s="88"/>
      <c r="C35" s="88"/>
      <c r="D35" s="88"/>
      <c r="E35" s="88"/>
      <c r="F35" s="88"/>
      <c r="G35" s="88"/>
      <c r="H35" s="88"/>
      <c r="I35" s="88"/>
      <c r="J35" s="89"/>
      <c r="K35" s="28">
        <f t="shared" ref="K35:V35" si="7">SUM(K34)</f>
        <v>0</v>
      </c>
      <c r="L35" s="29">
        <f t="shared" si="7"/>
        <v>25461000</v>
      </c>
      <c r="M35" s="28">
        <f t="shared" si="7"/>
        <v>0</v>
      </c>
      <c r="N35" s="47">
        <f t="shared" si="7"/>
        <v>-25461000</v>
      </c>
      <c r="O35" s="42">
        <f t="shared" si="7"/>
        <v>0</v>
      </c>
      <c r="P35" s="30">
        <f t="shared" si="7"/>
        <v>0</v>
      </c>
      <c r="Q35" s="30">
        <f t="shared" si="7"/>
        <v>0</v>
      </c>
      <c r="R35" s="69">
        <f t="shared" si="7"/>
        <v>0</v>
      </c>
      <c r="S35" s="48">
        <f t="shared" si="7"/>
        <v>0</v>
      </c>
      <c r="T35" s="28">
        <f t="shared" si="7"/>
        <v>0</v>
      </c>
      <c r="U35" s="28">
        <f t="shared" si="7"/>
        <v>0</v>
      </c>
      <c r="V35" s="31">
        <f t="shared" si="7"/>
        <v>0</v>
      </c>
    </row>
    <row r="36" spans="1:22" ht="20.100000000000001" customHeight="1">
      <c r="A36" s="90" t="s">
        <v>63</v>
      </c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2"/>
    </row>
    <row r="37" spans="1:22">
      <c r="A37" s="26" t="s">
        <v>24</v>
      </c>
      <c r="B37" s="14" t="s">
        <v>25</v>
      </c>
      <c r="C37" s="14" t="s">
        <v>26</v>
      </c>
      <c r="D37" s="14" t="s">
        <v>59</v>
      </c>
      <c r="E37" s="14" t="s">
        <v>47</v>
      </c>
      <c r="F37" s="15" t="s">
        <v>64</v>
      </c>
      <c r="G37" s="14" t="s">
        <v>65</v>
      </c>
      <c r="H37" s="14" t="s">
        <v>66</v>
      </c>
      <c r="I37" s="15" t="s">
        <v>67</v>
      </c>
      <c r="J37" s="16"/>
      <c r="K37" s="78">
        <v>0</v>
      </c>
      <c r="L37" s="18">
        <v>64482970.049999997</v>
      </c>
      <c r="M37" s="8">
        <v>0</v>
      </c>
      <c r="N37" s="46">
        <f>K37-L37-M37</f>
        <v>-64482970.049999997</v>
      </c>
      <c r="O37" s="133">
        <v>0</v>
      </c>
      <c r="P37" s="134">
        <v>0</v>
      </c>
      <c r="Q37" s="134">
        <v>0</v>
      </c>
      <c r="R37" s="135">
        <f>O37-P37-Q37</f>
        <v>0</v>
      </c>
      <c r="S37" s="122">
        <v>0</v>
      </c>
      <c r="T37" s="78">
        <v>0</v>
      </c>
      <c r="U37" s="78">
        <v>0</v>
      </c>
      <c r="V37" s="136">
        <f>S37-T37-U37</f>
        <v>0</v>
      </c>
    </row>
    <row r="38" spans="1:22">
      <c r="A38" s="26" t="s">
        <v>24</v>
      </c>
      <c r="B38" s="14" t="s">
        <v>25</v>
      </c>
      <c r="C38" s="14" t="s">
        <v>26</v>
      </c>
      <c r="D38" s="14" t="s">
        <v>59</v>
      </c>
      <c r="E38" s="14" t="s">
        <v>48</v>
      </c>
      <c r="F38" s="15" t="s">
        <v>64</v>
      </c>
      <c r="G38" s="14" t="s">
        <v>65</v>
      </c>
      <c r="H38" s="14" t="s">
        <v>66</v>
      </c>
      <c r="I38" s="15" t="s">
        <v>67</v>
      </c>
      <c r="J38" s="16"/>
      <c r="K38" s="78">
        <v>0</v>
      </c>
      <c r="L38" s="18">
        <v>6800271240.3100004</v>
      </c>
      <c r="M38" s="8">
        <v>0</v>
      </c>
      <c r="N38" s="46">
        <f>K38-L38-M38</f>
        <v>-6800271240.3100004</v>
      </c>
      <c r="O38" s="133">
        <v>0</v>
      </c>
      <c r="P38" s="134">
        <v>0</v>
      </c>
      <c r="Q38" s="134">
        <v>0</v>
      </c>
      <c r="R38" s="135">
        <f t="shared" ref="R38:R40" si="8">O38-P38-Q38</f>
        <v>0</v>
      </c>
      <c r="S38" s="122">
        <v>0</v>
      </c>
      <c r="T38" s="78">
        <v>0</v>
      </c>
      <c r="U38" s="78">
        <v>0</v>
      </c>
      <c r="V38" s="136">
        <f t="shared" ref="V38:V40" si="9">S38-T38-U38</f>
        <v>0</v>
      </c>
    </row>
    <row r="39" spans="1:22">
      <c r="A39" s="26" t="s">
        <v>24</v>
      </c>
      <c r="B39" s="14" t="s">
        <v>25</v>
      </c>
      <c r="C39" s="14" t="s">
        <v>26</v>
      </c>
      <c r="D39" s="14" t="s">
        <v>59</v>
      </c>
      <c r="E39" s="14" t="s">
        <v>47</v>
      </c>
      <c r="F39" s="15" t="s">
        <v>112</v>
      </c>
      <c r="G39" s="14" t="s">
        <v>65</v>
      </c>
      <c r="H39" s="14" t="s">
        <v>66</v>
      </c>
      <c r="I39" s="15" t="s">
        <v>67</v>
      </c>
      <c r="J39" s="16"/>
      <c r="K39" s="129">
        <v>64482970.049999997</v>
      </c>
      <c r="L39" s="86">
        <v>0</v>
      </c>
      <c r="M39" s="83">
        <v>0</v>
      </c>
      <c r="N39" s="130">
        <f t="shared" ref="N39:N40" si="10">K39-L39-M39</f>
        <v>64482970.049999997</v>
      </c>
      <c r="O39" s="137">
        <v>0</v>
      </c>
      <c r="P39" s="138">
        <v>0</v>
      </c>
      <c r="Q39" s="138">
        <v>0</v>
      </c>
      <c r="R39" s="135">
        <f t="shared" si="8"/>
        <v>0</v>
      </c>
      <c r="S39" s="139">
        <v>0</v>
      </c>
      <c r="T39" s="86">
        <v>0</v>
      </c>
      <c r="U39" s="86">
        <v>0</v>
      </c>
      <c r="V39" s="136">
        <f t="shared" si="9"/>
        <v>0</v>
      </c>
    </row>
    <row r="40" spans="1:22">
      <c r="A40" s="26" t="s">
        <v>24</v>
      </c>
      <c r="B40" s="14" t="s">
        <v>25</v>
      </c>
      <c r="C40" s="14" t="s">
        <v>26</v>
      </c>
      <c r="D40" s="14" t="s">
        <v>59</v>
      </c>
      <c r="E40" s="14" t="s">
        <v>48</v>
      </c>
      <c r="F40" s="15" t="s">
        <v>112</v>
      </c>
      <c r="G40" s="14" t="s">
        <v>65</v>
      </c>
      <c r="H40" s="14" t="s">
        <v>66</v>
      </c>
      <c r="I40" s="15" t="s">
        <v>67</v>
      </c>
      <c r="J40" s="16"/>
      <c r="K40" s="129">
        <v>7376354629.9499998</v>
      </c>
      <c r="L40" s="86">
        <v>0</v>
      </c>
      <c r="M40" s="83">
        <v>0</v>
      </c>
      <c r="N40" s="130">
        <f t="shared" si="10"/>
        <v>7376354629.9499998</v>
      </c>
      <c r="O40" s="137">
        <v>0</v>
      </c>
      <c r="P40" s="138">
        <v>0</v>
      </c>
      <c r="Q40" s="138">
        <v>0</v>
      </c>
      <c r="R40" s="135">
        <f t="shared" si="8"/>
        <v>0</v>
      </c>
      <c r="S40" s="139">
        <v>0</v>
      </c>
      <c r="T40" s="86">
        <v>0</v>
      </c>
      <c r="U40" s="86">
        <v>0</v>
      </c>
      <c r="V40" s="136">
        <f t="shared" si="9"/>
        <v>0</v>
      </c>
    </row>
    <row r="41" spans="1:22" ht="15.75" customHeight="1" thickBot="1">
      <c r="A41" s="87" t="s">
        <v>34</v>
      </c>
      <c r="B41" s="88"/>
      <c r="C41" s="88"/>
      <c r="D41" s="88"/>
      <c r="E41" s="88"/>
      <c r="F41" s="88"/>
      <c r="G41" s="88"/>
      <c r="H41" s="88"/>
      <c r="I41" s="88"/>
      <c r="J41" s="89"/>
      <c r="K41" s="29">
        <f>SUM(K37:K40)</f>
        <v>7440837600</v>
      </c>
      <c r="L41" s="29">
        <f t="shared" ref="L41:V41" si="11">SUM(L37:L40)</f>
        <v>6864754210.3600006</v>
      </c>
      <c r="M41" s="131">
        <f t="shared" si="11"/>
        <v>0</v>
      </c>
      <c r="N41" s="132">
        <f>SUM(N37:N40)</f>
        <v>576083389.63999939</v>
      </c>
      <c r="O41" s="137">
        <f>SUM(O37:O40)</f>
        <v>0</v>
      </c>
      <c r="P41" s="138">
        <f t="shared" si="11"/>
        <v>0</v>
      </c>
      <c r="Q41" s="138">
        <f t="shared" si="11"/>
        <v>0</v>
      </c>
      <c r="R41" s="141">
        <f t="shared" si="11"/>
        <v>0</v>
      </c>
      <c r="S41" s="131">
        <f t="shared" si="11"/>
        <v>0</v>
      </c>
      <c r="T41" s="131">
        <f t="shared" si="11"/>
        <v>0</v>
      </c>
      <c r="U41" s="131">
        <f t="shared" si="11"/>
        <v>0</v>
      </c>
      <c r="V41" s="142">
        <f t="shared" si="11"/>
        <v>0</v>
      </c>
    </row>
    <row r="42" spans="1:22" ht="20.100000000000001" customHeight="1">
      <c r="A42" s="90" t="s">
        <v>70</v>
      </c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2"/>
    </row>
    <row r="43" spans="1:22">
      <c r="A43" s="26" t="s">
        <v>24</v>
      </c>
      <c r="B43" s="14" t="s">
        <v>25</v>
      </c>
      <c r="C43" s="14" t="s">
        <v>71</v>
      </c>
      <c r="D43" s="14" t="s">
        <v>59</v>
      </c>
      <c r="E43" s="14" t="s">
        <v>47</v>
      </c>
      <c r="F43" s="15"/>
      <c r="G43" s="14" t="s">
        <v>60</v>
      </c>
      <c r="H43" s="14" t="s">
        <v>72</v>
      </c>
      <c r="I43" s="15" t="s">
        <v>73</v>
      </c>
      <c r="J43" s="16"/>
      <c r="K43" s="78">
        <v>0</v>
      </c>
      <c r="L43" s="78">
        <v>0</v>
      </c>
      <c r="M43" s="8">
        <v>0</v>
      </c>
      <c r="N43" s="117">
        <f>K43-L43-M43</f>
        <v>0</v>
      </c>
      <c r="O43" s="41">
        <v>0</v>
      </c>
      <c r="P43" s="17">
        <v>0</v>
      </c>
      <c r="Q43" s="17">
        <v>0</v>
      </c>
      <c r="R43" s="68">
        <f>O43-P43-Q43</f>
        <v>0</v>
      </c>
      <c r="S43" s="60">
        <v>0</v>
      </c>
      <c r="T43" s="8">
        <v>0</v>
      </c>
      <c r="U43" s="8">
        <v>0</v>
      </c>
      <c r="V43" s="27">
        <f>S43-T43-U43</f>
        <v>0</v>
      </c>
    </row>
    <row r="44" spans="1:22">
      <c r="A44" s="26" t="s">
        <v>24</v>
      </c>
      <c r="B44" s="14" t="s">
        <v>25</v>
      </c>
      <c r="C44" s="14" t="s">
        <v>71</v>
      </c>
      <c r="D44" s="14" t="s">
        <v>59</v>
      </c>
      <c r="E44" s="14" t="s">
        <v>47</v>
      </c>
      <c r="F44" s="15"/>
      <c r="G44" s="14" t="s">
        <v>65</v>
      </c>
      <c r="H44" s="14" t="s">
        <v>72</v>
      </c>
      <c r="I44" s="15" t="s">
        <v>73</v>
      </c>
      <c r="J44" s="16"/>
      <c r="K44" s="78">
        <v>0</v>
      </c>
      <c r="L44" s="18">
        <v>1305900</v>
      </c>
      <c r="M44" s="8">
        <v>0</v>
      </c>
      <c r="N44" s="46">
        <f>K44-L44-M44</f>
        <v>-1305900</v>
      </c>
      <c r="O44" s="41">
        <v>0</v>
      </c>
      <c r="P44" s="17">
        <v>0</v>
      </c>
      <c r="Q44" s="17">
        <v>0</v>
      </c>
      <c r="R44" s="68">
        <f>O44-P44-Q44</f>
        <v>0</v>
      </c>
      <c r="S44" s="60">
        <v>0</v>
      </c>
      <c r="T44" s="8">
        <v>0</v>
      </c>
      <c r="U44" s="8">
        <v>0</v>
      </c>
      <c r="V44" s="27">
        <f>S44-T44-U44</f>
        <v>0</v>
      </c>
    </row>
    <row r="45" spans="1:22">
      <c r="A45" s="26" t="s">
        <v>24</v>
      </c>
      <c r="B45" s="14" t="s">
        <v>25</v>
      </c>
      <c r="C45" s="14" t="s">
        <v>71</v>
      </c>
      <c r="D45" s="14" t="s">
        <v>59</v>
      </c>
      <c r="E45" s="14" t="s">
        <v>48</v>
      </c>
      <c r="F45" s="15"/>
      <c r="G45" s="14" t="s">
        <v>65</v>
      </c>
      <c r="H45" s="14" t="s">
        <v>72</v>
      </c>
      <c r="I45" s="15" t="s">
        <v>73</v>
      </c>
      <c r="J45" s="16"/>
      <c r="K45" s="78">
        <v>0</v>
      </c>
      <c r="L45" s="18">
        <v>53164164.950000003</v>
      </c>
      <c r="M45" s="8">
        <v>0</v>
      </c>
      <c r="N45" s="46">
        <f>K45-L45-M45</f>
        <v>-53164164.950000003</v>
      </c>
      <c r="O45" s="41">
        <v>0</v>
      </c>
      <c r="P45" s="17">
        <v>0</v>
      </c>
      <c r="Q45" s="17">
        <v>0</v>
      </c>
      <c r="R45" s="68">
        <f>O45-P45-Q45</f>
        <v>0</v>
      </c>
      <c r="S45" s="60">
        <v>0</v>
      </c>
      <c r="T45" s="8">
        <v>0</v>
      </c>
      <c r="U45" s="8">
        <v>0</v>
      </c>
      <c r="V45" s="27">
        <f>S45-T45-U45</f>
        <v>0</v>
      </c>
    </row>
    <row r="46" spans="1:22" ht="15.75" customHeight="1" thickBot="1">
      <c r="A46" s="87" t="s">
        <v>34</v>
      </c>
      <c r="B46" s="88"/>
      <c r="C46" s="88"/>
      <c r="D46" s="88"/>
      <c r="E46" s="88"/>
      <c r="F46" s="88"/>
      <c r="G46" s="88"/>
      <c r="H46" s="88"/>
      <c r="I46" s="88"/>
      <c r="J46" s="89"/>
      <c r="K46" s="131">
        <f t="shared" ref="K46:V46" si="12">SUM(K43:K45)</f>
        <v>0</v>
      </c>
      <c r="L46" s="29">
        <f t="shared" si="12"/>
        <v>54470064.950000003</v>
      </c>
      <c r="M46" s="28">
        <f t="shared" si="12"/>
        <v>0</v>
      </c>
      <c r="N46" s="143">
        <f t="shared" si="12"/>
        <v>-54470064.950000003</v>
      </c>
      <c r="O46" s="42">
        <f t="shared" si="12"/>
        <v>0</v>
      </c>
      <c r="P46" s="30">
        <f t="shared" si="12"/>
        <v>0</v>
      </c>
      <c r="Q46" s="30">
        <f t="shared" si="12"/>
        <v>0</v>
      </c>
      <c r="R46" s="69">
        <f t="shared" si="12"/>
        <v>0</v>
      </c>
      <c r="S46" s="48">
        <f t="shared" si="12"/>
        <v>0</v>
      </c>
      <c r="T46" s="28">
        <f t="shared" si="12"/>
        <v>0</v>
      </c>
      <c r="U46" s="28">
        <f t="shared" si="12"/>
        <v>0</v>
      </c>
      <c r="V46" s="31">
        <f t="shared" si="12"/>
        <v>0</v>
      </c>
    </row>
    <row r="47" spans="1:22" ht="20.100000000000001" customHeight="1">
      <c r="A47" s="90" t="s">
        <v>74</v>
      </c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2"/>
    </row>
    <row r="48" spans="1:22">
      <c r="A48" s="26" t="s">
        <v>24</v>
      </c>
      <c r="B48" s="14" t="s">
        <v>25</v>
      </c>
      <c r="C48" s="14" t="s">
        <v>75</v>
      </c>
      <c r="D48" s="14" t="s">
        <v>59</v>
      </c>
      <c r="E48" s="14" t="s">
        <v>47</v>
      </c>
      <c r="F48" s="15" t="s">
        <v>76</v>
      </c>
      <c r="G48" s="14" t="s">
        <v>65</v>
      </c>
      <c r="H48" s="14" t="s">
        <v>77</v>
      </c>
      <c r="I48" s="15" t="s">
        <v>78</v>
      </c>
      <c r="J48" s="16"/>
      <c r="K48" s="8">
        <v>0</v>
      </c>
      <c r="L48" s="18">
        <v>3316134.94</v>
      </c>
      <c r="M48" s="8">
        <v>0</v>
      </c>
      <c r="N48" s="46">
        <f>K48-L48-M48</f>
        <v>-3316134.94</v>
      </c>
      <c r="O48" s="41">
        <v>0</v>
      </c>
      <c r="P48" s="17">
        <v>0</v>
      </c>
      <c r="Q48" s="17">
        <v>0</v>
      </c>
      <c r="R48" s="68">
        <f>O48-P48-Q48</f>
        <v>0</v>
      </c>
      <c r="S48" s="60">
        <v>0</v>
      </c>
      <c r="T48" s="8">
        <v>0</v>
      </c>
      <c r="U48" s="8">
        <v>0</v>
      </c>
      <c r="V48" s="27">
        <f>S48-T48-U48</f>
        <v>0</v>
      </c>
    </row>
    <row r="49" spans="1:22" ht="15" customHeight="1">
      <c r="A49" s="26" t="s">
        <v>24</v>
      </c>
      <c r="B49" s="14" t="s">
        <v>25</v>
      </c>
      <c r="C49" s="14" t="s">
        <v>75</v>
      </c>
      <c r="D49" s="14" t="s">
        <v>59</v>
      </c>
      <c r="E49" s="14" t="s">
        <v>48</v>
      </c>
      <c r="F49" s="15" t="s">
        <v>76</v>
      </c>
      <c r="G49" s="14" t="s">
        <v>65</v>
      </c>
      <c r="H49" s="14" t="s">
        <v>77</v>
      </c>
      <c r="I49" s="15" t="s">
        <v>78</v>
      </c>
      <c r="J49" s="16"/>
      <c r="K49" s="8">
        <v>0</v>
      </c>
      <c r="L49" s="18">
        <v>239631088.59999999</v>
      </c>
      <c r="M49" s="8">
        <v>0</v>
      </c>
      <c r="N49" s="46">
        <f>K49-L49-M49</f>
        <v>-239631088.59999999</v>
      </c>
      <c r="O49" s="41">
        <v>0</v>
      </c>
      <c r="P49" s="17">
        <v>0</v>
      </c>
      <c r="Q49" s="17">
        <v>0</v>
      </c>
      <c r="R49" s="68">
        <f>O49-P49-Q49</f>
        <v>0</v>
      </c>
      <c r="S49" s="60">
        <v>0</v>
      </c>
      <c r="T49" s="8">
        <v>0</v>
      </c>
      <c r="U49" s="8">
        <v>0</v>
      </c>
      <c r="V49" s="27">
        <f>S49-T49-U49</f>
        <v>0</v>
      </c>
    </row>
    <row r="50" spans="1:22" ht="15" customHeight="1" thickBot="1">
      <c r="A50" s="87" t="s">
        <v>34</v>
      </c>
      <c r="B50" s="88"/>
      <c r="C50" s="88"/>
      <c r="D50" s="88"/>
      <c r="E50" s="88"/>
      <c r="F50" s="88"/>
      <c r="G50" s="88"/>
      <c r="H50" s="88"/>
      <c r="I50" s="88"/>
      <c r="J50" s="89"/>
      <c r="K50" s="28">
        <f t="shared" ref="K50:V50" si="13">SUM(K48:K49)</f>
        <v>0</v>
      </c>
      <c r="L50" s="29">
        <f t="shared" si="13"/>
        <v>242947223.53999999</v>
      </c>
      <c r="M50" s="28">
        <f t="shared" si="13"/>
        <v>0</v>
      </c>
      <c r="N50" s="47">
        <f t="shared" si="13"/>
        <v>-242947223.53999999</v>
      </c>
      <c r="O50" s="42">
        <f t="shared" si="13"/>
        <v>0</v>
      </c>
      <c r="P50" s="30">
        <f t="shared" si="13"/>
        <v>0</v>
      </c>
      <c r="Q50" s="30">
        <f t="shared" si="13"/>
        <v>0</v>
      </c>
      <c r="R50" s="69">
        <f t="shared" si="13"/>
        <v>0</v>
      </c>
      <c r="S50" s="48">
        <f t="shared" si="13"/>
        <v>0</v>
      </c>
      <c r="T50" s="28">
        <f t="shared" si="13"/>
        <v>0</v>
      </c>
      <c r="U50" s="28">
        <f t="shared" si="13"/>
        <v>0</v>
      </c>
      <c r="V50" s="31">
        <f t="shared" si="13"/>
        <v>0</v>
      </c>
    </row>
    <row r="51" spans="1:22" ht="20.100000000000001" customHeight="1">
      <c r="A51" s="90" t="s">
        <v>79</v>
      </c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2"/>
    </row>
    <row r="52" spans="1:22" ht="15" customHeight="1">
      <c r="A52" s="26" t="s">
        <v>24</v>
      </c>
      <c r="B52" s="14" t="s">
        <v>80</v>
      </c>
      <c r="C52" s="14" t="s">
        <v>83</v>
      </c>
      <c r="D52" s="14" t="s">
        <v>59</v>
      </c>
      <c r="E52" s="14" t="s">
        <v>47</v>
      </c>
      <c r="F52" s="15"/>
      <c r="G52" s="14" t="s">
        <v>65</v>
      </c>
      <c r="H52" s="14" t="s">
        <v>81</v>
      </c>
      <c r="I52" s="15" t="s">
        <v>82</v>
      </c>
      <c r="J52" s="16"/>
      <c r="K52" s="78">
        <v>0</v>
      </c>
      <c r="L52" s="78">
        <v>0</v>
      </c>
      <c r="M52" s="78">
        <v>0</v>
      </c>
      <c r="N52" s="117">
        <f>K52-L52-M52</f>
        <v>0</v>
      </c>
      <c r="O52" s="144">
        <v>40000000</v>
      </c>
      <c r="P52" s="17">
        <v>0</v>
      </c>
      <c r="Q52" s="17">
        <v>0</v>
      </c>
      <c r="R52" s="70">
        <f>O52-P52-Q52</f>
        <v>40000000</v>
      </c>
      <c r="S52" s="122">
        <v>0</v>
      </c>
      <c r="T52" s="78">
        <v>0</v>
      </c>
      <c r="U52" s="78">
        <v>0</v>
      </c>
      <c r="V52" s="136">
        <f>S52-T52-U52</f>
        <v>0</v>
      </c>
    </row>
    <row r="53" spans="1:22" ht="15" customHeight="1">
      <c r="A53" s="26" t="s">
        <v>24</v>
      </c>
      <c r="B53" s="14" t="s">
        <v>80</v>
      </c>
      <c r="C53" s="14" t="s">
        <v>83</v>
      </c>
      <c r="D53" s="14" t="s">
        <v>59</v>
      </c>
      <c r="E53" s="14" t="s">
        <v>48</v>
      </c>
      <c r="F53" s="15"/>
      <c r="G53" s="14" t="s">
        <v>65</v>
      </c>
      <c r="H53" s="14" t="s">
        <v>81</v>
      </c>
      <c r="I53" s="15" t="s">
        <v>82</v>
      </c>
      <c r="J53" s="16"/>
      <c r="K53" s="7">
        <v>2000000000</v>
      </c>
      <c r="L53" s="7">
        <v>1960000000</v>
      </c>
      <c r="M53" s="8">
        <v>0</v>
      </c>
      <c r="N53" s="130">
        <f>K53-L53-M53</f>
        <v>40000000</v>
      </c>
      <c r="O53" s="144">
        <v>2979517600</v>
      </c>
      <c r="P53" s="146">
        <v>2978254099.96</v>
      </c>
      <c r="Q53" s="17">
        <v>0</v>
      </c>
      <c r="R53" s="70">
        <f>O53-P53-Q53</f>
        <v>1263500.0399999619</v>
      </c>
      <c r="S53" s="122">
        <v>0</v>
      </c>
      <c r="T53" s="78">
        <v>0</v>
      </c>
      <c r="U53" s="78">
        <v>0</v>
      </c>
      <c r="V53" s="136">
        <f>S53-T53-U53</f>
        <v>0</v>
      </c>
    </row>
    <row r="54" spans="1:22" ht="15" customHeight="1" thickBot="1">
      <c r="A54" s="87" t="s">
        <v>34</v>
      </c>
      <c r="B54" s="88"/>
      <c r="C54" s="88"/>
      <c r="D54" s="88"/>
      <c r="E54" s="88"/>
      <c r="F54" s="88"/>
      <c r="G54" s="88"/>
      <c r="H54" s="88"/>
      <c r="I54" s="88"/>
      <c r="J54" s="89"/>
      <c r="K54" s="29">
        <f>SUM(K52:K53)</f>
        <v>2000000000</v>
      </c>
      <c r="L54" s="29">
        <f>SUM(L52:L53)</f>
        <v>1960000000</v>
      </c>
      <c r="M54" s="28">
        <f>SUM(M52:M53)</f>
        <v>0</v>
      </c>
      <c r="N54" s="44">
        <f>SUM(N52:N53)</f>
        <v>40000000</v>
      </c>
      <c r="O54" s="145">
        <f>SUM(O52:O53)</f>
        <v>3019517600</v>
      </c>
      <c r="P54" s="147">
        <f>SUM(P52:P53)</f>
        <v>2978254099.96</v>
      </c>
      <c r="Q54" s="30">
        <f>SUM(Q52:Q53)</f>
        <v>0</v>
      </c>
      <c r="R54" s="148">
        <f>SUM(R52:R53)</f>
        <v>41263500.039999962</v>
      </c>
      <c r="S54" s="149">
        <f>SUM(S52:S53)</f>
        <v>0</v>
      </c>
      <c r="T54" s="140">
        <f>SUM(T52:T53)</f>
        <v>0</v>
      </c>
      <c r="U54" s="140">
        <f>SUM(U52:U53)</f>
        <v>0</v>
      </c>
      <c r="V54" s="150">
        <f>SUM(V52:V53)</f>
        <v>0</v>
      </c>
    </row>
    <row r="55" spans="1:22" ht="20.100000000000001" customHeight="1">
      <c r="A55" s="90" t="s">
        <v>84</v>
      </c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2"/>
    </row>
    <row r="56" spans="1:22" ht="15" customHeight="1">
      <c r="A56" s="26" t="s">
        <v>24</v>
      </c>
      <c r="B56" s="14" t="s">
        <v>25</v>
      </c>
      <c r="C56" s="14" t="s">
        <v>71</v>
      </c>
      <c r="D56" s="14" t="s">
        <v>59</v>
      </c>
      <c r="E56" s="14" t="s">
        <v>47</v>
      </c>
      <c r="F56" s="15"/>
      <c r="G56" s="14" t="s">
        <v>65</v>
      </c>
      <c r="H56" s="14" t="s">
        <v>72</v>
      </c>
      <c r="I56" s="15" t="s">
        <v>85</v>
      </c>
      <c r="J56" s="15"/>
      <c r="K56" s="78">
        <v>0</v>
      </c>
      <c r="L56" s="18">
        <v>3963792.99</v>
      </c>
      <c r="M56" s="8">
        <v>0</v>
      </c>
      <c r="N56" s="46">
        <f>K56-L56-M56</f>
        <v>-3963792.99</v>
      </c>
      <c r="O56" s="41">
        <v>0</v>
      </c>
      <c r="P56" s="17">
        <v>0</v>
      </c>
      <c r="Q56" s="17">
        <v>0</v>
      </c>
      <c r="R56" s="68">
        <f>O56-P56-Q56</f>
        <v>0</v>
      </c>
      <c r="S56" s="60">
        <v>0</v>
      </c>
      <c r="T56" s="8">
        <v>0</v>
      </c>
      <c r="U56" s="8">
        <v>0</v>
      </c>
      <c r="V56" s="27">
        <f>S56-T56-U56</f>
        <v>0</v>
      </c>
    </row>
    <row r="57" spans="1:22" ht="15" customHeight="1">
      <c r="A57" s="26" t="s">
        <v>24</v>
      </c>
      <c r="B57" s="14" t="s">
        <v>25</v>
      </c>
      <c r="C57" s="14" t="s">
        <v>71</v>
      </c>
      <c r="D57" s="14" t="s">
        <v>59</v>
      </c>
      <c r="E57" s="14" t="s">
        <v>48</v>
      </c>
      <c r="F57" s="15"/>
      <c r="G57" s="14" t="s">
        <v>65</v>
      </c>
      <c r="H57" s="14" t="s">
        <v>72</v>
      </c>
      <c r="I57" s="15" t="s">
        <v>85</v>
      </c>
      <c r="J57" s="15"/>
      <c r="K57" s="78">
        <v>0</v>
      </c>
      <c r="L57" s="18">
        <v>247570156.03999999</v>
      </c>
      <c r="M57" s="8">
        <v>0</v>
      </c>
      <c r="N57" s="46">
        <f>K57-L57-M57</f>
        <v>-247570156.03999999</v>
      </c>
      <c r="O57" s="41">
        <v>0</v>
      </c>
      <c r="P57" s="17">
        <v>0</v>
      </c>
      <c r="Q57" s="17">
        <v>0</v>
      </c>
      <c r="R57" s="68">
        <f>O57-P57-Q57</f>
        <v>0</v>
      </c>
      <c r="S57" s="60">
        <v>0</v>
      </c>
      <c r="T57" s="8">
        <v>0</v>
      </c>
      <c r="U57" s="8">
        <v>0</v>
      </c>
      <c r="V57" s="27">
        <f>S57-T57-U57</f>
        <v>0</v>
      </c>
    </row>
    <row r="58" spans="1:22" ht="15" customHeight="1" thickBot="1">
      <c r="A58" s="87" t="s">
        <v>34</v>
      </c>
      <c r="B58" s="88"/>
      <c r="C58" s="88"/>
      <c r="D58" s="88"/>
      <c r="E58" s="88"/>
      <c r="F58" s="88"/>
      <c r="G58" s="88"/>
      <c r="H58" s="88"/>
      <c r="I58" s="88"/>
      <c r="J58" s="89"/>
      <c r="K58" s="140">
        <f>SUM(K56:K57)</f>
        <v>0</v>
      </c>
      <c r="L58" s="29">
        <f>SUM(L56:L57)</f>
        <v>251533949.03</v>
      </c>
      <c r="M58" s="28">
        <f>SUM(M56:M57)</f>
        <v>0</v>
      </c>
      <c r="N58" s="47">
        <f>SUM(N56:N57)</f>
        <v>-251533949.03</v>
      </c>
      <c r="O58" s="151">
        <f>SUM(O56:O57)</f>
        <v>0</v>
      </c>
      <c r="P58" s="152">
        <f>SUM(P56:P57)</f>
        <v>0</v>
      </c>
      <c r="Q58" s="152">
        <f>SUM(Q56:Q57)</f>
        <v>0</v>
      </c>
      <c r="R58" s="153">
        <f>SUM(R56:R57)</f>
        <v>0</v>
      </c>
      <c r="S58" s="48">
        <f>SUM(S56:S57)</f>
        <v>0</v>
      </c>
      <c r="T58" s="28">
        <f>SUM(T56:T57)</f>
        <v>0</v>
      </c>
      <c r="U58" s="28">
        <f>SUM(U56:U57)</f>
        <v>0</v>
      </c>
      <c r="V58" s="31">
        <f>SUM(V56:V57)</f>
        <v>0</v>
      </c>
    </row>
    <row r="59" spans="1:22" ht="20.100000000000001" customHeight="1">
      <c r="A59" s="90" t="s">
        <v>87</v>
      </c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2"/>
    </row>
    <row r="60" spans="1:22" ht="15" customHeight="1">
      <c r="A60" s="26" t="s">
        <v>24</v>
      </c>
      <c r="B60" s="14" t="s">
        <v>25</v>
      </c>
      <c r="C60" s="14" t="s">
        <v>68</v>
      </c>
      <c r="D60" s="14" t="s">
        <v>59</v>
      </c>
      <c r="E60" s="14" t="s">
        <v>48</v>
      </c>
      <c r="F60" s="15"/>
      <c r="G60" s="14" t="s">
        <v>65</v>
      </c>
      <c r="H60" s="14" t="s">
        <v>69</v>
      </c>
      <c r="I60" s="15" t="s">
        <v>88</v>
      </c>
      <c r="J60" s="16"/>
      <c r="K60" s="78">
        <v>0</v>
      </c>
      <c r="L60" s="18">
        <v>95514310.109999999</v>
      </c>
      <c r="M60" s="8">
        <v>0</v>
      </c>
      <c r="N60" s="46">
        <f>K60-L60-M60</f>
        <v>-95514310.109999999</v>
      </c>
      <c r="O60" s="41">
        <v>0</v>
      </c>
      <c r="P60" s="17">
        <v>0</v>
      </c>
      <c r="Q60" s="17">
        <v>0</v>
      </c>
      <c r="R60" s="68">
        <f>O60-P60-Q60</f>
        <v>0</v>
      </c>
      <c r="S60" s="60">
        <v>0</v>
      </c>
      <c r="T60" s="8">
        <v>0</v>
      </c>
      <c r="U60" s="8">
        <v>0</v>
      </c>
      <c r="V60" s="27">
        <f>S60-T60-U60</f>
        <v>0</v>
      </c>
    </row>
    <row r="61" spans="1:22" ht="15" customHeight="1" thickBot="1">
      <c r="A61" s="87" t="s">
        <v>34</v>
      </c>
      <c r="B61" s="88"/>
      <c r="C61" s="88"/>
      <c r="D61" s="88"/>
      <c r="E61" s="88"/>
      <c r="F61" s="88"/>
      <c r="G61" s="88"/>
      <c r="H61" s="88"/>
      <c r="I61" s="88"/>
      <c r="J61" s="89"/>
      <c r="K61" s="131">
        <f t="shared" ref="K61:V61" si="14">SUM(K60)</f>
        <v>0</v>
      </c>
      <c r="L61" s="29">
        <f t="shared" si="14"/>
        <v>95514310.109999999</v>
      </c>
      <c r="M61" s="28">
        <f t="shared" si="14"/>
        <v>0</v>
      </c>
      <c r="N61" s="143">
        <f t="shared" si="14"/>
        <v>-95514310.109999999</v>
      </c>
      <c r="O61" s="42">
        <f t="shared" si="14"/>
        <v>0</v>
      </c>
      <c r="P61" s="30">
        <f t="shared" si="14"/>
        <v>0</v>
      </c>
      <c r="Q61" s="30">
        <f t="shared" si="14"/>
        <v>0</v>
      </c>
      <c r="R61" s="69">
        <f t="shared" si="14"/>
        <v>0</v>
      </c>
      <c r="S61" s="48">
        <f t="shared" si="14"/>
        <v>0</v>
      </c>
      <c r="T61" s="28">
        <f t="shared" si="14"/>
        <v>0</v>
      </c>
      <c r="U61" s="28">
        <f t="shared" si="14"/>
        <v>0</v>
      </c>
      <c r="V61" s="31">
        <f t="shared" si="14"/>
        <v>0</v>
      </c>
    </row>
    <row r="62" spans="1:22" ht="20.100000000000001" customHeight="1">
      <c r="A62" s="90" t="s">
        <v>89</v>
      </c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2"/>
    </row>
    <row r="63" spans="1:22" ht="15" customHeight="1">
      <c r="A63" s="26" t="s">
        <v>24</v>
      </c>
      <c r="B63" s="14" t="s">
        <v>25</v>
      </c>
      <c r="C63" s="14" t="s">
        <v>90</v>
      </c>
      <c r="D63" s="14" t="s">
        <v>59</v>
      </c>
      <c r="E63" s="14" t="s">
        <v>47</v>
      </c>
      <c r="F63" s="15" t="s">
        <v>91</v>
      </c>
      <c r="G63" s="14" t="s">
        <v>60</v>
      </c>
      <c r="H63" s="14" t="s">
        <v>92</v>
      </c>
      <c r="I63" s="15" t="s">
        <v>93</v>
      </c>
      <c r="J63" s="15" t="s">
        <v>86</v>
      </c>
      <c r="K63" s="8">
        <v>0</v>
      </c>
      <c r="L63" s="18">
        <v>21913422.989999998</v>
      </c>
      <c r="M63" s="8">
        <v>0</v>
      </c>
      <c r="N63" s="46">
        <f>K63-L63-M63</f>
        <v>-21913422.989999998</v>
      </c>
      <c r="O63" s="41">
        <v>0</v>
      </c>
      <c r="P63" s="17">
        <v>0</v>
      </c>
      <c r="Q63" s="17">
        <v>0</v>
      </c>
      <c r="R63" s="68">
        <f>O63-P63-Q63</f>
        <v>0</v>
      </c>
      <c r="S63" s="122">
        <v>0</v>
      </c>
      <c r="T63" s="78">
        <v>0</v>
      </c>
      <c r="U63" s="78">
        <v>0</v>
      </c>
      <c r="V63" s="136">
        <f>S63-T63-U63</f>
        <v>0</v>
      </c>
    </row>
    <row r="64" spans="1:22" ht="15" customHeight="1">
      <c r="A64" s="26" t="s">
        <v>24</v>
      </c>
      <c r="B64" s="14" t="s">
        <v>25</v>
      </c>
      <c r="C64" s="14" t="s">
        <v>90</v>
      </c>
      <c r="D64" s="14" t="s">
        <v>59</v>
      </c>
      <c r="E64" s="14" t="s">
        <v>48</v>
      </c>
      <c r="F64" s="15" t="s">
        <v>91</v>
      </c>
      <c r="G64" s="14" t="s">
        <v>65</v>
      </c>
      <c r="H64" s="14" t="s">
        <v>92</v>
      </c>
      <c r="I64" s="15" t="s">
        <v>93</v>
      </c>
      <c r="J64" s="15"/>
      <c r="K64" s="8">
        <v>0</v>
      </c>
      <c r="L64" s="18">
        <v>58822400</v>
      </c>
      <c r="M64" s="8">
        <v>0</v>
      </c>
      <c r="N64" s="46">
        <f>K64-L64-M64</f>
        <v>-58822400</v>
      </c>
      <c r="O64" s="41">
        <v>0</v>
      </c>
      <c r="P64" s="25">
        <v>1581873252.97</v>
      </c>
      <c r="Q64" s="17">
        <v>0</v>
      </c>
      <c r="R64" s="74">
        <f>O64-P64-Q64</f>
        <v>-1581873252.97</v>
      </c>
      <c r="S64" s="122">
        <v>0</v>
      </c>
      <c r="T64" s="78">
        <v>0</v>
      </c>
      <c r="U64" s="78">
        <v>0</v>
      </c>
      <c r="V64" s="136">
        <f>S64-T64-U64</f>
        <v>0</v>
      </c>
    </row>
    <row r="65" spans="1:22" ht="15" customHeight="1">
      <c r="A65" s="26" t="s">
        <v>24</v>
      </c>
      <c r="B65" s="14" t="s">
        <v>25</v>
      </c>
      <c r="C65" s="14" t="s">
        <v>90</v>
      </c>
      <c r="D65" s="14" t="s">
        <v>59</v>
      </c>
      <c r="E65" s="14" t="s">
        <v>48</v>
      </c>
      <c r="F65" s="15" t="s">
        <v>91</v>
      </c>
      <c r="G65" s="14" t="s">
        <v>65</v>
      </c>
      <c r="H65" s="14" t="s">
        <v>92</v>
      </c>
      <c r="I65" s="15" t="s">
        <v>93</v>
      </c>
      <c r="J65" s="15" t="s">
        <v>86</v>
      </c>
      <c r="K65" s="8">
        <v>0</v>
      </c>
      <c r="L65" s="18">
        <v>1954480546.9100001</v>
      </c>
      <c r="M65" s="8">
        <v>0</v>
      </c>
      <c r="N65" s="46">
        <f>K65-L65-M65</f>
        <v>-1954480546.9100001</v>
      </c>
      <c r="O65" s="41">
        <v>0</v>
      </c>
      <c r="P65" s="134">
        <v>0</v>
      </c>
      <c r="Q65" s="17">
        <v>0</v>
      </c>
      <c r="R65" s="135">
        <f>O65-P65-Q65</f>
        <v>0</v>
      </c>
      <c r="S65" s="122">
        <v>0</v>
      </c>
      <c r="T65" s="78">
        <v>0</v>
      </c>
      <c r="U65" s="78">
        <v>0</v>
      </c>
      <c r="V65" s="136">
        <f>S65-T65-U65</f>
        <v>0</v>
      </c>
    </row>
    <row r="66" spans="1:22" ht="15" customHeight="1" thickBot="1">
      <c r="A66" s="87" t="s">
        <v>34</v>
      </c>
      <c r="B66" s="88"/>
      <c r="C66" s="88"/>
      <c r="D66" s="88"/>
      <c r="E66" s="88"/>
      <c r="F66" s="88"/>
      <c r="G66" s="88"/>
      <c r="H66" s="88"/>
      <c r="I66" s="88"/>
      <c r="J66" s="89"/>
      <c r="K66" s="28">
        <f>SUM(K63:K65)</f>
        <v>0</v>
      </c>
      <c r="L66" s="29">
        <f>SUM(L63:L65)</f>
        <v>2035216369.9000001</v>
      </c>
      <c r="M66" s="28">
        <f>SUM(M63:M65)</f>
        <v>0</v>
      </c>
      <c r="N66" s="47">
        <f>SUM(N63:N65)</f>
        <v>-2035216369.9000001</v>
      </c>
      <c r="O66" s="154">
        <f>SUM(O63:O65)</f>
        <v>0</v>
      </c>
      <c r="P66" s="32">
        <f>SUM(P63:P65)</f>
        <v>1581873252.97</v>
      </c>
      <c r="Q66" s="30">
        <f>SUM(Q63:Q65)</f>
        <v>0</v>
      </c>
      <c r="R66" s="75">
        <f>SUM(R63:R65)</f>
        <v>-1581873252.97</v>
      </c>
      <c r="S66" s="149">
        <f>SUM(S63:S65)</f>
        <v>0</v>
      </c>
      <c r="T66" s="140">
        <f>SUM(T63:T65)</f>
        <v>0</v>
      </c>
      <c r="U66" s="140">
        <f>SUM(U63:U65)</f>
        <v>0</v>
      </c>
      <c r="V66" s="150">
        <f>SUM(V63:V65)</f>
        <v>0</v>
      </c>
    </row>
    <row r="67" spans="1:22" ht="20.100000000000001" customHeight="1">
      <c r="A67" s="90" t="s">
        <v>94</v>
      </c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2"/>
    </row>
    <row r="68" spans="1:22" ht="15" customHeight="1">
      <c r="A68" s="26" t="s">
        <v>24</v>
      </c>
      <c r="B68" s="14" t="s">
        <v>25</v>
      </c>
      <c r="C68" s="14" t="s">
        <v>68</v>
      </c>
      <c r="D68" s="14" t="s">
        <v>59</v>
      </c>
      <c r="E68" s="14" t="s">
        <v>48</v>
      </c>
      <c r="F68" s="15"/>
      <c r="G68" s="14" t="s">
        <v>65</v>
      </c>
      <c r="H68" s="14" t="s">
        <v>69</v>
      </c>
      <c r="I68" s="15" t="s">
        <v>95</v>
      </c>
      <c r="J68" s="15"/>
      <c r="K68" s="78">
        <v>0</v>
      </c>
      <c r="L68" s="18">
        <v>21835275.920000002</v>
      </c>
      <c r="M68" s="8">
        <v>0</v>
      </c>
      <c r="N68" s="46">
        <f>K68-L68-M68</f>
        <v>-21835275.920000002</v>
      </c>
      <c r="O68" s="41">
        <v>0</v>
      </c>
      <c r="P68" s="17">
        <v>0</v>
      </c>
      <c r="Q68" s="17">
        <v>0</v>
      </c>
      <c r="R68" s="68">
        <f>O68-P68-Q68</f>
        <v>0</v>
      </c>
      <c r="S68" s="60">
        <v>0</v>
      </c>
      <c r="T68" s="8">
        <v>0</v>
      </c>
      <c r="U68" s="8">
        <v>0</v>
      </c>
      <c r="V68" s="27">
        <f>S68-T68-U68</f>
        <v>0</v>
      </c>
    </row>
    <row r="69" spans="1:22" ht="15" customHeight="1" thickBot="1">
      <c r="A69" s="87" t="s">
        <v>34</v>
      </c>
      <c r="B69" s="88"/>
      <c r="C69" s="88"/>
      <c r="D69" s="88"/>
      <c r="E69" s="88"/>
      <c r="F69" s="88"/>
      <c r="G69" s="88"/>
      <c r="H69" s="88"/>
      <c r="I69" s="88"/>
      <c r="J69" s="89"/>
      <c r="K69" s="131">
        <f>SUM(K68:K68)</f>
        <v>0</v>
      </c>
      <c r="L69" s="29">
        <f>SUM(L68:L68)</f>
        <v>21835275.920000002</v>
      </c>
      <c r="M69" s="28">
        <f>SUM(M68:M68)</f>
        <v>0</v>
      </c>
      <c r="N69" s="143">
        <f>SUM(N68:N68)</f>
        <v>-21835275.920000002</v>
      </c>
      <c r="O69" s="42">
        <f>SUM(O68:O68)</f>
        <v>0</v>
      </c>
      <c r="P69" s="30">
        <f>SUM(P68:P68)</f>
        <v>0</v>
      </c>
      <c r="Q69" s="30">
        <f>SUM(Q68:Q68)</f>
        <v>0</v>
      </c>
      <c r="R69" s="69">
        <f>SUM(R68:R68)</f>
        <v>0</v>
      </c>
      <c r="S69" s="48">
        <f>SUM(S68:S68)</f>
        <v>0</v>
      </c>
      <c r="T69" s="28">
        <f>SUM(T68:T68)</f>
        <v>0</v>
      </c>
      <c r="U69" s="28">
        <f>SUM(U68:U68)</f>
        <v>0</v>
      </c>
      <c r="V69" s="31">
        <f>SUM(V68:V68)</f>
        <v>0</v>
      </c>
    </row>
    <row r="70" spans="1:22" ht="20.100000000000001" customHeight="1">
      <c r="A70" s="90" t="s">
        <v>96</v>
      </c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2"/>
    </row>
    <row r="71" spans="1:22" ht="15" customHeight="1">
      <c r="A71" s="26" t="s">
        <v>24</v>
      </c>
      <c r="B71" s="14" t="s">
        <v>25</v>
      </c>
      <c r="C71" s="14" t="s">
        <v>97</v>
      </c>
      <c r="D71" s="14" t="s">
        <v>59</v>
      </c>
      <c r="E71" s="14" t="s">
        <v>47</v>
      </c>
      <c r="F71" s="15"/>
      <c r="G71" s="14" t="s">
        <v>65</v>
      </c>
      <c r="H71" s="14" t="s">
        <v>98</v>
      </c>
      <c r="I71" s="15" t="s">
        <v>99</v>
      </c>
      <c r="J71" s="15"/>
      <c r="K71" s="78">
        <v>0</v>
      </c>
      <c r="L71" s="18">
        <v>600000</v>
      </c>
      <c r="M71" s="8">
        <v>0</v>
      </c>
      <c r="N71" s="46">
        <f>K71-L71-M71</f>
        <v>-600000</v>
      </c>
      <c r="O71" s="41">
        <v>0</v>
      </c>
      <c r="P71" s="17">
        <v>0</v>
      </c>
      <c r="Q71" s="17">
        <v>0</v>
      </c>
      <c r="R71" s="68">
        <f>O71-P71-Q71</f>
        <v>0</v>
      </c>
      <c r="S71" s="60">
        <v>0</v>
      </c>
      <c r="T71" s="8">
        <v>0</v>
      </c>
      <c r="U71" s="8">
        <v>0</v>
      </c>
      <c r="V71" s="27">
        <f>S71-T71-U71</f>
        <v>0</v>
      </c>
    </row>
    <row r="72" spans="1:22" ht="15" customHeight="1">
      <c r="A72" s="26" t="s">
        <v>24</v>
      </c>
      <c r="B72" s="14" t="s">
        <v>25</v>
      </c>
      <c r="C72" s="14" t="s">
        <v>97</v>
      </c>
      <c r="D72" s="14" t="s">
        <v>59</v>
      </c>
      <c r="E72" s="14" t="s">
        <v>48</v>
      </c>
      <c r="F72" s="15"/>
      <c r="G72" s="14" t="s">
        <v>65</v>
      </c>
      <c r="H72" s="14" t="s">
        <v>98</v>
      </c>
      <c r="I72" s="15" t="s">
        <v>99</v>
      </c>
      <c r="J72" s="15"/>
      <c r="K72" s="78">
        <v>0</v>
      </c>
      <c r="L72" s="18">
        <v>9640601.8399999999</v>
      </c>
      <c r="M72" s="8">
        <v>0</v>
      </c>
      <c r="N72" s="46">
        <f>K72-L72-M72</f>
        <v>-9640601.8399999999</v>
      </c>
      <c r="O72" s="41">
        <v>0</v>
      </c>
      <c r="P72" s="17">
        <v>0</v>
      </c>
      <c r="Q72" s="17">
        <v>0</v>
      </c>
      <c r="R72" s="68">
        <f>O72-P72-Q72</f>
        <v>0</v>
      </c>
      <c r="S72" s="60">
        <v>0</v>
      </c>
      <c r="T72" s="8">
        <v>0</v>
      </c>
      <c r="U72" s="8">
        <v>0</v>
      </c>
      <c r="V72" s="27">
        <f>S72-T72-U72</f>
        <v>0</v>
      </c>
    </row>
    <row r="73" spans="1:22" ht="15" customHeight="1" thickBot="1">
      <c r="A73" s="87" t="s">
        <v>34</v>
      </c>
      <c r="B73" s="88"/>
      <c r="C73" s="88"/>
      <c r="D73" s="88"/>
      <c r="E73" s="88"/>
      <c r="F73" s="88"/>
      <c r="G73" s="88"/>
      <c r="H73" s="88"/>
      <c r="I73" s="88"/>
      <c r="J73" s="89"/>
      <c r="K73" s="140">
        <f>SUM(K71:K72)</f>
        <v>0</v>
      </c>
      <c r="L73" s="29">
        <f>SUM(L71:L72)</f>
        <v>10240601.84</v>
      </c>
      <c r="M73" s="28">
        <f>SUM(M71:M72)</f>
        <v>0</v>
      </c>
      <c r="N73" s="143">
        <f>SUM(N71:N72)</f>
        <v>-10240601.84</v>
      </c>
      <c r="O73" s="42">
        <f>SUM(O71:O72)</f>
        <v>0</v>
      </c>
      <c r="P73" s="30">
        <f>SUM(P71:P72)</f>
        <v>0</v>
      </c>
      <c r="Q73" s="30">
        <f>SUM(Q71:Q72)</f>
        <v>0</v>
      </c>
      <c r="R73" s="69">
        <f>SUM(R71:R72)</f>
        <v>0</v>
      </c>
      <c r="S73" s="48">
        <f>SUM(S71:S72)</f>
        <v>0</v>
      </c>
      <c r="T73" s="28">
        <f>SUM(T71:T72)</f>
        <v>0</v>
      </c>
      <c r="U73" s="28">
        <f>SUM(U71:U72)</f>
        <v>0</v>
      </c>
      <c r="V73" s="31">
        <f>SUM(V71:V72)</f>
        <v>0</v>
      </c>
    </row>
    <row r="74" spans="1:22" ht="20.100000000000001" customHeight="1">
      <c r="A74" s="90" t="s">
        <v>100</v>
      </c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2"/>
    </row>
    <row r="75" spans="1:22" ht="15" customHeight="1">
      <c r="A75" s="26" t="s">
        <v>24</v>
      </c>
      <c r="B75" s="14" t="s">
        <v>25</v>
      </c>
      <c r="C75" s="14" t="s">
        <v>97</v>
      </c>
      <c r="D75" s="14" t="s">
        <v>59</v>
      </c>
      <c r="E75" s="14" t="s">
        <v>47</v>
      </c>
      <c r="F75" s="15"/>
      <c r="G75" s="14" t="s">
        <v>65</v>
      </c>
      <c r="H75" s="14" t="s">
        <v>98</v>
      </c>
      <c r="I75" s="15" t="s">
        <v>101</v>
      </c>
      <c r="J75" s="15"/>
      <c r="K75" s="78">
        <v>0</v>
      </c>
      <c r="L75" s="18">
        <v>600000</v>
      </c>
      <c r="M75" s="8">
        <v>0</v>
      </c>
      <c r="N75" s="46">
        <f>K75-L75-M75</f>
        <v>-600000</v>
      </c>
      <c r="O75" s="41">
        <v>0</v>
      </c>
      <c r="P75" s="17">
        <v>0</v>
      </c>
      <c r="Q75" s="17">
        <v>0</v>
      </c>
      <c r="R75" s="68">
        <f>O75-P75-Q75</f>
        <v>0</v>
      </c>
      <c r="S75" s="60">
        <v>0</v>
      </c>
      <c r="T75" s="8">
        <v>0</v>
      </c>
      <c r="U75" s="8">
        <v>0</v>
      </c>
      <c r="V75" s="27">
        <f>S75-T75-U75</f>
        <v>0</v>
      </c>
    </row>
    <row r="76" spans="1:22" ht="15" customHeight="1">
      <c r="A76" s="26" t="s">
        <v>24</v>
      </c>
      <c r="B76" s="14" t="s">
        <v>25</v>
      </c>
      <c r="C76" s="14" t="s">
        <v>97</v>
      </c>
      <c r="D76" s="14" t="s">
        <v>59</v>
      </c>
      <c r="E76" s="14" t="s">
        <v>48</v>
      </c>
      <c r="F76" s="15"/>
      <c r="G76" s="14" t="s">
        <v>65</v>
      </c>
      <c r="H76" s="14" t="s">
        <v>98</v>
      </c>
      <c r="I76" s="15" t="s">
        <v>101</v>
      </c>
      <c r="J76" s="15"/>
      <c r="K76" s="78">
        <v>0</v>
      </c>
      <c r="L76" s="18">
        <v>25294753.239999998</v>
      </c>
      <c r="M76" s="8">
        <v>0</v>
      </c>
      <c r="N76" s="46">
        <f>K76-L76-M76</f>
        <v>-25294753.239999998</v>
      </c>
      <c r="O76" s="41">
        <v>0</v>
      </c>
      <c r="P76" s="17">
        <v>0</v>
      </c>
      <c r="Q76" s="17">
        <v>0</v>
      </c>
      <c r="R76" s="68">
        <f>O76-P76-Q76</f>
        <v>0</v>
      </c>
      <c r="S76" s="60">
        <v>0</v>
      </c>
      <c r="T76" s="8">
        <v>0</v>
      </c>
      <c r="U76" s="8">
        <v>0</v>
      </c>
      <c r="V76" s="27">
        <f>S76-T76-U76</f>
        <v>0</v>
      </c>
    </row>
    <row r="77" spans="1:22" ht="15" customHeight="1" thickBot="1">
      <c r="A77" s="87" t="s">
        <v>34</v>
      </c>
      <c r="B77" s="88"/>
      <c r="C77" s="88"/>
      <c r="D77" s="88"/>
      <c r="E77" s="88"/>
      <c r="F77" s="88"/>
      <c r="G77" s="88"/>
      <c r="H77" s="88"/>
      <c r="I77" s="88"/>
      <c r="J77" s="89"/>
      <c r="K77" s="140">
        <f>SUM(K75:K76)</f>
        <v>0</v>
      </c>
      <c r="L77" s="29">
        <f>SUM(L75:L76)</f>
        <v>25894753.239999998</v>
      </c>
      <c r="M77" s="28">
        <f>SUM(M75:M76)</f>
        <v>0</v>
      </c>
      <c r="N77" s="143">
        <f>SUM(N75:N76)</f>
        <v>-25894753.239999998</v>
      </c>
      <c r="O77" s="42">
        <f>SUM(O75:O76)</f>
        <v>0</v>
      </c>
      <c r="P77" s="30">
        <f>SUM(P75:P76)</f>
        <v>0</v>
      </c>
      <c r="Q77" s="30">
        <f>SUM(Q75:Q76)</f>
        <v>0</v>
      </c>
      <c r="R77" s="69">
        <f>SUM(R75:R76)</f>
        <v>0</v>
      </c>
      <c r="S77" s="48">
        <f>SUM(S75:S76)</f>
        <v>0</v>
      </c>
      <c r="T77" s="28">
        <f>SUM(T75:T76)</f>
        <v>0</v>
      </c>
      <c r="U77" s="28">
        <f>SUM(U75:U76)</f>
        <v>0</v>
      </c>
      <c r="V77" s="31">
        <f>SUM(V75:V76)</f>
        <v>0</v>
      </c>
    </row>
    <row r="78" spans="1:22" ht="20.100000000000001" customHeight="1">
      <c r="A78" s="90" t="s">
        <v>102</v>
      </c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2"/>
    </row>
    <row r="79" spans="1:22" ht="15" customHeight="1">
      <c r="A79" s="26" t="s">
        <v>24</v>
      </c>
      <c r="B79" s="14" t="s">
        <v>25</v>
      </c>
      <c r="C79" s="14" t="s">
        <v>68</v>
      </c>
      <c r="D79" s="14" t="s">
        <v>59</v>
      </c>
      <c r="E79" s="14" t="s">
        <v>47</v>
      </c>
      <c r="F79" s="15"/>
      <c r="G79" s="14" t="s">
        <v>60</v>
      </c>
      <c r="H79" s="14" t="s">
        <v>69</v>
      </c>
      <c r="I79" s="15" t="s">
        <v>103</v>
      </c>
      <c r="J79" s="15"/>
      <c r="K79" s="18">
        <v>129993400</v>
      </c>
      <c r="L79" s="18">
        <v>174549741.34</v>
      </c>
      <c r="M79" s="8">
        <v>0</v>
      </c>
      <c r="N79" s="46">
        <f>K79-L79-M79</f>
        <v>-44556341.340000004</v>
      </c>
      <c r="O79" s="133">
        <v>0</v>
      </c>
      <c r="P79" s="134">
        <v>0</v>
      </c>
      <c r="Q79" s="134">
        <v>0</v>
      </c>
      <c r="R79" s="135">
        <f>O79-P79-Q79</f>
        <v>0</v>
      </c>
      <c r="S79" s="60">
        <v>0</v>
      </c>
      <c r="T79" s="8">
        <v>0</v>
      </c>
      <c r="U79" s="8">
        <v>0</v>
      </c>
      <c r="V79" s="27">
        <f>S79-T79-U79</f>
        <v>0</v>
      </c>
    </row>
    <row r="80" spans="1:22" ht="15" customHeight="1">
      <c r="A80" s="26" t="s">
        <v>24</v>
      </c>
      <c r="B80" s="14" t="s">
        <v>25</v>
      </c>
      <c r="C80" s="14" t="s">
        <v>68</v>
      </c>
      <c r="D80" s="14" t="s">
        <v>59</v>
      </c>
      <c r="E80" s="14" t="s">
        <v>48</v>
      </c>
      <c r="F80" s="15"/>
      <c r="G80" s="14" t="s">
        <v>65</v>
      </c>
      <c r="H80" s="14" t="s">
        <v>69</v>
      </c>
      <c r="I80" s="15" t="s">
        <v>103</v>
      </c>
      <c r="J80" s="15"/>
      <c r="K80" s="7">
        <v>510711600</v>
      </c>
      <c r="L80" s="7">
        <v>499921925.02999997</v>
      </c>
      <c r="M80" s="8">
        <v>0</v>
      </c>
      <c r="N80" s="43">
        <f>K80-L80-M80</f>
        <v>10789674.970000029</v>
      </c>
      <c r="O80" s="49">
        <v>750000000</v>
      </c>
      <c r="P80" s="25">
        <v>734260327.38</v>
      </c>
      <c r="Q80" s="17">
        <v>0</v>
      </c>
      <c r="R80" s="70">
        <f>O80-P80-Q80</f>
        <v>15739672.620000005</v>
      </c>
      <c r="S80" s="72">
        <v>4255132100</v>
      </c>
      <c r="T80" s="18">
        <v>4061865640.8499999</v>
      </c>
      <c r="U80" s="8">
        <v>0</v>
      </c>
      <c r="V80" s="33">
        <f>S80-T80-U80</f>
        <v>193266459.1500001</v>
      </c>
    </row>
    <row r="81" spans="1:22" ht="15" customHeight="1" thickBot="1">
      <c r="A81" s="87" t="s">
        <v>34</v>
      </c>
      <c r="B81" s="88"/>
      <c r="C81" s="88"/>
      <c r="D81" s="88"/>
      <c r="E81" s="88"/>
      <c r="F81" s="88"/>
      <c r="G81" s="88"/>
      <c r="H81" s="88"/>
      <c r="I81" s="88"/>
      <c r="J81" s="89"/>
      <c r="K81" s="29">
        <f t="shared" ref="K81:V81" si="15">SUM(K79:K80)</f>
        <v>640705000</v>
      </c>
      <c r="L81" s="29">
        <f t="shared" si="15"/>
        <v>674471666.37</v>
      </c>
      <c r="M81" s="28">
        <f t="shared" si="15"/>
        <v>0</v>
      </c>
      <c r="N81" s="47">
        <f t="shared" si="15"/>
        <v>-33766666.369999975</v>
      </c>
      <c r="O81" s="50">
        <f t="shared" si="15"/>
        <v>750000000</v>
      </c>
      <c r="P81" s="32">
        <f t="shared" si="15"/>
        <v>734260327.38</v>
      </c>
      <c r="Q81" s="30">
        <f t="shared" si="15"/>
        <v>0</v>
      </c>
      <c r="R81" s="71">
        <f t="shared" si="15"/>
        <v>15739672.620000005</v>
      </c>
      <c r="S81" s="73">
        <f t="shared" si="15"/>
        <v>4255132100</v>
      </c>
      <c r="T81" s="29">
        <f t="shared" si="15"/>
        <v>4061865640.8499999</v>
      </c>
      <c r="U81" s="28">
        <f t="shared" si="15"/>
        <v>0</v>
      </c>
      <c r="V81" s="34">
        <f t="shared" si="15"/>
        <v>193266459.1500001</v>
      </c>
    </row>
    <row r="82" spans="1:22" ht="20.100000000000001" customHeight="1">
      <c r="A82" s="90" t="s">
        <v>104</v>
      </c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2"/>
    </row>
    <row r="83" spans="1:22" ht="15" customHeight="1">
      <c r="A83" s="26" t="s">
        <v>24</v>
      </c>
      <c r="B83" s="14" t="s">
        <v>25</v>
      </c>
      <c r="C83" s="14" t="s">
        <v>68</v>
      </c>
      <c r="D83" s="14" t="s">
        <v>59</v>
      </c>
      <c r="E83" s="14" t="s">
        <v>47</v>
      </c>
      <c r="F83" s="15"/>
      <c r="G83" s="14" t="s">
        <v>60</v>
      </c>
      <c r="H83" s="14" t="s">
        <v>69</v>
      </c>
      <c r="I83" s="15" t="s">
        <v>105</v>
      </c>
      <c r="J83" s="15"/>
      <c r="K83" s="78">
        <v>0</v>
      </c>
      <c r="L83" s="18">
        <v>2731741.06</v>
      </c>
      <c r="M83" s="8">
        <v>0</v>
      </c>
      <c r="N83" s="46">
        <f>K83-L83-M83</f>
        <v>-2731741.06</v>
      </c>
      <c r="O83" s="41">
        <v>0</v>
      </c>
      <c r="P83" s="17">
        <v>0</v>
      </c>
      <c r="Q83" s="17">
        <v>0</v>
      </c>
      <c r="R83" s="68">
        <f>O83-P83-Q83</f>
        <v>0</v>
      </c>
      <c r="S83" s="60">
        <v>0</v>
      </c>
      <c r="T83" s="8">
        <v>0</v>
      </c>
      <c r="U83" s="8">
        <v>0</v>
      </c>
      <c r="V83" s="27">
        <f>S83-T83-U83</f>
        <v>0</v>
      </c>
    </row>
    <row r="84" spans="1:22" ht="15" customHeight="1">
      <c r="A84" s="26" t="s">
        <v>24</v>
      </c>
      <c r="B84" s="14" t="s">
        <v>25</v>
      </c>
      <c r="C84" s="14" t="s">
        <v>68</v>
      </c>
      <c r="D84" s="14" t="s">
        <v>59</v>
      </c>
      <c r="E84" s="14" t="s">
        <v>47</v>
      </c>
      <c r="F84" s="15"/>
      <c r="G84" s="14" t="s">
        <v>65</v>
      </c>
      <c r="H84" s="14" t="s">
        <v>69</v>
      </c>
      <c r="I84" s="15" t="s">
        <v>105</v>
      </c>
      <c r="J84" s="15"/>
      <c r="K84" s="78">
        <v>0</v>
      </c>
      <c r="L84" s="18">
        <v>619716.91</v>
      </c>
      <c r="M84" s="8">
        <v>0</v>
      </c>
      <c r="N84" s="46">
        <f>K84-L84-M84</f>
        <v>-619716.91</v>
      </c>
      <c r="O84" s="41">
        <v>0</v>
      </c>
      <c r="P84" s="17">
        <v>0</v>
      </c>
      <c r="Q84" s="17">
        <v>0</v>
      </c>
      <c r="R84" s="68">
        <f>O84-P84-Q84</f>
        <v>0</v>
      </c>
      <c r="S84" s="60">
        <v>0</v>
      </c>
      <c r="T84" s="8">
        <v>0</v>
      </c>
      <c r="U84" s="8">
        <v>0</v>
      </c>
      <c r="V84" s="27">
        <f>S84-T84-U84</f>
        <v>0</v>
      </c>
    </row>
    <row r="85" spans="1:22" ht="15" customHeight="1">
      <c r="A85" s="26" t="s">
        <v>24</v>
      </c>
      <c r="B85" s="14" t="s">
        <v>25</v>
      </c>
      <c r="C85" s="14" t="s">
        <v>68</v>
      </c>
      <c r="D85" s="14" t="s">
        <v>59</v>
      </c>
      <c r="E85" s="14" t="s">
        <v>48</v>
      </c>
      <c r="F85" s="15"/>
      <c r="G85" s="14" t="s">
        <v>65</v>
      </c>
      <c r="H85" s="14" t="s">
        <v>69</v>
      </c>
      <c r="I85" s="15" t="s">
        <v>105</v>
      </c>
      <c r="J85" s="15"/>
      <c r="K85" s="78">
        <v>0</v>
      </c>
      <c r="L85" s="18">
        <v>89865908.640000001</v>
      </c>
      <c r="M85" s="8">
        <v>0</v>
      </c>
      <c r="N85" s="46">
        <f>K85-L85-M85</f>
        <v>-89865908.640000001</v>
      </c>
      <c r="O85" s="41">
        <v>0</v>
      </c>
      <c r="P85" s="17">
        <v>0</v>
      </c>
      <c r="Q85" s="17">
        <v>0</v>
      </c>
      <c r="R85" s="68">
        <f>O85-P85-Q85</f>
        <v>0</v>
      </c>
      <c r="S85" s="60">
        <v>0</v>
      </c>
      <c r="T85" s="8">
        <v>0</v>
      </c>
      <c r="U85" s="8">
        <v>0</v>
      </c>
      <c r="V85" s="27">
        <f>S85-T85-U85</f>
        <v>0</v>
      </c>
    </row>
    <row r="86" spans="1:22" ht="15" customHeight="1" thickBot="1">
      <c r="A86" s="87" t="s">
        <v>34</v>
      </c>
      <c r="B86" s="88"/>
      <c r="C86" s="88"/>
      <c r="D86" s="88"/>
      <c r="E86" s="88"/>
      <c r="F86" s="88"/>
      <c r="G86" s="88"/>
      <c r="H86" s="88"/>
      <c r="I86" s="88"/>
      <c r="J86" s="89"/>
      <c r="K86" s="131">
        <f t="shared" ref="K86:V86" si="16">SUM(K83:K85)</f>
        <v>0</v>
      </c>
      <c r="L86" s="29">
        <f t="shared" si="16"/>
        <v>93217366.609999999</v>
      </c>
      <c r="M86" s="28">
        <f t="shared" si="16"/>
        <v>0</v>
      </c>
      <c r="N86" s="143">
        <f t="shared" si="16"/>
        <v>-93217366.609999999</v>
      </c>
      <c r="O86" s="42">
        <f t="shared" si="16"/>
        <v>0</v>
      </c>
      <c r="P86" s="30">
        <f t="shared" si="16"/>
        <v>0</v>
      </c>
      <c r="Q86" s="30">
        <f t="shared" si="16"/>
        <v>0</v>
      </c>
      <c r="R86" s="69">
        <f t="shared" si="16"/>
        <v>0</v>
      </c>
      <c r="S86" s="48">
        <f t="shared" si="16"/>
        <v>0</v>
      </c>
      <c r="T86" s="28">
        <f t="shared" si="16"/>
        <v>0</v>
      </c>
      <c r="U86" s="28">
        <f t="shared" si="16"/>
        <v>0</v>
      </c>
      <c r="V86" s="31">
        <f t="shared" si="16"/>
        <v>0</v>
      </c>
    </row>
    <row r="87" spans="1:22" ht="20.100000000000001" customHeight="1">
      <c r="A87" s="90" t="s">
        <v>106</v>
      </c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2"/>
    </row>
    <row r="88" spans="1:22" ht="15" customHeight="1">
      <c r="A88" s="26" t="s">
        <v>24</v>
      </c>
      <c r="B88" s="14" t="s">
        <v>25</v>
      </c>
      <c r="C88" s="14" t="s">
        <v>68</v>
      </c>
      <c r="D88" s="14" t="s">
        <v>59</v>
      </c>
      <c r="E88" s="14" t="s">
        <v>48</v>
      </c>
      <c r="F88" s="15"/>
      <c r="G88" s="14" t="s">
        <v>65</v>
      </c>
      <c r="H88" s="14" t="s">
        <v>69</v>
      </c>
      <c r="I88" s="15" t="s">
        <v>107</v>
      </c>
      <c r="J88" s="15"/>
      <c r="K88" s="7">
        <v>196121700</v>
      </c>
      <c r="L88" s="8">
        <v>0</v>
      </c>
      <c r="M88" s="8">
        <v>0</v>
      </c>
      <c r="N88" s="43">
        <f>K88-L88-M88</f>
        <v>196121700</v>
      </c>
      <c r="O88" s="133">
        <v>0</v>
      </c>
      <c r="P88" s="134">
        <v>0</v>
      </c>
      <c r="Q88" s="134">
        <v>0</v>
      </c>
      <c r="R88" s="135">
        <f>O88-P88-Q88</f>
        <v>0</v>
      </c>
      <c r="S88" s="60">
        <v>0</v>
      </c>
      <c r="T88" s="8">
        <v>0</v>
      </c>
      <c r="U88" s="8">
        <v>0</v>
      </c>
      <c r="V88" s="27">
        <f>S88-T88-U88</f>
        <v>0</v>
      </c>
    </row>
    <row r="89" spans="1:22" ht="15" customHeight="1" thickBot="1">
      <c r="A89" s="87" t="s">
        <v>34</v>
      </c>
      <c r="B89" s="88"/>
      <c r="C89" s="88"/>
      <c r="D89" s="88"/>
      <c r="E89" s="88"/>
      <c r="F89" s="88"/>
      <c r="G89" s="88"/>
      <c r="H89" s="88"/>
      <c r="I89" s="88"/>
      <c r="J89" s="89"/>
      <c r="K89" s="29">
        <f>SUM(K88:K88)</f>
        <v>196121700</v>
      </c>
      <c r="L89" s="131">
        <f>SUM(L88:L88)</f>
        <v>0</v>
      </c>
      <c r="M89" s="28">
        <f>SUM(M88:M88)</f>
        <v>0</v>
      </c>
      <c r="N89" s="44">
        <f>SUM(N88:N88)</f>
        <v>196121700</v>
      </c>
      <c r="O89" s="155">
        <f>SUM(O88:O88)</f>
        <v>0</v>
      </c>
      <c r="P89" s="156">
        <f>SUM(P88:P88)</f>
        <v>0</v>
      </c>
      <c r="Q89" s="156">
        <f>SUM(Q88:Q88)</f>
        <v>0</v>
      </c>
      <c r="R89" s="157">
        <f>SUM(R88:R88)</f>
        <v>0</v>
      </c>
      <c r="S89" s="48">
        <f>SUM(S88:S88)</f>
        <v>0</v>
      </c>
      <c r="T89" s="28">
        <f>SUM(T88:T88)</f>
        <v>0</v>
      </c>
      <c r="U89" s="28">
        <f>SUM(U88:U88)</f>
        <v>0</v>
      </c>
      <c r="V89" s="31">
        <f>SUM(V88:V88)</f>
        <v>0</v>
      </c>
    </row>
    <row r="90" spans="1:22" ht="21" customHeight="1">
      <c r="A90" s="90" t="s">
        <v>113</v>
      </c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2"/>
    </row>
    <row r="91" spans="1:22" ht="15" customHeight="1">
      <c r="A91" s="26" t="s">
        <v>24</v>
      </c>
      <c r="B91" s="14" t="s">
        <v>25</v>
      </c>
      <c r="C91" s="14" t="s">
        <v>26</v>
      </c>
      <c r="D91" s="14" t="s">
        <v>59</v>
      </c>
      <c r="E91" s="14" t="s">
        <v>47</v>
      </c>
      <c r="F91" s="15" t="s">
        <v>114</v>
      </c>
      <c r="G91" s="14" t="s">
        <v>60</v>
      </c>
      <c r="H91" s="14" t="s">
        <v>66</v>
      </c>
      <c r="I91" s="14" t="s">
        <v>115</v>
      </c>
      <c r="J91" s="15"/>
      <c r="K91" s="78">
        <v>0</v>
      </c>
      <c r="L91" s="8">
        <v>0</v>
      </c>
      <c r="M91" s="8">
        <v>0</v>
      </c>
      <c r="N91" s="43">
        <f>K91-L91-M91</f>
        <v>0</v>
      </c>
      <c r="O91" s="133">
        <v>0</v>
      </c>
      <c r="P91" s="134">
        <v>0</v>
      </c>
      <c r="Q91" s="134">
        <v>0</v>
      </c>
      <c r="R91" s="135">
        <f>O91-P91-Q91</f>
        <v>0</v>
      </c>
      <c r="S91" s="61">
        <v>3492893100</v>
      </c>
      <c r="T91" s="8">
        <v>0</v>
      </c>
      <c r="U91" s="8">
        <v>0</v>
      </c>
      <c r="V91" s="33">
        <f>S91-T91-U91</f>
        <v>3492893100</v>
      </c>
    </row>
    <row r="92" spans="1:22" ht="15" customHeight="1">
      <c r="A92" s="26" t="s">
        <v>24</v>
      </c>
      <c r="B92" s="14" t="s">
        <v>25</v>
      </c>
      <c r="C92" s="14" t="s">
        <v>68</v>
      </c>
      <c r="D92" s="14" t="s">
        <v>59</v>
      </c>
      <c r="E92" s="14" t="s">
        <v>47</v>
      </c>
      <c r="F92" s="15"/>
      <c r="G92" s="14" t="s">
        <v>60</v>
      </c>
      <c r="H92" s="14" t="s">
        <v>69</v>
      </c>
      <c r="I92" s="14" t="s">
        <v>115</v>
      </c>
      <c r="J92" s="15"/>
      <c r="K92" s="7">
        <v>150000000</v>
      </c>
      <c r="L92" s="8">
        <v>0</v>
      </c>
      <c r="M92" s="8">
        <v>0</v>
      </c>
      <c r="N92" s="110">
        <f>K92-L92-M92</f>
        <v>150000000</v>
      </c>
      <c r="O92" s="144">
        <v>129472900</v>
      </c>
      <c r="P92" s="134">
        <v>0</v>
      </c>
      <c r="Q92" s="134">
        <v>0</v>
      </c>
      <c r="R92" s="70">
        <f>O92-P92-Q92</f>
        <v>129472900</v>
      </c>
      <c r="S92" s="60">
        <v>0</v>
      </c>
      <c r="T92" s="8">
        <v>0</v>
      </c>
      <c r="U92" s="8">
        <v>0</v>
      </c>
      <c r="V92" s="27">
        <f>S92-T92-U92</f>
        <v>0</v>
      </c>
    </row>
    <row r="93" spans="1:22" ht="15" customHeight="1" thickBot="1">
      <c r="A93" s="87" t="s">
        <v>34</v>
      </c>
      <c r="B93" s="88"/>
      <c r="C93" s="88"/>
      <c r="D93" s="88"/>
      <c r="E93" s="88"/>
      <c r="F93" s="88"/>
      <c r="G93" s="88"/>
      <c r="H93" s="88"/>
      <c r="I93" s="88"/>
      <c r="J93" s="89"/>
      <c r="K93" s="158">
        <f t="shared" ref="K93" si="17">SUM(K91:K92)</f>
        <v>150000000</v>
      </c>
      <c r="L93" s="28">
        <f t="shared" ref="L93" si="18">SUM(L91:L92)</f>
        <v>0</v>
      </c>
      <c r="M93" s="28">
        <f t="shared" ref="M93" si="19">SUM(M91:M92)</f>
        <v>0</v>
      </c>
      <c r="N93" s="44">
        <f t="shared" ref="N93" si="20">SUM(N91:N92)</f>
        <v>150000000</v>
      </c>
      <c r="O93" s="159">
        <f t="shared" ref="O93" si="21">SUM(O91:O92)</f>
        <v>129472900</v>
      </c>
      <c r="P93" s="156">
        <f t="shared" ref="P93" si="22">SUM(P91:P92)</f>
        <v>0</v>
      </c>
      <c r="Q93" s="156">
        <f t="shared" ref="Q93" si="23">SUM(Q91:Q92)</f>
        <v>0</v>
      </c>
      <c r="R93" s="71">
        <f t="shared" ref="R93" si="24">SUM(R91:R92)</f>
        <v>129472900</v>
      </c>
      <c r="S93" s="160">
        <f t="shared" ref="S93" si="25">SUM(S91:S92)</f>
        <v>3492893100</v>
      </c>
      <c r="T93" s="28">
        <f t="shared" ref="T93" si="26">SUM(T91:T92)</f>
        <v>0</v>
      </c>
      <c r="U93" s="28">
        <f t="shared" ref="U93" si="27">SUM(U91:U92)</f>
        <v>0</v>
      </c>
      <c r="V93" s="34">
        <f t="shared" ref="V93" si="28">SUM(V91:V92)</f>
        <v>3492893100</v>
      </c>
    </row>
    <row r="94" spans="1:22" ht="20.100000000000001" customHeight="1">
      <c r="A94" s="90" t="s">
        <v>108</v>
      </c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2"/>
    </row>
    <row r="95" spans="1:22" ht="15" customHeight="1">
      <c r="A95" s="26" t="s">
        <v>24</v>
      </c>
      <c r="B95" s="14" t="s">
        <v>25</v>
      </c>
      <c r="C95" s="14" t="s">
        <v>71</v>
      </c>
      <c r="D95" s="14" t="s">
        <v>59</v>
      </c>
      <c r="E95" s="14" t="s">
        <v>47</v>
      </c>
      <c r="F95" s="15"/>
      <c r="G95" s="14" t="s">
        <v>60</v>
      </c>
      <c r="H95" s="14" t="s">
        <v>72</v>
      </c>
      <c r="I95" s="15" t="s">
        <v>109</v>
      </c>
      <c r="J95" s="15"/>
      <c r="K95" s="7">
        <v>7528000</v>
      </c>
      <c r="L95" s="8">
        <v>0</v>
      </c>
      <c r="M95" s="8">
        <v>0</v>
      </c>
      <c r="N95" s="43">
        <f>K95-L95-M95</f>
        <v>7528000</v>
      </c>
      <c r="O95" s="133">
        <v>0</v>
      </c>
      <c r="P95" s="134">
        <v>0</v>
      </c>
      <c r="Q95" s="134">
        <v>0</v>
      </c>
      <c r="R95" s="135">
        <f>O95-P95-Q95</f>
        <v>0</v>
      </c>
      <c r="S95" s="60">
        <v>0</v>
      </c>
      <c r="T95" s="8">
        <v>0</v>
      </c>
      <c r="U95" s="8">
        <v>0</v>
      </c>
      <c r="V95" s="27">
        <f>S95-T95-U95</f>
        <v>0</v>
      </c>
    </row>
    <row r="96" spans="1:22" ht="15" customHeight="1">
      <c r="A96" s="26" t="s">
        <v>24</v>
      </c>
      <c r="B96" s="14" t="s">
        <v>25</v>
      </c>
      <c r="C96" s="14" t="s">
        <v>71</v>
      </c>
      <c r="D96" s="14" t="s">
        <v>59</v>
      </c>
      <c r="E96" s="14" t="s">
        <v>48</v>
      </c>
      <c r="F96" s="15"/>
      <c r="G96" s="14" t="s">
        <v>65</v>
      </c>
      <c r="H96" s="14" t="s">
        <v>72</v>
      </c>
      <c r="I96" s="15" t="s">
        <v>109</v>
      </c>
      <c r="J96" s="15"/>
      <c r="K96" s="7">
        <v>356858300</v>
      </c>
      <c r="L96" s="8">
        <v>0</v>
      </c>
      <c r="M96" s="8">
        <v>0</v>
      </c>
      <c r="N96" s="43">
        <f>K96-L96-M96</f>
        <v>356858300</v>
      </c>
      <c r="O96" s="133">
        <v>0</v>
      </c>
      <c r="P96" s="134">
        <v>0</v>
      </c>
      <c r="Q96" s="134">
        <v>0</v>
      </c>
      <c r="R96" s="135">
        <f>O96-P96-Q96</f>
        <v>0</v>
      </c>
      <c r="S96" s="60">
        <v>0</v>
      </c>
      <c r="T96" s="8">
        <v>0</v>
      </c>
      <c r="U96" s="8">
        <v>0</v>
      </c>
      <c r="V96" s="27">
        <f>S96-T96-U96</f>
        <v>0</v>
      </c>
    </row>
    <row r="97" spans="1:22" ht="15" customHeight="1" thickBot="1">
      <c r="A97" s="87" t="s">
        <v>34</v>
      </c>
      <c r="B97" s="88"/>
      <c r="C97" s="88"/>
      <c r="D97" s="88"/>
      <c r="E97" s="88"/>
      <c r="F97" s="88"/>
      <c r="G97" s="88"/>
      <c r="H97" s="88"/>
      <c r="I97" s="88"/>
      <c r="J97" s="89"/>
      <c r="K97" s="158">
        <f t="shared" ref="K97:V97" si="29">SUM(K95:K96)</f>
        <v>364386300</v>
      </c>
      <c r="L97" s="28">
        <f t="shared" si="29"/>
        <v>0</v>
      </c>
      <c r="M97" s="28">
        <f t="shared" si="29"/>
        <v>0</v>
      </c>
      <c r="N97" s="44">
        <f t="shared" si="29"/>
        <v>364386300</v>
      </c>
      <c r="O97" s="155">
        <f t="shared" si="29"/>
        <v>0</v>
      </c>
      <c r="P97" s="156">
        <f t="shared" si="29"/>
        <v>0</v>
      </c>
      <c r="Q97" s="156">
        <f t="shared" si="29"/>
        <v>0</v>
      </c>
      <c r="R97" s="157">
        <f t="shared" si="29"/>
        <v>0</v>
      </c>
      <c r="S97" s="48">
        <f t="shared" si="29"/>
        <v>0</v>
      </c>
      <c r="T97" s="28">
        <f t="shared" si="29"/>
        <v>0</v>
      </c>
      <c r="U97" s="28">
        <f t="shared" si="29"/>
        <v>0</v>
      </c>
      <c r="V97" s="31">
        <f t="shared" si="29"/>
        <v>0</v>
      </c>
    </row>
    <row r="98" spans="1:22" ht="30" hidden="1" customHeight="1" thickBot="1">
      <c r="A98" s="96" t="s">
        <v>110</v>
      </c>
      <c r="B98" s="97"/>
      <c r="C98" s="97"/>
      <c r="D98" s="97"/>
      <c r="E98" s="97"/>
      <c r="F98" s="97"/>
      <c r="G98" s="97"/>
      <c r="H98" s="97"/>
      <c r="I98" s="97"/>
      <c r="J98" s="98"/>
      <c r="K98" s="35" t="e">
        <f>SUM(K35,K41,#REF!,K46,K50,#REF!,K54,K58,K61,K66,#REF!,K69,K73,K77,K81,#REF!,#REF!,K86,K89,#REF!,K97)</f>
        <v>#REF!</v>
      </c>
      <c r="L98" s="36" t="e">
        <f>SUM(L35,L41,#REF!,L46,L50,#REF!,L54,L58,L61,L66,#REF!,L69,L73,L77,L81,#REF!,#REF!,L86,L89,#REF!,L97)</f>
        <v>#REF!</v>
      </c>
      <c r="M98" s="36" t="e">
        <f>SUM(M35,M41,#REF!,M46,M50,#REF!,M54,M58,M61,M66,#REF!,M69,M73,M77,M81,#REF!,#REF!,M86,M89,#REF!,M97)</f>
        <v>#REF!</v>
      </c>
      <c r="N98" s="52" t="e">
        <f>SUM(N35,N41,#REF!,N46,N50,#REF!,N54,N58,N61,N66,#REF!,N69,N73,N77,N81,#REF!,#REF!,N86,N89,#REF!,N97)</f>
        <v>#REF!</v>
      </c>
      <c r="O98" s="51" t="e">
        <f>SUM(O35,O41,#REF!,O46,O50,#REF!,O54,O58,O61,O66,#REF!,O69,O73,O77,O81,#REF!,#REF!,O86,O89,#REF!,O97)</f>
        <v>#REF!</v>
      </c>
      <c r="P98" s="37" t="e">
        <f>SUM(P35,P41,#REF!,P46,P50,#REF!,P54,P58,P61,P66,#REF!,P69,P73,P77,P81,#REF!,#REF!,P86,P89,#REF!,P97)</f>
        <v>#REF!</v>
      </c>
      <c r="Q98" s="37" t="e">
        <f>SUM(Q35,Q41,#REF!,Q46,Q50,#REF!,Q54,Q58,Q61,Q66,#REF!,Q69,Q73,Q77,Q81,#REF!,#REF!,Q86,Q89,#REF!,Q97)</f>
        <v>#REF!</v>
      </c>
      <c r="R98" s="77" t="e">
        <f>SUM(R35,R41,#REF!,R46,R50,#REF!,R54,R58,R61,R66,#REF!,R69,R73,R77,R81,#REF!,#REF!,R86,R89,#REF!,R97)</f>
        <v>#REF!</v>
      </c>
      <c r="S98" s="76" t="e">
        <f>SUM(S35,S41,#REF!,S46,S50,#REF!,S54,S58,S61,S66,#REF!,S69,S73,S77,S81,#REF!,#REF!,S86,S89,#REF!,S97)</f>
        <v>#REF!</v>
      </c>
      <c r="T98" s="36" t="e">
        <f>SUM(T35,T41,#REF!,T46,T50,#REF!,T54,T58,T61,T66,#REF!,T69,T73,T77,T81,#REF!,#REF!,T86,T89,#REF!,T97)</f>
        <v>#REF!</v>
      </c>
      <c r="U98" s="36" t="e">
        <f>SUM(U35,U41,#REF!,U46,U50,#REF!,U54,U58,U61,U66,#REF!,U69,U73,U77,U81,#REF!,#REF!,U86,U89,#REF!,U97)</f>
        <v>#REF!</v>
      </c>
      <c r="V98" s="38" t="e">
        <f>SUM(V35,V41,#REF!,V46,V50,#REF!,V54,V58,V61,V66,#REF!,V69,V73,V77,V81,#REF!,#REF!,V86,V89,#REF!,V97)</f>
        <v>#REF!</v>
      </c>
    </row>
    <row r="99" spans="1:22" ht="30" hidden="1" customHeight="1" thickBot="1">
      <c r="A99" s="96" t="s">
        <v>111</v>
      </c>
      <c r="B99" s="97"/>
      <c r="C99" s="97"/>
      <c r="D99" s="97"/>
      <c r="E99" s="97"/>
      <c r="F99" s="97"/>
      <c r="G99" s="97"/>
      <c r="H99" s="97"/>
      <c r="I99" s="97"/>
      <c r="J99" s="98"/>
      <c r="K99" s="35" t="e">
        <f>SUM(K7,K13,K24,K31,K35,K41,#REF!,K46,K50,#REF!,K54,K58,K61,K66,#REF!,K69,K73,K77,K81,#REF!,#REF!,K86,K89,#REF!,K97)</f>
        <v>#REF!</v>
      </c>
      <c r="L99" s="36" t="e">
        <f>SUM(L7,L13,L24,L31,L35,L41,#REF!,L46,L50,#REF!,L54,L58,L61,L66,#REF!,L69,L73,L77,L81,#REF!,#REF!,L86,L89,#REF!,L97)</f>
        <v>#REF!</v>
      </c>
      <c r="M99" s="36" t="e">
        <f>SUM(M7,M13,M24,M31,M35,M41,#REF!,M46,M50,#REF!,M54,M58,M61,M66,#REF!,M69,M73,M77,M81,#REF!,#REF!,M86,M89,#REF!,M97)</f>
        <v>#REF!</v>
      </c>
      <c r="N99" s="53" t="e">
        <f>SUM(N7,N13,N24,N31,N35,N41,#REF!,N46,N50,#REF!,N54,N58,N61,N66,#REF!,N69,N73,N77,N81,#REF!,#REF!,N86,N89,#REF!,N97)</f>
        <v>#REF!</v>
      </c>
      <c r="O99" s="51" t="e">
        <f>SUM(O7,O13,O24,O31,O35,O41,#REF!,O46,O50,#REF!,O54,O58,O61,O66,#REF!,O69,O73,O77,O81,#REF!,#REF!,O86,O89,#REF!,O97)</f>
        <v>#REF!</v>
      </c>
      <c r="P99" s="37" t="e">
        <f>SUM(P7,P13,P24,P31,P35,P41,#REF!,P46,P50,#REF!,P54,P58,P61,P66,#REF!,P69,P73,P77,P81,#REF!,#REF!,P86,P89,#REF!,P97)</f>
        <v>#REF!</v>
      </c>
      <c r="Q99" s="37" t="e">
        <f>SUM(Q7,Q13,Q24,Q31,Q35,Q41,#REF!,Q46,Q50,#REF!,Q54,Q58,Q61,Q66,#REF!,Q69,Q73,Q77,Q81,#REF!,#REF!,Q86,Q89,#REF!,Q97)</f>
        <v>#REF!</v>
      </c>
      <c r="R99" s="77" t="e">
        <f>SUM(R7,R13,R24,R31,R35,R41,#REF!,R46,R50,#REF!,R54,R58,R61,R66,#REF!,R69,R73,R77,R81,#REF!,#REF!,R86,R89,#REF!,R97)</f>
        <v>#REF!</v>
      </c>
      <c r="S99" s="76" t="e">
        <f>SUM(S7,S13,S24,S31,S35,S41,#REF!,S46,S50,#REF!,S54,S58,S61,S66,#REF!,S69,S73,S77,S81,#REF!,#REF!,S86,S89,#REF!,S97)</f>
        <v>#REF!</v>
      </c>
      <c r="T99" s="36" t="e">
        <f>SUM(T7,T13,T24,T31,T35,T41,#REF!,T46,T50,#REF!,T54,T58,T61,T66,#REF!,T69,T73,T77,T81,#REF!,#REF!,T86,T89,#REF!,T97)</f>
        <v>#REF!</v>
      </c>
      <c r="U99" s="36" t="e">
        <f>SUM(U7,U13,U24,U31,U35,U41,#REF!,U46,U50,#REF!,U54,U58,U61,U66,#REF!,U69,U73,U77,U81,#REF!,#REF!,U86,U89,#REF!,U97)</f>
        <v>#REF!</v>
      </c>
      <c r="V99" s="40" t="e">
        <f>SUM(V7,V13,V24,V31,V35,V41,#REF!,V46,V50,#REF!,V54,V58,V61,V66,#REF!,V69,V73,V77,V81,#REF!,#REF!,V86,V89,#REF!,V97)</f>
        <v>#REF!</v>
      </c>
    </row>
    <row r="105" spans="1:22">
      <c r="O105" s="39"/>
    </row>
  </sheetData>
  <mergeCells count="47">
    <mergeCell ref="A7:J7"/>
    <mergeCell ref="A62:V62"/>
    <mergeCell ref="K1:N1"/>
    <mergeCell ref="O1:R1"/>
    <mergeCell ref="A25:V25"/>
    <mergeCell ref="A58:J58"/>
    <mergeCell ref="A51:V51"/>
    <mergeCell ref="A3:V3"/>
    <mergeCell ref="A99:J99"/>
    <mergeCell ref="A36:V36"/>
    <mergeCell ref="A54:J54"/>
    <mergeCell ref="A73:J73"/>
    <mergeCell ref="A86:J86"/>
    <mergeCell ref="A78:V78"/>
    <mergeCell ref="A61:J61"/>
    <mergeCell ref="A66:J66"/>
    <mergeCell ref="A94:V94"/>
    <mergeCell ref="A67:V67"/>
    <mergeCell ref="A70:V70"/>
    <mergeCell ref="A74:V74"/>
    <mergeCell ref="A90:V90"/>
    <mergeCell ref="S1:V1"/>
    <mergeCell ref="A77:J77"/>
    <mergeCell ref="A31:J31"/>
    <mergeCell ref="A87:V87"/>
    <mergeCell ref="A89:J89"/>
    <mergeCell ref="A41:J41"/>
    <mergeCell ref="A69:J69"/>
    <mergeCell ref="A59:V59"/>
    <mergeCell ref="A24:J24"/>
    <mergeCell ref="A47:V47"/>
    <mergeCell ref="A50:J50"/>
    <mergeCell ref="A1:J1"/>
    <mergeCell ref="A98:J98"/>
    <mergeCell ref="A8:V8"/>
    <mergeCell ref="A14:V14"/>
    <mergeCell ref="A35:J35"/>
    <mergeCell ref="A55:V55"/>
    <mergeCell ref="A82:V82"/>
    <mergeCell ref="A97:J97"/>
    <mergeCell ref="A13:J13"/>
    <mergeCell ref="A42:V42"/>
    <mergeCell ref="A93:J93"/>
    <mergeCell ref="A46:J46"/>
    <mergeCell ref="A33:V33"/>
    <mergeCell ref="A81:J81"/>
    <mergeCell ref="A32:V32"/>
  </mergeCells>
  <pageMargins left="0.19685039370078741" right="0.19685039370078741" top="0.27559055118110237" bottom="0.27559055118110237" header="0.31496062992125978" footer="0.31496062992125978"/>
  <pageSetup paperSize="9" scale="63" orientation="landscape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Лист1!Заголовки_для_печати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Собянин Евгений Андреевич (new)</dc:creator>
  <cp:lastModifiedBy>Собянин Евгений Андреевич (new)</cp:lastModifiedBy>
  <cp:lastPrinted>2025-11-24T14:26:39Z</cp:lastPrinted>
  <dcterms:created xsi:type="dcterms:W3CDTF">2006-09-28T05:33:49Z</dcterms:created>
  <dcterms:modified xsi:type="dcterms:W3CDTF">2026-01-14T08:43:02Z</dcterms:modified>
</cp:coreProperties>
</file>