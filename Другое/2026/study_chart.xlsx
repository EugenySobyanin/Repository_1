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4"/>
  </bookViews>
  <sheets>
    <sheet name="Июнь" sheetId="1" r:id="rId1"/>
    <sheet name="Июль" sheetId="4" r:id="rId2"/>
    <sheet name="Август" sheetId="5" r:id="rId3"/>
    <sheet name="Сентябрь" sheetId="6" r:id="rId4"/>
    <sheet name="Октябрь" sheetId="7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7" i="7"/>
  <c r="AJ17"/>
  <c r="AI17"/>
  <c r="AH17"/>
  <c r="AG17"/>
  <c r="AF17"/>
  <c r="AE17"/>
  <c r="AC17"/>
  <c r="AB17"/>
  <c r="AA17"/>
  <c r="Z17"/>
  <c r="Y17"/>
  <c r="X17"/>
  <c r="W17"/>
  <c r="V17"/>
  <c r="U17"/>
  <c r="T17"/>
  <c r="S17"/>
  <c r="R17"/>
  <c r="Q17"/>
  <c r="P17"/>
  <c r="O17"/>
  <c r="N17"/>
  <c r="M17"/>
  <c r="L17"/>
  <c r="K17"/>
  <c r="J17"/>
  <c r="I17"/>
  <c r="H17"/>
  <c r="G17"/>
  <c r="F17"/>
  <c r="E17"/>
  <c r="AK16"/>
  <c r="AK15"/>
  <c r="AK14"/>
  <c r="AK13"/>
  <c r="AK12"/>
  <c r="AK11"/>
  <c r="AK10"/>
  <c r="AK9"/>
  <c r="AK8"/>
  <c r="AK7"/>
  <c r="AK6"/>
  <c r="AK5"/>
  <c r="AK4"/>
  <c r="T34" i="6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1" s="1"/>
  <c r="F35" i="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23" i="7" l="1"/>
  <c r="AK24"/>
  <c r="AK18"/>
  <c r="AK22" s="1"/>
  <c r="AK20"/>
  <c r="AK19"/>
  <c r="AK42" i="5"/>
  <c r="AK40" i="6"/>
  <c r="AK41" i="5"/>
  <c r="AK36"/>
  <c r="AK40" s="1"/>
  <c r="AK36" i="6"/>
  <c r="AK35"/>
  <c r="AK38" s="1"/>
  <c r="AK37"/>
  <c r="AK38" i="5"/>
  <c r="AK37"/>
  <c r="AK21" i="7" l="1"/>
  <c r="AK39" i="5"/>
  <c r="AK39" i="6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comments3.xml><?xml version="1.0" encoding="utf-8"?>
<comments xmlns="http://schemas.openxmlformats.org/spreadsheetml/2006/main">
  <authors>
    <author>Собянин Евгений Андреевич (new)</author>
  </authors>
  <commentList>
    <comment ref="AH5" authorId="0">
      <text>
        <r>
          <rPr>
            <sz val="9"/>
            <color indexed="81"/>
            <rFont val="Tahoma"/>
            <charset val="1"/>
          </rPr>
          <t xml:space="preserve">Выполнить 60% поставленных на работе задач
</t>
        </r>
      </text>
    </comment>
    <comment ref="AH6" authorId="0">
      <text>
        <r>
          <rPr>
            <b/>
            <sz val="9"/>
            <color indexed="81"/>
            <rFont val="Tahoma"/>
            <charset val="1"/>
          </rPr>
          <t>Не отвлекаться на работе, работа без остановки</t>
        </r>
      </text>
    </comment>
    <comment ref="AH8" authorId="0">
      <text>
        <r>
          <rPr>
            <b/>
            <sz val="9"/>
            <color indexed="81"/>
            <rFont val="Tahoma"/>
            <charset val="1"/>
          </rPr>
          <t>Поделать работу которую взял на дом</t>
        </r>
      </text>
    </comment>
    <comment ref="AH9" authorId="0">
      <text>
        <r>
          <rPr>
            <sz val="9"/>
            <color indexed="81"/>
            <rFont val="Tahoma"/>
            <charset val="1"/>
          </rPr>
          <t xml:space="preserve">Должностные инструкции
</t>
        </r>
      </text>
    </comment>
    <comment ref="AI9" authorId="0">
      <text>
        <r>
          <rPr>
            <sz val="9"/>
            <color indexed="81"/>
            <rFont val="Tahoma"/>
            <charset val="1"/>
          </rPr>
          <t xml:space="preserve">KPI
</t>
        </r>
      </text>
    </comment>
    <comment ref="AI16" authorId="0">
      <text>
        <r>
          <rPr>
            <sz val="9"/>
            <color indexed="81"/>
            <rFont val="Tahoma"/>
            <charset val="1"/>
          </rPr>
          <t xml:space="preserve">Заставил себя сесть и поделать KPI
</t>
        </r>
      </text>
    </comment>
    <comment ref="AI22" authorId="0">
      <text>
        <r>
          <rPr>
            <sz val="9"/>
            <color indexed="81"/>
            <rFont val="Tahoma"/>
            <charset val="1"/>
          </rPr>
          <t xml:space="preserve">Сел за KPI 
</t>
        </r>
      </text>
    </comment>
    <comment ref="AI23" authorId="0">
      <text>
        <r>
          <rPr>
            <sz val="9"/>
            <color indexed="81"/>
            <rFont val="Tahoma"/>
            <charset val="1"/>
          </rPr>
          <t xml:space="preserve">Много времени посвятил разработке KPI, так что еще + 1 на след ячейке
</t>
        </r>
      </text>
    </comment>
  </commentList>
</comments>
</file>

<file path=xl/sharedStrings.xml><?xml version="1.0" encoding="utf-8"?>
<sst xmlns="http://schemas.openxmlformats.org/spreadsheetml/2006/main" count="969" uniqueCount="101">
  <si>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</si>
  <si>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</si>
  <si>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</si>
  <si>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</si>
  <si>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</si>
  <si>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</si>
  <si>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</si>
  <si>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</si>
  <si>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</si>
  <si>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</si>
  <si>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</si>
  <si>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</si>
  <si>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</si>
  <si>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</si>
  <si>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</si>
  <si>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</si>
  <si>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</si>
  <si>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</si>
  <si>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</si>
  <si>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</si>
  <si>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</si>
  <si>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</si>
  <si>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</si>
  <si>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</si>
  <si>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</si>
  <si>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</si>
  <si>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</si>
  <si>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</si>
  <si>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</si>
  <si>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</si>
  <si>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</si>
  <si>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</si>
  <si>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</si>
  <si>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</si>
  <si>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</si>
  <si>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</si>
  <si>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</si>
  <si>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</si>
  <si>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</si>
  <si>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</si>
  <si>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</si>
  <si>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</si>
  <si>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</si>
  <si>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</si>
  <si>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</si>
  <si>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</si>
  <si>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</si>
  <si>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</si>
  <si>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</si>
  <si>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</si>
  <si>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</si>
  <si>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</si>
  <si>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</si>
  <si>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</si>
  <si>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</si>
  <si>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</si>
  <si>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</si>
  <si>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</si>
  <si>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</si>
  <si>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</si>
  <si>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</si>
  <si>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</si>
  <si>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</si>
  <si>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</si>
  <si>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</si>
  <si>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</si>
  <si>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</si>
  <si>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</si>
  <si>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</si>
  <si>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</si>
  <si>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</si>
  <si>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</si>
  <si>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</si>
  <si>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</si>
  <si>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</si>
  <si>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</si>
  <si>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</si>
  <si>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</si>
  <si>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</si>
  <si>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</si>
  <si>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</si>
  <si>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</si>
  <si>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</si>
  <si>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</si>
  <si>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</si>
  <si>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</si>
  <si>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</si>
  <si>
    <t>87.7</t>
  </si>
  <si>
    <t>Упражнение Ситуация - Приговор - Факт</t>
  </si>
  <si>
    <t>Упражнения для голоса</t>
  </si>
  <si>
    <t>Таблица Шульте (с 14.09)</t>
  </si>
  <si>
    <t>Заявление в суд и в МТС</t>
  </si>
  <si>
    <t>Встать до 6:30</t>
  </si>
  <si>
    <t>Формирование других привычек</t>
  </si>
  <si>
    <r>
      <t xml:space="preserve">Выполнить срочные/важные задачи
</t>
    </r>
    <r>
      <rPr>
        <i/>
        <sz val="8"/>
        <color theme="1"/>
        <rFont val="Tw Cen MT Condensed Extra Bold"/>
        <family val="2"/>
      </rPr>
      <t>считается выполненным только когда важны задач нет, либо когда работал не поднимая головы весь день</t>
    </r>
  </si>
  <si>
    <t>Kpi</t>
  </si>
  <si>
    <t>Заполнить таблицу с доходами/расходами</t>
  </si>
  <si>
    <t>Таблица Шульте</t>
  </si>
  <si>
    <t>Мантра</t>
  </si>
  <si>
    <r>
      <t xml:space="preserve">Принятие себя
</t>
    </r>
    <r>
      <rPr>
        <i/>
        <sz val="11"/>
        <color theme="1"/>
        <rFont val="Tw Cen MT Condensed Extra Bold"/>
        <family val="2"/>
      </rPr>
      <t>чтение материалов</t>
    </r>
  </si>
  <si>
    <t>Конспектирование прочитанных произведений</t>
  </si>
</sst>
</file>

<file path=xl/styles.xml><?xml version="1.0" encoding="utf-8"?>
<styleSheet xmlns="http://schemas.openxmlformats.org/spreadsheetml/2006/main">
  <numFmts count="1">
    <numFmt numFmtId="164" formatCode="dd\.mmm"/>
  </numFmts>
  <fonts count="41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i/>
      <sz val="8"/>
      <color theme="1"/>
      <name val="Tw Cen MT Condensed Extra Bold"/>
      <family val="2"/>
    </font>
    <font>
      <b/>
      <sz val="11"/>
      <color rgb="FFBD07B4"/>
      <name val="Tw Cen MT Condensed Extra Bold"/>
      <family val="2"/>
    </font>
    <font>
      <b/>
      <sz val="14"/>
      <color rgb="FFBD07B4"/>
      <name val="Tw Cen MT Condensed Extra Bold"/>
      <family val="2"/>
    </font>
    <font>
      <i/>
      <sz val="11"/>
      <color theme="1"/>
      <name val="Tw Cen MT Condensed Extra Bold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62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1" fillId="35" borderId="25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0" fontId="1" fillId="11" borderId="25" xfId="0" applyFont="1" applyFill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26" borderId="14" xfId="0" applyFont="1" applyFill="1" applyBorder="1" applyAlignment="1">
      <alignment horizontal="center" vertical="center"/>
    </xf>
    <xf numFmtId="0" fontId="1" fillId="26" borderId="25" xfId="0" applyFont="1" applyFill="1" applyBorder="1" applyAlignment="1">
      <alignment horizontal="center" vertical="center"/>
    </xf>
    <xf numFmtId="0" fontId="1" fillId="26" borderId="26" xfId="0" applyFont="1" applyFill="1" applyBorder="1" applyAlignment="1">
      <alignment horizontal="center" vertical="center"/>
    </xf>
    <xf numFmtId="0" fontId="14" fillId="5" borderId="4" xfId="0" applyFont="1" applyFill="1" applyBorder="1" applyAlignment="1">
      <alignment horizontal="center" vertical="center" wrapText="1"/>
    </xf>
    <xf numFmtId="0" fontId="38" fillId="5" borderId="4" xfId="0" applyFont="1" applyFill="1" applyBorder="1" applyAlignment="1">
      <alignment horizontal="center" vertical="center" wrapText="1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39" fillId="5" borderId="5" xfId="0" applyFont="1" applyFill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4" fillId="8" borderId="7" xfId="0" applyFont="1" applyFill="1" applyBorder="1" applyAlignment="1">
      <alignment horizontal="center" vertical="center"/>
    </xf>
  </cellXfs>
  <cellStyles count="1">
    <cellStyle name="Обычный" xfId="0" builtinId="0"/>
  </cellStyles>
  <dxfs count="18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20" t="s">
        <v>0</v>
      </c>
      <c r="I9" s="121"/>
      <c r="J9" s="121"/>
      <c r="K9" s="121"/>
      <c r="L9" s="121"/>
      <c r="M9" s="121"/>
      <c r="N9" s="121"/>
      <c r="O9" s="121"/>
      <c r="P9" s="121"/>
      <c r="Q9" s="122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23" t="s">
        <v>19</v>
      </c>
      <c r="I22" s="124"/>
      <c r="J22" s="125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7" priority="1">
      <formula>Q22="+"</formula>
    </cfRule>
  </conditionalFormatting>
  <conditionalFormatting sqref="K11:Q21">
    <cfRule type="expression" dxfId="16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6" t="s">
        <v>0</v>
      </c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8" t="s">
        <v>19</v>
      </c>
      <c r="I42" s="128"/>
      <c r="J42" s="128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5" priority="10">
      <formula>AU42="+"</formula>
    </cfRule>
  </conditionalFormatting>
  <conditionalFormatting sqref="K11:AK41">
    <cfRule type="expression" dxfId="14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E35" activePane="bottomRight" state="frozen"/>
      <selection pane="topRight" activeCell="E1" sqref="E1"/>
      <selection pane="bottomLeft" activeCell="A35" sqref="A35"/>
      <selection pane="bottomRight" activeCell="D42" sqref="D42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4"/>
      <c r="B1" s="135"/>
      <c r="C1" s="136"/>
      <c r="D1" s="4" t="s">
        <v>36</v>
      </c>
      <c r="E1" s="140" t="s">
        <v>37</v>
      </c>
      <c r="F1" s="140"/>
      <c r="G1" s="140"/>
      <c r="H1" s="140"/>
      <c r="I1" s="140"/>
      <c r="J1" s="140"/>
      <c r="K1" s="140"/>
      <c r="L1" s="141" t="s">
        <v>38</v>
      </c>
      <c r="M1" s="141"/>
      <c r="N1" s="141"/>
      <c r="O1" s="141"/>
      <c r="P1" s="141"/>
      <c r="Q1" s="141"/>
      <c r="R1" s="141"/>
      <c r="S1" s="142" t="s">
        <v>39</v>
      </c>
      <c r="T1" s="142"/>
      <c r="U1" s="143" t="s">
        <v>40</v>
      </c>
      <c r="V1" s="144"/>
      <c r="W1" s="144"/>
      <c r="X1" s="144"/>
      <c r="Y1" s="145"/>
      <c r="Z1" s="146" t="s">
        <v>41</v>
      </c>
      <c r="AA1" s="146"/>
      <c r="AB1" s="146"/>
      <c r="AC1" s="146"/>
      <c r="AD1" s="146"/>
      <c r="AE1" s="129" t="s">
        <v>42</v>
      </c>
      <c r="AF1" s="129"/>
      <c r="AG1" s="129"/>
      <c r="AH1" s="130" t="s">
        <v>43</v>
      </c>
      <c r="AI1" s="130"/>
      <c r="AJ1" s="130"/>
      <c r="AK1" s="131" t="s">
        <v>35</v>
      </c>
    </row>
    <row r="2" spans="1:37" s="2" customFormat="1" ht="30" customHeight="1">
      <c r="A2" s="137"/>
      <c r="B2" s="138"/>
      <c r="C2" s="139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32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3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50" t="s">
        <v>77</v>
      </c>
      <c r="B35" s="151"/>
      <c r="C35" s="151"/>
      <c r="D35" s="152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47" t="s">
        <v>78</v>
      </c>
      <c r="AH36" s="148"/>
      <c r="AI36" s="148"/>
      <c r="AJ36" s="149"/>
      <c r="AK36" s="107">
        <f>ROUND(AVERAGE(AK4:AK34),0)</f>
        <v>16</v>
      </c>
    </row>
    <row r="37" spans="1:37" ht="30" customHeight="1">
      <c r="AG37" s="147" t="s">
        <v>79</v>
      </c>
      <c r="AH37" s="148"/>
      <c r="AI37" s="148"/>
      <c r="AJ37" s="149"/>
      <c r="AK37" s="107">
        <f>MAX(AK4:AK34)</f>
        <v>30</v>
      </c>
    </row>
    <row r="38" spans="1:37" ht="30" customHeight="1">
      <c r="AG38" s="147" t="s">
        <v>80</v>
      </c>
      <c r="AH38" s="148"/>
      <c r="AI38" s="148"/>
      <c r="AJ38" s="149"/>
      <c r="AK38" s="107">
        <f>MIN(AK4:AK34)</f>
        <v>3</v>
      </c>
    </row>
    <row r="39" spans="1:37" ht="30" customHeight="1">
      <c r="AG39" s="147" t="s">
        <v>81</v>
      </c>
      <c r="AH39" s="148"/>
      <c r="AI39" s="148"/>
      <c r="AJ39" s="149"/>
      <c r="AK39" s="107">
        <f>COUNTIF(AK4:AK34, "&gt;"&amp;AK36)</f>
        <v>12</v>
      </c>
    </row>
    <row r="40" spans="1:37" ht="30" customHeight="1">
      <c r="AG40" s="147" t="s">
        <v>82</v>
      </c>
      <c r="AH40" s="148"/>
      <c r="AI40" s="148"/>
      <c r="AJ40" s="149"/>
      <c r="AK40" s="107">
        <f>COUNTIF(AK4:AK34, "&lt;"&amp;AK36)</f>
        <v>18</v>
      </c>
    </row>
    <row r="41" spans="1:37" ht="30" customHeight="1">
      <c r="AG41" s="147" t="s">
        <v>83</v>
      </c>
      <c r="AH41" s="148"/>
      <c r="AI41" s="148"/>
      <c r="AJ41" s="149"/>
      <c r="AK41" s="107">
        <f>COUNTIF(AK4:AK34, "&gt;"&amp;20)</f>
        <v>9</v>
      </c>
    </row>
    <row r="42" spans="1:37" ht="30" customHeight="1">
      <c r="AG42" s="147" t="s">
        <v>84</v>
      </c>
      <c r="AH42" s="148"/>
      <c r="AI42" s="148"/>
      <c r="AJ42" s="149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G40:AJ40"/>
    <mergeCell ref="AG41:AJ41"/>
    <mergeCell ref="AG42:AJ42"/>
    <mergeCell ref="A35:D35"/>
    <mergeCell ref="AG36:AJ36"/>
    <mergeCell ref="AG37:AJ37"/>
    <mergeCell ref="AG38:AJ38"/>
    <mergeCell ref="AG39:AJ39"/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13" priority="7">
      <formula>E4="+"</formula>
    </cfRule>
  </conditionalFormatting>
  <conditionalFormatting sqref="L35:R35">
    <cfRule type="expression" dxfId="12" priority="6">
      <formula>L35="+"</formula>
    </cfRule>
  </conditionalFormatting>
  <conditionalFormatting sqref="S35:T35">
    <cfRule type="expression" dxfId="11" priority="5">
      <formula>S35="+"</formula>
    </cfRule>
  </conditionalFormatting>
  <conditionalFormatting sqref="U35:Y35">
    <cfRule type="expression" dxfId="10" priority="4">
      <formula>U35="+"</formula>
    </cfRule>
  </conditionalFormatting>
  <conditionalFormatting sqref="Z35:AD35">
    <cfRule type="expression" dxfId="9" priority="3">
      <formula>Z35="+"</formula>
    </cfRule>
  </conditionalFormatting>
  <conditionalFormatting sqref="AE35:AG35">
    <cfRule type="expression" dxfId="8" priority="2">
      <formula>AE35="+"</formula>
    </cfRule>
  </conditionalFormatting>
  <conditionalFormatting sqref="AH35:AJ35">
    <cfRule type="expression" dxfId="7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M24" sqref="M24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4"/>
      <c r="B1" s="135"/>
      <c r="C1" s="136"/>
      <c r="D1" s="4" t="s">
        <v>36</v>
      </c>
      <c r="E1" s="140" t="s">
        <v>37</v>
      </c>
      <c r="F1" s="140"/>
      <c r="G1" s="140"/>
      <c r="H1" s="140"/>
      <c r="I1" s="140"/>
      <c r="J1" s="140"/>
      <c r="K1" s="140"/>
      <c r="L1" s="141" t="s">
        <v>38</v>
      </c>
      <c r="M1" s="141"/>
      <c r="N1" s="141"/>
      <c r="O1" s="141"/>
      <c r="P1" s="141"/>
      <c r="Q1" s="141"/>
      <c r="R1" s="153" t="s">
        <v>39</v>
      </c>
      <c r="S1" s="154"/>
      <c r="T1" s="155"/>
      <c r="U1" s="143" t="s">
        <v>40</v>
      </c>
      <c r="V1" s="144"/>
      <c r="W1" s="144"/>
      <c r="X1" s="144"/>
      <c r="Y1" s="145"/>
      <c r="Z1" s="146" t="s">
        <v>41</v>
      </c>
      <c r="AA1" s="146"/>
      <c r="AB1" s="146"/>
      <c r="AC1" s="146"/>
      <c r="AD1" s="146"/>
      <c r="AE1" s="129" t="s">
        <v>42</v>
      </c>
      <c r="AF1" s="129"/>
      <c r="AG1" s="129"/>
      <c r="AH1" s="130" t="s">
        <v>43</v>
      </c>
      <c r="AI1" s="130"/>
      <c r="AJ1" s="130"/>
      <c r="AK1" s="131" t="s">
        <v>35</v>
      </c>
    </row>
    <row r="2" spans="1:37" s="2" customFormat="1" ht="45" customHeight="1">
      <c r="A2" s="137"/>
      <c r="B2" s="138"/>
      <c r="C2" s="139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91</v>
      </c>
      <c r="AF2" s="11" t="s">
        <v>88</v>
      </c>
      <c r="AG2" s="11" t="s">
        <v>89</v>
      </c>
      <c r="AH2" s="12" t="s">
        <v>90</v>
      </c>
      <c r="AI2" s="12"/>
      <c r="AJ2" s="12"/>
      <c r="AK2" s="132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33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 t="s">
        <v>12</v>
      </c>
      <c r="O4" s="63" t="s">
        <v>12</v>
      </c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 t="s">
        <v>12</v>
      </c>
      <c r="AD4" s="65" t="s">
        <v>12</v>
      </c>
      <c r="AE4" s="66"/>
      <c r="AF4" s="66"/>
      <c r="AG4" s="66"/>
      <c r="AH4" s="67"/>
      <c r="AI4" s="67"/>
      <c r="AJ4" s="67"/>
      <c r="AK4" s="25">
        <f t="shared" ref="AK4:AK33" si="0">SUMIF(E4:AJ4,"&lt;&gt;",$E$3:$AJ$3)</f>
        <v>19</v>
      </c>
    </row>
    <row r="5" spans="1:37">
      <c r="A5" s="30">
        <v>2</v>
      </c>
      <c r="B5" s="30" t="s">
        <v>16</v>
      </c>
      <c r="C5" s="22">
        <v>46267</v>
      </c>
      <c r="D5" s="30" t="s">
        <v>87</v>
      </c>
      <c r="E5" s="62"/>
      <c r="F5" s="62"/>
      <c r="G5" s="62"/>
      <c r="H5" s="62"/>
      <c r="I5" s="62"/>
      <c r="J5" s="62"/>
      <c r="K5" s="62"/>
      <c r="L5" s="63"/>
      <c r="M5" s="63" t="s">
        <v>12</v>
      </c>
      <c r="N5" s="63"/>
      <c r="O5" s="63" t="s">
        <v>12</v>
      </c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 t="s">
        <v>12</v>
      </c>
      <c r="AE5" s="66"/>
      <c r="AF5" s="66"/>
      <c r="AG5" s="66"/>
      <c r="AH5" s="67"/>
      <c r="AI5" s="67"/>
      <c r="AJ5" s="67"/>
      <c r="AK5" s="25">
        <f t="shared" si="0"/>
        <v>3</v>
      </c>
    </row>
    <row r="6" spans="1:37">
      <c r="A6" s="30">
        <v>3</v>
      </c>
      <c r="B6" s="30" t="s">
        <v>17</v>
      </c>
      <c r="C6" s="22">
        <v>46268</v>
      </c>
      <c r="D6" s="30" t="s">
        <v>62</v>
      </c>
      <c r="E6" s="62"/>
      <c r="F6" s="62"/>
      <c r="G6" s="62" t="s">
        <v>12</v>
      </c>
      <c r="H6" s="62"/>
      <c r="I6" s="62"/>
      <c r="J6" s="62"/>
      <c r="K6" s="62"/>
      <c r="L6" s="63" t="s">
        <v>12</v>
      </c>
      <c r="M6" s="63" t="s">
        <v>12</v>
      </c>
      <c r="N6" s="63" t="s">
        <v>12</v>
      </c>
      <c r="O6" s="63"/>
      <c r="P6" s="63" t="s">
        <v>12</v>
      </c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 t="s">
        <v>12</v>
      </c>
      <c r="AE6" s="66"/>
      <c r="AF6" s="66"/>
      <c r="AG6" s="66"/>
      <c r="AH6" s="67" t="s">
        <v>12</v>
      </c>
      <c r="AI6" s="67"/>
      <c r="AJ6" s="67"/>
      <c r="AK6" s="25">
        <f t="shared" si="0"/>
        <v>13</v>
      </c>
    </row>
    <row r="7" spans="1:37">
      <c r="A7" s="30">
        <v>4</v>
      </c>
      <c r="B7" s="30" t="s">
        <v>18</v>
      </c>
      <c r="C7" s="22">
        <v>46269</v>
      </c>
      <c r="D7" s="30" t="s">
        <v>62</v>
      </c>
      <c r="E7" s="62"/>
      <c r="F7" s="62"/>
      <c r="G7" s="62"/>
      <c r="H7" s="62"/>
      <c r="I7" s="62"/>
      <c r="J7" s="62"/>
      <c r="K7" s="62"/>
      <c r="L7" s="63" t="s">
        <v>12</v>
      </c>
      <c r="M7" s="63" t="s">
        <v>12</v>
      </c>
      <c r="N7" s="63" t="s">
        <v>12</v>
      </c>
      <c r="O7" s="63" t="s">
        <v>12</v>
      </c>
      <c r="P7" s="63" t="s">
        <v>12</v>
      </c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 t="s">
        <v>12</v>
      </c>
      <c r="AD7" s="65" t="s">
        <v>12</v>
      </c>
      <c r="AE7" s="66"/>
      <c r="AF7" s="66" t="s">
        <v>12</v>
      </c>
      <c r="AG7" s="66"/>
      <c r="AH7" s="67"/>
      <c r="AI7" s="67"/>
      <c r="AJ7" s="67"/>
      <c r="AK7" s="25">
        <f t="shared" si="0"/>
        <v>15</v>
      </c>
    </row>
    <row r="8" spans="1:37">
      <c r="A8" s="30">
        <v>5</v>
      </c>
      <c r="B8" s="110" t="s">
        <v>11</v>
      </c>
      <c r="C8" s="22">
        <v>46270</v>
      </c>
      <c r="D8" s="30" t="s">
        <v>62</v>
      </c>
      <c r="E8" s="62"/>
      <c r="F8" s="62"/>
      <c r="G8" s="62" t="s">
        <v>12</v>
      </c>
      <c r="H8" s="62"/>
      <c r="I8" s="62" t="s">
        <v>12</v>
      </c>
      <c r="J8" s="62" t="s">
        <v>12</v>
      </c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 t="s">
        <v>12</v>
      </c>
      <c r="AA8" s="65"/>
      <c r="AB8" s="65"/>
      <c r="AC8" s="65" t="s">
        <v>12</v>
      </c>
      <c r="AD8" s="65" t="s">
        <v>12</v>
      </c>
      <c r="AE8" s="66"/>
      <c r="AF8" s="66"/>
      <c r="AG8" s="66"/>
      <c r="AH8" s="67" t="s">
        <v>12</v>
      </c>
      <c r="AI8" s="67"/>
      <c r="AJ8" s="67"/>
      <c r="AK8" s="25">
        <f t="shared" si="0"/>
        <v>12</v>
      </c>
    </row>
    <row r="9" spans="1:37">
      <c r="A9" s="69">
        <v>6</v>
      </c>
      <c r="B9" s="111" t="s">
        <v>13</v>
      </c>
      <c r="C9" s="112">
        <v>46271</v>
      </c>
      <c r="D9" s="69" t="s">
        <v>62</v>
      </c>
      <c r="E9" s="70"/>
      <c r="F9" s="70"/>
      <c r="G9" s="70" t="s">
        <v>12</v>
      </c>
      <c r="H9" s="70"/>
      <c r="I9" s="70" t="s">
        <v>12</v>
      </c>
      <c r="J9" s="70" t="s">
        <v>12</v>
      </c>
      <c r="K9" s="70" t="s">
        <v>12</v>
      </c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 t="s">
        <v>12</v>
      </c>
      <c r="AB9" s="74"/>
      <c r="AC9" s="74" t="s">
        <v>12</v>
      </c>
      <c r="AD9" s="74" t="s">
        <v>12</v>
      </c>
      <c r="AE9" s="75"/>
      <c r="AF9" s="75"/>
      <c r="AG9" s="75"/>
      <c r="AH9" s="76" t="s">
        <v>12</v>
      </c>
      <c r="AI9" s="76" t="s">
        <v>12</v>
      </c>
      <c r="AJ9" s="76"/>
      <c r="AK9" s="93">
        <f t="shared" si="0"/>
        <v>14</v>
      </c>
    </row>
    <row r="10" spans="1:37">
      <c r="A10" s="30">
        <v>7</v>
      </c>
      <c r="B10" s="30" t="s">
        <v>14</v>
      </c>
      <c r="C10" s="22">
        <v>46272</v>
      </c>
      <c r="D10" s="30" t="s">
        <v>62</v>
      </c>
      <c r="E10" s="62"/>
      <c r="F10" s="62"/>
      <c r="G10" s="62" t="s">
        <v>12</v>
      </c>
      <c r="H10" s="62"/>
      <c r="I10" s="62"/>
      <c r="J10" s="62"/>
      <c r="K10" s="62"/>
      <c r="L10" s="63" t="s">
        <v>12</v>
      </c>
      <c r="M10" s="63" t="s">
        <v>12</v>
      </c>
      <c r="N10" s="63" t="s">
        <v>12</v>
      </c>
      <c r="O10" s="63" t="s">
        <v>12</v>
      </c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 t="s">
        <v>12</v>
      </c>
      <c r="AC10" s="65"/>
      <c r="AD10" s="65"/>
      <c r="AE10" s="66"/>
      <c r="AF10" s="66" t="s">
        <v>12</v>
      </c>
      <c r="AG10" s="66"/>
      <c r="AH10" s="67"/>
      <c r="AI10" s="67"/>
      <c r="AJ10" s="67"/>
      <c r="AK10" s="25">
        <f t="shared" si="0"/>
        <v>11</v>
      </c>
    </row>
    <row r="11" spans="1:37">
      <c r="A11" s="84">
        <v>8</v>
      </c>
      <c r="B11" s="84" t="s">
        <v>15</v>
      </c>
      <c r="C11" s="114">
        <v>46273</v>
      </c>
      <c r="D11" s="84" t="s">
        <v>62</v>
      </c>
      <c r="E11" s="77"/>
      <c r="F11" s="77"/>
      <c r="G11" s="77" t="s">
        <v>12</v>
      </c>
      <c r="H11" s="77"/>
      <c r="I11" s="77"/>
      <c r="J11" s="77"/>
      <c r="K11" s="77"/>
      <c r="L11" s="78" t="s">
        <v>12</v>
      </c>
      <c r="M11" s="78"/>
      <c r="N11" s="78" t="s">
        <v>12</v>
      </c>
      <c r="O11" s="78"/>
      <c r="P11" s="78" t="s">
        <v>12</v>
      </c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1" t="s">
        <v>12</v>
      </c>
      <c r="AE11" s="82"/>
      <c r="AF11" s="82"/>
      <c r="AG11" s="82"/>
      <c r="AH11" s="83"/>
      <c r="AI11" s="83"/>
      <c r="AJ11" s="83"/>
      <c r="AK11" s="94">
        <f t="shared" si="0"/>
        <v>10</v>
      </c>
    </row>
    <row r="12" spans="1:37">
      <c r="A12" s="30">
        <v>9</v>
      </c>
      <c r="B12" s="30" t="s">
        <v>16</v>
      </c>
      <c r="C12" s="22">
        <v>46274</v>
      </c>
      <c r="D12" s="30" t="s">
        <v>62</v>
      </c>
      <c r="E12" s="62"/>
      <c r="F12" s="62"/>
      <c r="G12" s="62"/>
      <c r="H12" s="62"/>
      <c r="I12" s="62" t="s">
        <v>12</v>
      </c>
      <c r="J12" s="62"/>
      <c r="K12" s="62"/>
      <c r="L12" s="63" t="s">
        <v>12</v>
      </c>
      <c r="M12" s="63"/>
      <c r="N12" s="63" t="s">
        <v>12</v>
      </c>
      <c r="O12" s="63"/>
      <c r="P12" s="63" t="s">
        <v>12</v>
      </c>
      <c r="Q12" s="63"/>
      <c r="R12" s="28"/>
      <c r="S12" s="28"/>
      <c r="T12" s="28"/>
      <c r="U12" s="64" t="s">
        <v>12</v>
      </c>
      <c r="V12" s="64"/>
      <c r="W12" s="64"/>
      <c r="X12" s="64" t="s">
        <v>12</v>
      </c>
      <c r="Y12" s="64"/>
      <c r="Z12" s="65"/>
      <c r="AA12" s="65"/>
      <c r="AB12" s="65"/>
      <c r="AC12" s="65" t="s">
        <v>12</v>
      </c>
      <c r="AD12" s="65"/>
      <c r="AE12" s="66"/>
      <c r="AF12" s="66"/>
      <c r="AG12" s="66"/>
      <c r="AH12" s="67"/>
      <c r="AI12" s="67"/>
      <c r="AJ12" s="67"/>
      <c r="AK12" s="25">
        <f t="shared" si="0"/>
        <v>14</v>
      </c>
    </row>
    <row r="13" spans="1:37">
      <c r="A13" s="30">
        <v>10</v>
      </c>
      <c r="B13" s="30" t="s">
        <v>17</v>
      </c>
      <c r="C13" s="22">
        <v>46275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 t="s">
        <v>12</v>
      </c>
      <c r="N13" s="63" t="s">
        <v>12</v>
      </c>
      <c r="O13" s="63"/>
      <c r="P13" s="63" t="s">
        <v>12</v>
      </c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 t="shared" si="0"/>
        <v>6</v>
      </c>
    </row>
    <row r="14" spans="1:37">
      <c r="A14" s="30">
        <v>11</v>
      </c>
      <c r="B14" s="30" t="s">
        <v>18</v>
      </c>
      <c r="C14" s="22">
        <v>46276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 t="s">
        <v>12</v>
      </c>
      <c r="N14" s="63" t="s">
        <v>12</v>
      </c>
      <c r="O14" s="63" t="s">
        <v>12</v>
      </c>
      <c r="P14" s="63" t="s">
        <v>12</v>
      </c>
      <c r="Q14" s="63"/>
      <c r="R14" s="29"/>
      <c r="S14" s="29"/>
      <c r="T14" s="29"/>
      <c r="U14" s="64"/>
      <c r="V14" s="64"/>
      <c r="W14" s="64"/>
      <c r="X14" s="64"/>
      <c r="Y14" s="64"/>
      <c r="Z14" s="65" t="s">
        <v>12</v>
      </c>
      <c r="AA14" s="65"/>
      <c r="AB14" s="65" t="s">
        <v>12</v>
      </c>
      <c r="AC14" s="65"/>
      <c r="AD14" s="65" t="s">
        <v>12</v>
      </c>
      <c r="AE14" s="66"/>
      <c r="AF14" s="66"/>
      <c r="AG14" s="66"/>
      <c r="AH14" s="67"/>
      <c r="AI14" s="67"/>
      <c r="AJ14" s="67"/>
      <c r="AK14" s="25">
        <f t="shared" si="0"/>
        <v>12</v>
      </c>
    </row>
    <row r="15" spans="1:37">
      <c r="A15" s="30">
        <v>12</v>
      </c>
      <c r="B15" s="110" t="s">
        <v>11</v>
      </c>
      <c r="C15" s="22">
        <v>46277</v>
      </c>
      <c r="D15" s="30" t="s">
        <v>62</v>
      </c>
      <c r="E15" s="62"/>
      <c r="F15" s="62"/>
      <c r="G15" s="62" t="s">
        <v>12</v>
      </c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 t="s">
        <v>12</v>
      </c>
      <c r="AD15" s="65" t="s">
        <v>12</v>
      </c>
      <c r="AE15" s="66"/>
      <c r="AF15" s="66"/>
      <c r="AG15" s="66"/>
      <c r="AH15" s="67"/>
      <c r="AI15" s="67"/>
      <c r="AJ15" s="67"/>
      <c r="AK15" s="25">
        <f t="shared" si="0"/>
        <v>4</v>
      </c>
    </row>
    <row r="16" spans="1:37">
      <c r="A16" s="30">
        <v>13</v>
      </c>
      <c r="B16" s="110" t="s">
        <v>13</v>
      </c>
      <c r="C16" s="22">
        <v>46278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 t="s">
        <v>12</v>
      </c>
      <c r="AE16" s="75"/>
      <c r="AF16" s="75"/>
      <c r="AG16" s="75"/>
      <c r="AH16" s="76"/>
      <c r="AI16" s="76" t="s">
        <v>12</v>
      </c>
      <c r="AJ16" s="76"/>
      <c r="AK16" s="25">
        <f t="shared" si="0"/>
        <v>3</v>
      </c>
    </row>
    <row r="17" spans="1:37">
      <c r="A17" s="30">
        <v>14</v>
      </c>
      <c r="B17" s="30" t="s">
        <v>14</v>
      </c>
      <c r="C17" s="22">
        <v>46279</v>
      </c>
      <c r="D17" s="69" t="s">
        <v>62</v>
      </c>
      <c r="E17" s="70"/>
      <c r="F17" s="70"/>
      <c r="G17" s="70"/>
      <c r="H17" s="70"/>
      <c r="I17" s="70"/>
      <c r="J17" s="70"/>
      <c r="K17" s="70"/>
      <c r="L17" s="71" t="s">
        <v>12</v>
      </c>
      <c r="M17" s="71" t="s">
        <v>12</v>
      </c>
      <c r="N17" s="71" t="s">
        <v>12</v>
      </c>
      <c r="O17" s="71"/>
      <c r="P17" s="71"/>
      <c r="Q17" s="71"/>
      <c r="R17" s="72"/>
      <c r="S17" s="72"/>
      <c r="T17" s="72"/>
      <c r="U17" s="73"/>
      <c r="V17" s="73"/>
      <c r="W17" s="73"/>
      <c r="X17" s="73" t="s">
        <v>12</v>
      </c>
      <c r="Y17" s="73"/>
      <c r="Z17" s="74"/>
      <c r="AA17" s="74"/>
      <c r="AB17" s="74"/>
      <c r="AC17" s="74"/>
      <c r="AD17" s="74" t="s">
        <v>12</v>
      </c>
      <c r="AE17" s="75"/>
      <c r="AF17" s="75"/>
      <c r="AG17" s="75"/>
      <c r="AH17" s="76" t="s">
        <v>12</v>
      </c>
      <c r="AI17" s="76"/>
      <c r="AJ17" s="76"/>
      <c r="AK17" s="68">
        <f t="shared" si="0"/>
        <v>10</v>
      </c>
    </row>
    <row r="18" spans="1:37">
      <c r="A18" s="30">
        <v>15</v>
      </c>
      <c r="B18" s="30" t="s">
        <v>15</v>
      </c>
      <c r="C18" s="22">
        <v>46280</v>
      </c>
      <c r="D18" s="30" t="s">
        <v>62</v>
      </c>
      <c r="E18" s="62"/>
      <c r="F18" s="62"/>
      <c r="G18" s="62" t="s">
        <v>12</v>
      </c>
      <c r="H18" s="62"/>
      <c r="I18" s="62"/>
      <c r="J18" s="62"/>
      <c r="K18" s="62"/>
      <c r="L18" s="63" t="s">
        <v>12</v>
      </c>
      <c r="M18" s="63" t="s">
        <v>12</v>
      </c>
      <c r="N18" s="63" t="s">
        <v>12</v>
      </c>
      <c r="O18" s="63"/>
      <c r="P18" s="63"/>
      <c r="Q18" s="63"/>
      <c r="R18" s="29"/>
      <c r="S18" s="29"/>
      <c r="T18" s="29"/>
      <c r="U18" s="64" t="s">
        <v>12</v>
      </c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 t="s">
        <v>12</v>
      </c>
      <c r="AI18" s="67"/>
      <c r="AJ18" s="67"/>
      <c r="AK18" s="68">
        <f t="shared" si="0"/>
        <v>11</v>
      </c>
    </row>
    <row r="19" spans="1:37">
      <c r="A19" s="69">
        <v>16</v>
      </c>
      <c r="B19" s="30" t="s">
        <v>16</v>
      </c>
      <c r="C19" s="22">
        <v>46281</v>
      </c>
      <c r="D19" s="85" t="s">
        <v>62</v>
      </c>
      <c r="E19" s="86"/>
      <c r="F19" s="86"/>
      <c r="G19" s="86"/>
      <c r="H19" s="86"/>
      <c r="I19" s="86"/>
      <c r="J19" s="86"/>
      <c r="K19" s="86"/>
      <c r="L19" s="87" t="s">
        <v>12</v>
      </c>
      <c r="M19" s="87" t="s">
        <v>12</v>
      </c>
      <c r="N19" s="87" t="s">
        <v>12</v>
      </c>
      <c r="O19" s="87"/>
      <c r="P19" s="87"/>
      <c r="Q19" s="87"/>
      <c r="R19" s="88"/>
      <c r="S19" s="88"/>
      <c r="T19" s="88"/>
      <c r="U19" s="89"/>
      <c r="V19" s="89"/>
      <c r="W19" s="89"/>
      <c r="X19" s="89" t="s">
        <v>12</v>
      </c>
      <c r="Y19" s="89"/>
      <c r="Z19" s="90"/>
      <c r="AA19" s="90" t="s">
        <v>12</v>
      </c>
      <c r="AB19" s="90"/>
      <c r="AC19" s="90"/>
      <c r="AD19" s="90"/>
      <c r="AE19" s="91"/>
      <c r="AF19" s="91"/>
      <c r="AG19" s="91"/>
      <c r="AH19" s="92" t="s">
        <v>12</v>
      </c>
      <c r="AI19" s="92"/>
      <c r="AJ19" s="92"/>
      <c r="AK19" s="93">
        <f t="shared" si="0"/>
        <v>11</v>
      </c>
    </row>
    <row r="20" spans="1:37">
      <c r="A20" s="69">
        <v>17</v>
      </c>
      <c r="B20" s="30" t="s">
        <v>17</v>
      </c>
      <c r="C20" s="22">
        <v>46282</v>
      </c>
      <c r="D20" s="69" t="s">
        <v>62</v>
      </c>
      <c r="E20" s="70"/>
      <c r="F20" s="70"/>
      <c r="G20" s="70" t="s">
        <v>12</v>
      </c>
      <c r="H20" s="70" t="s">
        <v>12</v>
      </c>
      <c r="I20" s="70" t="s">
        <v>12</v>
      </c>
      <c r="J20" s="70"/>
      <c r="K20" s="70"/>
      <c r="L20" s="71" t="s">
        <v>12</v>
      </c>
      <c r="M20" s="71" t="s">
        <v>12</v>
      </c>
      <c r="N20" s="71" t="s">
        <v>12</v>
      </c>
      <c r="O20" s="71"/>
      <c r="P20" s="71"/>
      <c r="Q20" s="71"/>
      <c r="R20" s="72"/>
      <c r="S20" s="72"/>
      <c r="T20" s="72"/>
      <c r="U20" s="73"/>
      <c r="V20" s="73"/>
      <c r="W20" s="73"/>
      <c r="X20" s="73" t="s">
        <v>12</v>
      </c>
      <c r="Y20" s="73"/>
      <c r="Z20" s="74"/>
      <c r="AA20" s="74"/>
      <c r="AB20" s="74"/>
      <c r="AC20" s="74" t="s">
        <v>12</v>
      </c>
      <c r="AD20" s="74" t="s">
        <v>12</v>
      </c>
      <c r="AE20" s="75"/>
      <c r="AF20" s="75"/>
      <c r="AG20" s="75"/>
      <c r="AH20" s="76" t="s">
        <v>12</v>
      </c>
      <c r="AI20" s="76"/>
      <c r="AJ20" s="76"/>
      <c r="AK20" s="93">
        <f t="shared" si="0"/>
        <v>16</v>
      </c>
    </row>
    <row r="21" spans="1:37">
      <c r="A21" s="69">
        <v>18</v>
      </c>
      <c r="B21" s="30" t="s">
        <v>18</v>
      </c>
      <c r="C21" s="22">
        <v>46283</v>
      </c>
      <c r="D21" s="69" t="s">
        <v>62</v>
      </c>
      <c r="E21" s="70" t="s">
        <v>12</v>
      </c>
      <c r="F21" s="70" t="s">
        <v>12</v>
      </c>
      <c r="G21" s="70" t="s">
        <v>12</v>
      </c>
      <c r="H21" s="70" t="s">
        <v>12</v>
      </c>
      <c r="I21" s="70"/>
      <c r="J21" s="70"/>
      <c r="K21" s="70"/>
      <c r="L21" s="71"/>
      <c r="M21" s="71" t="s">
        <v>12</v>
      </c>
      <c r="N21" s="71" t="s">
        <v>12</v>
      </c>
      <c r="O21" s="71" t="s">
        <v>12</v>
      </c>
      <c r="P21" s="71"/>
      <c r="Q21" s="71"/>
      <c r="R21" s="72"/>
      <c r="S21" s="72"/>
      <c r="T21" s="72"/>
      <c r="U21" s="73"/>
      <c r="V21" s="73"/>
      <c r="W21" s="73"/>
      <c r="X21" s="73" t="s">
        <v>12</v>
      </c>
      <c r="Y21" s="73"/>
      <c r="Z21" s="74"/>
      <c r="AA21" s="74"/>
      <c r="AB21" s="74"/>
      <c r="AC21" s="74" t="s">
        <v>12</v>
      </c>
      <c r="AD21" s="74" t="s">
        <v>12</v>
      </c>
      <c r="AE21" s="75"/>
      <c r="AF21" s="75"/>
      <c r="AG21" s="75"/>
      <c r="AH21" s="76"/>
      <c r="AI21" s="76"/>
      <c r="AJ21" s="76"/>
      <c r="AK21" s="93">
        <f t="shared" si="0"/>
        <v>14</v>
      </c>
    </row>
    <row r="22" spans="1:37">
      <c r="A22" s="30">
        <v>19</v>
      </c>
      <c r="B22" s="110" t="s">
        <v>11</v>
      </c>
      <c r="C22" s="22">
        <v>46284</v>
      </c>
      <c r="D22" s="30" t="s">
        <v>62</v>
      </c>
      <c r="E22" s="62"/>
      <c r="F22" s="62"/>
      <c r="G22" s="62" t="s">
        <v>12</v>
      </c>
      <c r="H22" s="62" t="s">
        <v>12</v>
      </c>
      <c r="I22" s="62" t="s">
        <v>12</v>
      </c>
      <c r="J22" s="62" t="s">
        <v>12</v>
      </c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 t="s">
        <v>12</v>
      </c>
      <c r="Y22" s="64"/>
      <c r="Z22" s="65"/>
      <c r="AA22" s="65"/>
      <c r="AB22" s="65"/>
      <c r="AC22" s="65" t="s">
        <v>12</v>
      </c>
      <c r="AD22" s="65"/>
      <c r="AE22" s="66"/>
      <c r="AF22" s="66"/>
      <c r="AG22" s="66"/>
      <c r="AH22" s="67"/>
      <c r="AI22" s="67" t="s">
        <v>12</v>
      </c>
      <c r="AJ22" s="67"/>
      <c r="AK22" s="25">
        <f t="shared" si="0"/>
        <v>11</v>
      </c>
    </row>
    <row r="23" spans="1:37">
      <c r="A23" s="84">
        <v>20</v>
      </c>
      <c r="B23" s="110" t="s">
        <v>13</v>
      </c>
      <c r="C23" s="22">
        <v>46285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/>
      <c r="N23" s="87" t="s">
        <v>12</v>
      </c>
      <c r="O23" s="87"/>
      <c r="P23" s="87"/>
      <c r="Q23" s="87"/>
      <c r="R23" s="88"/>
      <c r="S23" s="88"/>
      <c r="T23" s="88"/>
      <c r="U23" s="89"/>
      <c r="V23" s="89"/>
      <c r="W23" s="89"/>
      <c r="X23" s="89" t="s">
        <v>12</v>
      </c>
      <c r="Y23" s="89"/>
      <c r="Z23" s="90"/>
      <c r="AA23" s="90"/>
      <c r="AB23" s="90"/>
      <c r="AC23" s="90" t="s">
        <v>12</v>
      </c>
      <c r="AD23" s="90"/>
      <c r="AE23" s="91"/>
      <c r="AF23" s="91"/>
      <c r="AG23" s="91"/>
      <c r="AH23" s="92"/>
      <c r="AI23" s="92" t="s">
        <v>12</v>
      </c>
      <c r="AJ23" s="92" t="s">
        <v>12</v>
      </c>
      <c r="AK23" s="95">
        <f t="shared" si="0"/>
        <v>8</v>
      </c>
    </row>
    <row r="24" spans="1:37">
      <c r="A24" s="30">
        <v>21</v>
      </c>
      <c r="B24" s="30" t="s">
        <v>14</v>
      </c>
      <c r="C24" s="22">
        <v>46286</v>
      </c>
      <c r="D24" s="96" t="s">
        <v>62</v>
      </c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 t="shared" si="0"/>
        <v>0</v>
      </c>
    </row>
    <row r="25" spans="1:37">
      <c r="A25" s="30">
        <v>22</v>
      </c>
      <c r="B25" s="30" t="s">
        <v>15</v>
      </c>
      <c r="C25" s="22">
        <v>46287</v>
      </c>
      <c r="D25" s="69" t="s">
        <v>62</v>
      </c>
      <c r="E25" s="70"/>
      <c r="F25" s="70"/>
      <c r="G25" s="70"/>
      <c r="H25" s="70"/>
      <c r="I25" s="70"/>
      <c r="J25" s="70"/>
      <c r="K25" s="70"/>
      <c r="L25" s="71"/>
      <c r="M25" s="71" t="s">
        <v>12</v>
      </c>
      <c r="N25" s="71" t="s">
        <v>12</v>
      </c>
      <c r="O25" s="71"/>
      <c r="P25" s="71"/>
      <c r="Q25" s="71"/>
      <c r="R25" s="72"/>
      <c r="S25" s="72"/>
      <c r="T25" s="72"/>
      <c r="U25" s="73" t="s">
        <v>12</v>
      </c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 t="shared" si="0"/>
        <v>5</v>
      </c>
    </row>
    <row r="26" spans="1:37">
      <c r="A26" s="69">
        <v>23</v>
      </c>
      <c r="B26" s="30" t="s">
        <v>16</v>
      </c>
      <c r="C26" s="22">
        <v>46288</v>
      </c>
      <c r="D26" s="69" t="s">
        <v>62</v>
      </c>
      <c r="E26" s="70"/>
      <c r="F26" s="70"/>
      <c r="G26" s="70"/>
      <c r="H26" s="70"/>
      <c r="I26" s="70"/>
      <c r="J26" s="70"/>
      <c r="K26" s="70"/>
      <c r="L26" s="71"/>
      <c r="M26" s="71" t="s">
        <v>12</v>
      </c>
      <c r="N26" s="71" t="s">
        <v>12</v>
      </c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 t="shared" si="0"/>
        <v>3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 t="shared" si="0"/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 t="shared" si="0"/>
        <v>0</v>
      </c>
    </row>
    <row r="29" spans="1:37">
      <c r="A29" s="30">
        <v>26</v>
      </c>
      <c r="B29" s="110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 t="shared" si="0"/>
        <v>0</v>
      </c>
    </row>
    <row r="30" spans="1:37">
      <c r="A30" s="84">
        <v>27</v>
      </c>
      <c r="B30" s="110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 t="shared" si="0"/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 ht="30" customHeight="1">
      <c r="A34" s="150" t="s">
        <v>77</v>
      </c>
      <c r="B34" s="151"/>
      <c r="C34" s="151"/>
      <c r="D34" s="152"/>
      <c r="E34" s="106">
        <f t="shared" ref="E34:AJ34" si="1">COUNTA(E4:E33)</f>
        <v>2</v>
      </c>
      <c r="F34" s="106">
        <f t="shared" si="1"/>
        <v>2</v>
      </c>
      <c r="G34" s="106">
        <f t="shared" si="1"/>
        <v>11</v>
      </c>
      <c r="H34" s="106">
        <f t="shared" si="1"/>
        <v>4</v>
      </c>
      <c r="I34" s="106">
        <f t="shared" si="1"/>
        <v>5</v>
      </c>
      <c r="J34" s="106">
        <f t="shared" si="1"/>
        <v>3</v>
      </c>
      <c r="K34" s="106">
        <f t="shared" si="1"/>
        <v>1</v>
      </c>
      <c r="L34" s="63">
        <f t="shared" si="1"/>
        <v>10</v>
      </c>
      <c r="M34" s="63">
        <f t="shared" si="1"/>
        <v>14</v>
      </c>
      <c r="N34" s="63">
        <f t="shared" si="1"/>
        <v>16</v>
      </c>
      <c r="O34" s="63">
        <f t="shared" si="1"/>
        <v>6</v>
      </c>
      <c r="P34" s="63">
        <f t="shared" si="1"/>
        <v>6</v>
      </c>
      <c r="Q34" s="63">
        <f t="shared" si="1"/>
        <v>0</v>
      </c>
      <c r="R34" s="29">
        <f t="shared" si="1"/>
        <v>0</v>
      </c>
      <c r="S34" s="29">
        <f t="shared" si="1"/>
        <v>0</v>
      </c>
      <c r="T34" s="29">
        <f t="shared" si="1"/>
        <v>0</v>
      </c>
      <c r="U34" s="64">
        <f t="shared" si="1"/>
        <v>3</v>
      </c>
      <c r="V34" s="64">
        <f t="shared" si="1"/>
        <v>0</v>
      </c>
      <c r="W34" s="64">
        <f t="shared" si="1"/>
        <v>0</v>
      </c>
      <c r="X34" s="64">
        <f t="shared" si="1"/>
        <v>7</v>
      </c>
      <c r="Y34" s="64">
        <f t="shared" si="1"/>
        <v>0</v>
      </c>
      <c r="Z34" s="65">
        <f t="shared" si="1"/>
        <v>3</v>
      </c>
      <c r="AA34" s="65">
        <f t="shared" si="1"/>
        <v>2</v>
      </c>
      <c r="AB34" s="65">
        <f t="shared" si="1"/>
        <v>2</v>
      </c>
      <c r="AC34" s="65">
        <f t="shared" si="1"/>
        <v>10</v>
      </c>
      <c r="AD34" s="65">
        <f t="shared" si="1"/>
        <v>13</v>
      </c>
      <c r="AE34" s="66">
        <f t="shared" si="1"/>
        <v>0</v>
      </c>
      <c r="AF34" s="66">
        <f t="shared" si="1"/>
        <v>2</v>
      </c>
      <c r="AG34" s="66">
        <f t="shared" si="1"/>
        <v>0</v>
      </c>
      <c r="AH34" s="67">
        <f t="shared" si="1"/>
        <v>7</v>
      </c>
      <c r="AI34" s="67">
        <f t="shared" si="1"/>
        <v>4</v>
      </c>
      <c r="AJ34" s="67">
        <f t="shared" si="1"/>
        <v>1</v>
      </c>
      <c r="AK34" s="25"/>
    </row>
    <row r="35" spans="1:37" ht="30" customHeight="1">
      <c r="AG35" s="147" t="s">
        <v>78</v>
      </c>
      <c r="AH35" s="148"/>
      <c r="AI35" s="148"/>
      <c r="AJ35" s="149"/>
      <c r="AK35" s="107">
        <f>ROUND(AVERAGE(AK4:AK33),0)</f>
        <v>8</v>
      </c>
    </row>
    <row r="36" spans="1:37" ht="30" customHeight="1">
      <c r="AG36" s="147" t="s">
        <v>79</v>
      </c>
      <c r="AH36" s="148"/>
      <c r="AI36" s="148"/>
      <c r="AJ36" s="149"/>
      <c r="AK36" s="107">
        <f>MAX(AK4:AK33)</f>
        <v>19</v>
      </c>
    </row>
    <row r="37" spans="1:37" ht="30" customHeight="1">
      <c r="AG37" s="147" t="s">
        <v>80</v>
      </c>
      <c r="AH37" s="148"/>
      <c r="AI37" s="148"/>
      <c r="AJ37" s="149"/>
      <c r="AK37" s="107">
        <f>MIN(AK4:AK33)</f>
        <v>0</v>
      </c>
    </row>
    <row r="38" spans="1:37" ht="30" customHeight="1">
      <c r="AG38" s="147" t="s">
        <v>81</v>
      </c>
      <c r="AH38" s="148"/>
      <c r="AI38" s="148"/>
      <c r="AJ38" s="149"/>
      <c r="AK38" s="107">
        <f>COUNTIF(AK4:AK33, "&gt;"&amp;AK35)</f>
        <v>15</v>
      </c>
    </row>
    <row r="39" spans="1:37" ht="30" customHeight="1">
      <c r="AG39" s="147" t="s">
        <v>82</v>
      </c>
      <c r="AH39" s="148"/>
      <c r="AI39" s="148"/>
      <c r="AJ39" s="149"/>
      <c r="AK39" s="107">
        <f>COUNTIF(AK4:AK33, "&lt;"&amp;AK35)</f>
        <v>14</v>
      </c>
    </row>
    <row r="40" spans="1:37" ht="30" customHeight="1">
      <c r="AG40" s="147" t="s">
        <v>83</v>
      </c>
      <c r="AH40" s="148"/>
      <c r="AI40" s="148"/>
      <c r="AJ40" s="149"/>
      <c r="AK40" s="107">
        <f>COUNTIF(AK4:AK33, "&gt;"&amp;20)</f>
        <v>0</v>
      </c>
    </row>
    <row r="41" spans="1:37" ht="30" customHeight="1">
      <c r="AG41" s="147" t="s">
        <v>84</v>
      </c>
      <c r="AH41" s="148"/>
      <c r="AI41" s="148"/>
      <c r="AJ41" s="149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1:C2"/>
    <mergeCell ref="E1:K1"/>
    <mergeCell ref="L1:Q1"/>
    <mergeCell ref="U1:Y1"/>
    <mergeCell ref="Z1:AD1"/>
    <mergeCell ref="R1:T1"/>
    <mergeCell ref="A34:D34"/>
    <mergeCell ref="AG37:AJ37"/>
    <mergeCell ref="AG38:AJ38"/>
    <mergeCell ref="AG39:AJ39"/>
    <mergeCell ref="AG35:AJ35"/>
    <mergeCell ref="AG36:AJ36"/>
    <mergeCell ref="AE1:AG1"/>
    <mergeCell ref="AH1:AJ1"/>
    <mergeCell ref="AG40:AJ40"/>
    <mergeCell ref="AG41:AJ41"/>
    <mergeCell ref="AK1:AK3"/>
  </mergeCells>
  <conditionalFormatting sqref="E4:AJ33 L34:Q34">
    <cfRule type="expression" dxfId="6" priority="7">
      <formula>E4="+"</formula>
    </cfRule>
  </conditionalFormatting>
  <conditionalFormatting sqref="R34:T34">
    <cfRule type="expression" dxfId="5" priority="5">
      <formula>R34="+"</formula>
    </cfRule>
  </conditionalFormatting>
  <conditionalFormatting sqref="U34:Y34">
    <cfRule type="expression" dxfId="4" priority="4">
      <formula>U34="+"</formula>
    </cfRule>
  </conditionalFormatting>
  <conditionalFormatting sqref="Z34:AD34">
    <cfRule type="expression" dxfId="3" priority="3">
      <formula>Z34="+"</formula>
    </cfRule>
  </conditionalFormatting>
  <conditionalFormatting sqref="AE34:AG34">
    <cfRule type="expression" dxfId="2" priority="2">
      <formula>AE34="+"</formula>
    </cfRule>
  </conditionalFormatting>
  <conditionalFormatting sqref="AH34:AJ34">
    <cfRule type="expression" dxfId="1" priority="1">
      <formula>AH34="+"</formula>
    </cfRule>
  </conditionalFormatting>
  <pageMargins left="0.75" right="0.75" top="1" bottom="1" header="0.5" footer="0.5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K27"/>
  <sheetViews>
    <sheetView tabSelected="1" zoomScale="80" zoomScaleNormal="80" workbookViewId="0">
      <pane xSplit="4" ySplit="16" topLeftCell="X17" activePane="bottomRight" state="frozen"/>
      <selection pane="topRight" activeCell="E1" sqref="E1"/>
      <selection pane="bottomLeft" activeCell="A35" sqref="A35"/>
      <selection pane="bottomRight" activeCell="AF19" sqref="AF19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8.7109375" style="3" customWidth="1"/>
    <col min="15" max="15" width="17.28515625" style="3" customWidth="1"/>
    <col min="16" max="16" width="32.2851562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16.7109375" style="3" customWidth="1"/>
    <col min="27" max="28" width="15.7109375" style="3" customWidth="1"/>
    <col min="29" max="29" width="17.140625" style="3" customWidth="1"/>
    <col min="30" max="30" width="24.42578125" style="3" customWidth="1"/>
    <col min="31" max="31" width="14.5703125" style="3" customWidth="1"/>
    <col min="32" max="32" width="20" style="3" customWidth="1"/>
    <col min="33" max="33" width="17" style="3" customWidth="1"/>
    <col min="34" max="35" width="15.7109375" style="3" customWidth="1"/>
    <col min="36" max="36" width="26.2851562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4"/>
      <c r="B1" s="135"/>
      <c r="C1" s="136"/>
      <c r="D1" s="4" t="s">
        <v>36</v>
      </c>
      <c r="E1" s="140" t="s">
        <v>37</v>
      </c>
      <c r="F1" s="140"/>
      <c r="G1" s="140"/>
      <c r="H1" s="140"/>
      <c r="I1" s="140"/>
      <c r="J1" s="140"/>
      <c r="K1" s="140"/>
      <c r="L1" s="141" t="s">
        <v>38</v>
      </c>
      <c r="M1" s="141"/>
      <c r="N1" s="141"/>
      <c r="O1" s="141"/>
      <c r="P1" s="141"/>
      <c r="Q1" s="141"/>
      <c r="R1" s="156" t="s">
        <v>39</v>
      </c>
      <c r="S1" s="157"/>
      <c r="T1" s="158"/>
      <c r="U1" s="143" t="s">
        <v>40</v>
      </c>
      <c r="V1" s="144"/>
      <c r="W1" s="144"/>
      <c r="X1" s="144"/>
      <c r="Y1" s="145"/>
      <c r="Z1" s="146" t="s">
        <v>41</v>
      </c>
      <c r="AA1" s="146"/>
      <c r="AB1" s="146"/>
      <c r="AC1" s="146"/>
      <c r="AD1" s="159" t="s">
        <v>93</v>
      </c>
      <c r="AE1" s="160"/>
      <c r="AF1" s="160"/>
      <c r="AG1" s="160"/>
      <c r="AH1" s="160"/>
      <c r="AI1" s="160"/>
      <c r="AJ1" s="161"/>
      <c r="AK1" s="131" t="s">
        <v>35</v>
      </c>
    </row>
    <row r="2" spans="1:37" s="2" customFormat="1" ht="70.5" customHeight="1">
      <c r="A2" s="137"/>
      <c r="B2" s="138"/>
      <c r="C2" s="139"/>
      <c r="D2" s="5" t="s">
        <v>44</v>
      </c>
      <c r="E2" s="6" t="s">
        <v>92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94</v>
      </c>
      <c r="O2" s="7" t="s">
        <v>29</v>
      </c>
      <c r="P2" s="7" t="s">
        <v>85</v>
      </c>
      <c r="Q2" s="7" t="s">
        <v>51</v>
      </c>
      <c r="R2" s="119" t="s">
        <v>52</v>
      </c>
      <c r="S2" s="118" t="s">
        <v>7</v>
      </c>
      <c r="T2" s="118" t="s">
        <v>95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33</v>
      </c>
      <c r="AC2" s="10" t="s">
        <v>60</v>
      </c>
      <c r="AD2" s="11" t="s">
        <v>96</v>
      </c>
      <c r="AE2" s="11" t="s">
        <v>97</v>
      </c>
      <c r="AF2" s="11" t="s">
        <v>88</v>
      </c>
      <c r="AG2" s="11" t="s">
        <v>89</v>
      </c>
      <c r="AH2" s="11" t="s">
        <v>98</v>
      </c>
      <c r="AI2" s="11" t="s">
        <v>99</v>
      </c>
      <c r="AJ2" s="11" t="s">
        <v>100</v>
      </c>
      <c r="AK2" s="132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1</v>
      </c>
      <c r="F3" s="14">
        <v>1</v>
      </c>
      <c r="G3" s="14">
        <v>1</v>
      </c>
      <c r="H3" s="14">
        <v>1</v>
      </c>
      <c r="I3" s="14">
        <v>1</v>
      </c>
      <c r="J3" s="14">
        <v>1</v>
      </c>
      <c r="K3" s="14">
        <v>1</v>
      </c>
      <c r="L3" s="15">
        <v>1</v>
      </c>
      <c r="M3" s="15">
        <v>1</v>
      </c>
      <c r="N3" s="15">
        <v>1</v>
      </c>
      <c r="O3" s="15">
        <v>1</v>
      </c>
      <c r="P3" s="15">
        <v>1</v>
      </c>
      <c r="Q3" s="15">
        <v>1</v>
      </c>
      <c r="R3" s="16">
        <v>1</v>
      </c>
      <c r="S3" s="16">
        <v>1</v>
      </c>
      <c r="T3" s="16">
        <v>1</v>
      </c>
      <c r="U3" s="17">
        <v>1</v>
      </c>
      <c r="V3" s="17">
        <v>1</v>
      </c>
      <c r="W3" s="17">
        <v>1</v>
      </c>
      <c r="X3" s="17">
        <v>1</v>
      </c>
      <c r="Y3" s="17">
        <v>1</v>
      </c>
      <c r="Z3" s="18">
        <v>1</v>
      </c>
      <c r="AA3" s="18">
        <v>1</v>
      </c>
      <c r="AB3" s="18">
        <v>1</v>
      </c>
      <c r="AC3" s="18">
        <v>1</v>
      </c>
      <c r="AD3" s="19">
        <v>1</v>
      </c>
      <c r="AE3" s="19">
        <v>1</v>
      </c>
      <c r="AF3" s="19">
        <v>1</v>
      </c>
      <c r="AG3" s="19">
        <v>1</v>
      </c>
      <c r="AH3" s="19">
        <v>1</v>
      </c>
      <c r="AI3" s="19">
        <v>1</v>
      </c>
      <c r="AJ3" s="19">
        <v>1</v>
      </c>
      <c r="AK3" s="133"/>
    </row>
    <row r="4" spans="1:37">
      <c r="A4" s="30">
        <v>1</v>
      </c>
      <c r="B4" s="115" t="s">
        <v>14</v>
      </c>
      <c r="C4" s="22">
        <v>46314</v>
      </c>
      <c r="D4" s="30" t="s">
        <v>62</v>
      </c>
      <c r="E4" s="62" t="s">
        <v>12</v>
      </c>
      <c r="F4" s="62"/>
      <c r="G4" s="62"/>
      <c r="H4" s="62"/>
      <c r="I4" s="62" t="s">
        <v>12</v>
      </c>
      <c r="J4" s="62" t="s">
        <v>12</v>
      </c>
      <c r="K4" s="62"/>
      <c r="L4" s="63"/>
      <c r="M4" s="63" t="s">
        <v>12</v>
      </c>
      <c r="N4" s="63"/>
      <c r="O4" s="63"/>
      <c r="P4" s="63"/>
      <c r="Q4" s="63"/>
      <c r="R4" s="24"/>
      <c r="S4" s="24"/>
      <c r="T4" s="24"/>
      <c r="U4" s="64"/>
      <c r="V4" s="64"/>
      <c r="W4" s="64"/>
      <c r="X4" s="64"/>
      <c r="Y4" s="64"/>
      <c r="Z4" s="65" t="s">
        <v>12</v>
      </c>
      <c r="AA4" s="65"/>
      <c r="AB4" s="65"/>
      <c r="AC4" s="65"/>
      <c r="AD4" s="66" t="s">
        <v>12</v>
      </c>
      <c r="AE4" s="66"/>
      <c r="AF4" s="66"/>
      <c r="AG4" s="66"/>
      <c r="AH4" s="66"/>
      <c r="AI4" s="66"/>
      <c r="AJ4" s="66"/>
      <c r="AK4" s="25">
        <f t="shared" ref="AK4:AK16" si="0">SUMIF(E4:AJ4,"&lt;&gt;",$E$3:$AJ$3)</f>
        <v>6</v>
      </c>
    </row>
    <row r="5" spans="1:37">
      <c r="A5" s="30">
        <v>2</v>
      </c>
      <c r="B5" s="115" t="s">
        <v>15</v>
      </c>
      <c r="C5" s="22">
        <v>46315</v>
      </c>
      <c r="D5" s="30" t="s">
        <v>62</v>
      </c>
      <c r="E5" s="62"/>
      <c r="F5" s="62"/>
      <c r="G5" s="62" t="s">
        <v>12</v>
      </c>
      <c r="H5" s="62"/>
      <c r="I5" s="62" t="s">
        <v>12</v>
      </c>
      <c r="J5" s="62" t="s">
        <v>12</v>
      </c>
      <c r="K5" s="62"/>
      <c r="L5" s="63" t="s">
        <v>12</v>
      </c>
      <c r="M5" s="63" t="s">
        <v>12</v>
      </c>
      <c r="N5" s="63"/>
      <c r="O5" s="63"/>
      <c r="P5" s="63"/>
      <c r="Q5" s="63"/>
      <c r="R5" s="24"/>
      <c r="S5" s="24"/>
      <c r="T5" s="24"/>
      <c r="U5" s="64"/>
      <c r="V5" s="64"/>
      <c r="W5" s="64" t="s">
        <v>12</v>
      </c>
      <c r="X5" s="64" t="s">
        <v>12</v>
      </c>
      <c r="Y5" s="64"/>
      <c r="Z5" s="65"/>
      <c r="AA5" s="65"/>
      <c r="AB5" s="65"/>
      <c r="AC5" s="65" t="s">
        <v>12</v>
      </c>
      <c r="AD5" s="66" t="s">
        <v>12</v>
      </c>
      <c r="AE5" s="66" t="s">
        <v>12</v>
      </c>
      <c r="AF5" s="66"/>
      <c r="AG5" s="66"/>
      <c r="AH5" s="66"/>
      <c r="AI5" s="66"/>
      <c r="AJ5" s="66"/>
      <c r="AK5" s="25">
        <f t="shared" si="0"/>
        <v>10</v>
      </c>
    </row>
    <row r="6" spans="1:37">
      <c r="A6" s="30">
        <v>3</v>
      </c>
      <c r="B6" s="115" t="s">
        <v>16</v>
      </c>
      <c r="C6" s="22">
        <v>46316</v>
      </c>
      <c r="D6" s="30" t="s">
        <v>62</v>
      </c>
      <c r="E6" s="62"/>
      <c r="F6" s="62" t="s">
        <v>12</v>
      </c>
      <c r="G6" s="62" t="s">
        <v>12</v>
      </c>
      <c r="H6" s="62"/>
      <c r="I6" s="62" t="s">
        <v>12</v>
      </c>
      <c r="J6" s="62" t="s">
        <v>12</v>
      </c>
      <c r="K6" s="62"/>
      <c r="L6" s="63"/>
      <c r="M6" s="63" t="s">
        <v>12</v>
      </c>
      <c r="N6" s="63"/>
      <c r="O6" s="63"/>
      <c r="P6" s="63"/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 t="s">
        <v>12</v>
      </c>
      <c r="AC6" s="65" t="s">
        <v>12</v>
      </c>
      <c r="AD6" s="66" t="s">
        <v>12</v>
      </c>
      <c r="AE6" s="66" t="s">
        <v>12</v>
      </c>
      <c r="AF6" s="66"/>
      <c r="AG6" s="66"/>
      <c r="AH6" s="66"/>
      <c r="AI6" s="66"/>
      <c r="AJ6" s="66"/>
      <c r="AK6" s="25">
        <f t="shared" si="0"/>
        <v>9</v>
      </c>
    </row>
    <row r="7" spans="1:37">
      <c r="A7" s="30">
        <v>4</v>
      </c>
      <c r="B7" s="115" t="s">
        <v>17</v>
      </c>
      <c r="C7" s="22">
        <v>46317</v>
      </c>
      <c r="D7" s="30" t="s">
        <v>62</v>
      </c>
      <c r="E7" s="62" t="s">
        <v>12</v>
      </c>
      <c r="F7" s="62" t="s">
        <v>12</v>
      </c>
      <c r="G7" s="62" t="s">
        <v>12</v>
      </c>
      <c r="H7" s="62"/>
      <c r="I7" s="62" t="s">
        <v>12</v>
      </c>
      <c r="J7" s="62" t="s">
        <v>12</v>
      </c>
      <c r="K7" s="62"/>
      <c r="L7" s="63" t="s">
        <v>12</v>
      </c>
      <c r="M7" s="63" t="s">
        <v>12</v>
      </c>
      <c r="N7" s="63"/>
      <c r="O7" s="63"/>
      <c r="P7" s="63"/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 t="s">
        <v>12</v>
      </c>
      <c r="AC7" s="65" t="s">
        <v>12</v>
      </c>
      <c r="AD7" s="66" t="s">
        <v>12</v>
      </c>
      <c r="AE7" s="66" t="s">
        <v>12</v>
      </c>
      <c r="AF7" s="66"/>
      <c r="AG7" s="66"/>
      <c r="AH7" s="66" t="s">
        <v>12</v>
      </c>
      <c r="AI7" s="66" t="s">
        <v>12</v>
      </c>
      <c r="AJ7" s="66"/>
      <c r="AK7" s="25">
        <f t="shared" si="0"/>
        <v>13</v>
      </c>
    </row>
    <row r="8" spans="1:37">
      <c r="A8" s="30">
        <v>5</v>
      </c>
      <c r="B8" s="115" t="s">
        <v>18</v>
      </c>
      <c r="C8" s="22">
        <v>46318</v>
      </c>
      <c r="D8" s="30" t="s">
        <v>62</v>
      </c>
      <c r="E8" s="62"/>
      <c r="F8" s="62"/>
      <c r="G8" s="62" t="s">
        <v>12</v>
      </c>
      <c r="H8" s="62"/>
      <c r="I8" s="62"/>
      <c r="J8" s="62" t="s">
        <v>12</v>
      </c>
      <c r="K8" s="62"/>
      <c r="L8" s="63"/>
      <c r="M8" s="63" t="s">
        <v>12</v>
      </c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/>
      <c r="AA8" s="65"/>
      <c r="AB8" s="65"/>
      <c r="AC8" s="65"/>
      <c r="AD8" s="66" t="s">
        <v>12</v>
      </c>
      <c r="AE8" s="66" t="s">
        <v>12</v>
      </c>
      <c r="AF8" s="66"/>
      <c r="AG8" s="66"/>
      <c r="AH8" s="66" t="s">
        <v>12</v>
      </c>
      <c r="AI8" s="66"/>
      <c r="AJ8" s="66"/>
      <c r="AK8" s="25">
        <f t="shared" si="0"/>
        <v>6</v>
      </c>
    </row>
    <row r="9" spans="1:37">
      <c r="A9" s="69">
        <v>6</v>
      </c>
      <c r="B9" s="116" t="s">
        <v>11</v>
      </c>
      <c r="C9" s="22">
        <v>46319</v>
      </c>
      <c r="D9" s="69" t="s">
        <v>62</v>
      </c>
      <c r="E9" s="70"/>
      <c r="F9" s="70"/>
      <c r="G9" s="70"/>
      <c r="H9" s="70"/>
      <c r="I9" s="70"/>
      <c r="J9" s="70"/>
      <c r="K9" s="70"/>
      <c r="L9" s="71"/>
      <c r="M9" s="71"/>
      <c r="N9" s="71"/>
      <c r="O9" s="71"/>
      <c r="P9" s="71"/>
      <c r="Q9" s="71"/>
      <c r="R9" s="113"/>
      <c r="S9" s="113"/>
      <c r="T9" s="113"/>
      <c r="U9" s="73"/>
      <c r="V9" s="73"/>
      <c r="W9" s="73"/>
      <c r="X9" s="73"/>
      <c r="Y9" s="73"/>
      <c r="Z9" s="74"/>
      <c r="AA9" s="74"/>
      <c r="AB9" s="74"/>
      <c r="AC9" s="74"/>
      <c r="AD9" s="75"/>
      <c r="AE9" s="75"/>
      <c r="AF9" s="75"/>
      <c r="AG9" s="75"/>
      <c r="AH9" s="75"/>
      <c r="AI9" s="75"/>
      <c r="AJ9" s="75"/>
      <c r="AK9" s="93">
        <f t="shared" si="0"/>
        <v>0</v>
      </c>
    </row>
    <row r="10" spans="1:37">
      <c r="A10" s="30">
        <v>7</v>
      </c>
      <c r="B10" s="115" t="s">
        <v>13</v>
      </c>
      <c r="C10" s="22">
        <v>46320</v>
      </c>
      <c r="D10" s="30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6"/>
      <c r="AE10" s="66"/>
      <c r="AF10" s="66"/>
      <c r="AG10" s="66"/>
      <c r="AH10" s="66"/>
      <c r="AI10" s="66"/>
      <c r="AJ10" s="66"/>
      <c r="AK10" s="25">
        <f t="shared" si="0"/>
        <v>0</v>
      </c>
    </row>
    <row r="11" spans="1:37">
      <c r="A11" s="84">
        <v>8</v>
      </c>
      <c r="B11" s="117" t="s">
        <v>14</v>
      </c>
      <c r="C11" s="22">
        <v>46321</v>
      </c>
      <c r="D11" s="84" t="s">
        <v>62</v>
      </c>
      <c r="E11" s="77"/>
      <c r="F11" s="77"/>
      <c r="G11" s="77"/>
      <c r="H11" s="77"/>
      <c r="I11" s="77"/>
      <c r="J11" s="77"/>
      <c r="K11" s="77"/>
      <c r="L11" s="78"/>
      <c r="M11" s="78"/>
      <c r="N11" s="78"/>
      <c r="O11" s="78"/>
      <c r="P11" s="78"/>
      <c r="Q11" s="78"/>
      <c r="R11" s="79"/>
      <c r="S11" s="79"/>
      <c r="T11" s="79"/>
      <c r="U11" s="80"/>
      <c r="V11" s="80"/>
      <c r="W11" s="80"/>
      <c r="X11" s="80"/>
      <c r="Y11" s="80"/>
      <c r="Z11" s="81"/>
      <c r="AA11" s="81"/>
      <c r="AB11" s="81"/>
      <c r="AC11" s="81"/>
      <c r="AD11" s="82"/>
      <c r="AE11" s="82"/>
      <c r="AF11" s="82"/>
      <c r="AG11" s="82"/>
      <c r="AH11" s="82"/>
      <c r="AI11" s="82"/>
      <c r="AJ11" s="82"/>
      <c r="AK11" s="94">
        <f t="shared" si="0"/>
        <v>0</v>
      </c>
    </row>
    <row r="12" spans="1:37">
      <c r="A12" s="30">
        <v>9</v>
      </c>
      <c r="B12" s="115" t="s">
        <v>15</v>
      </c>
      <c r="C12" s="22">
        <v>46322</v>
      </c>
      <c r="D12" s="30" t="s">
        <v>62</v>
      </c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6"/>
      <c r="AE12" s="66"/>
      <c r="AF12" s="66"/>
      <c r="AG12" s="66"/>
      <c r="AH12" s="66"/>
      <c r="AI12" s="66"/>
      <c r="AJ12" s="66"/>
      <c r="AK12" s="25">
        <f t="shared" si="0"/>
        <v>0</v>
      </c>
    </row>
    <row r="13" spans="1:37">
      <c r="A13" s="30">
        <v>10</v>
      </c>
      <c r="B13" s="115" t="s">
        <v>16</v>
      </c>
      <c r="C13" s="22">
        <v>46323</v>
      </c>
      <c r="D13" s="30" t="s">
        <v>62</v>
      </c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6"/>
      <c r="AE13" s="66"/>
      <c r="AF13" s="66"/>
      <c r="AG13" s="66"/>
      <c r="AH13" s="66"/>
      <c r="AI13" s="66"/>
      <c r="AJ13" s="66"/>
      <c r="AK13" s="25">
        <f t="shared" si="0"/>
        <v>0</v>
      </c>
    </row>
    <row r="14" spans="1:37">
      <c r="A14" s="30">
        <v>11</v>
      </c>
      <c r="B14" s="115" t="s">
        <v>17</v>
      </c>
      <c r="C14" s="22">
        <v>46324</v>
      </c>
      <c r="D14" s="30" t="s">
        <v>62</v>
      </c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6"/>
      <c r="AE14" s="66"/>
      <c r="AF14" s="66"/>
      <c r="AG14" s="66"/>
      <c r="AH14" s="66"/>
      <c r="AI14" s="66"/>
      <c r="AJ14" s="66"/>
      <c r="AK14" s="25">
        <f t="shared" si="0"/>
        <v>0</v>
      </c>
    </row>
    <row r="15" spans="1:37">
      <c r="A15" s="30">
        <v>12</v>
      </c>
      <c r="B15" s="115" t="s">
        <v>18</v>
      </c>
      <c r="C15" s="22">
        <v>46325</v>
      </c>
      <c r="D15" s="30" t="s">
        <v>62</v>
      </c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6"/>
      <c r="AE15" s="66"/>
      <c r="AF15" s="66"/>
      <c r="AG15" s="66"/>
      <c r="AH15" s="66"/>
      <c r="AI15" s="66"/>
      <c r="AJ15" s="66"/>
      <c r="AK15" s="25">
        <f t="shared" si="0"/>
        <v>0</v>
      </c>
    </row>
    <row r="16" spans="1:37">
      <c r="A16" s="30">
        <v>13</v>
      </c>
      <c r="B16" s="115" t="s">
        <v>11</v>
      </c>
      <c r="C16" s="22">
        <v>46326</v>
      </c>
      <c r="D16" s="69" t="s">
        <v>62</v>
      </c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5"/>
      <c r="AE16" s="75"/>
      <c r="AF16" s="75"/>
      <c r="AG16" s="75"/>
      <c r="AH16" s="75"/>
      <c r="AI16" s="75"/>
      <c r="AJ16" s="75"/>
      <c r="AK16" s="25">
        <f t="shared" si="0"/>
        <v>0</v>
      </c>
    </row>
    <row r="17" spans="1:37" ht="30" customHeight="1">
      <c r="A17" s="150" t="s">
        <v>77</v>
      </c>
      <c r="B17" s="151"/>
      <c r="C17" s="151"/>
      <c r="D17" s="152"/>
      <c r="E17" s="106">
        <f t="shared" ref="E17:AJ17" si="1">COUNTA(E4:E16)</f>
        <v>2</v>
      </c>
      <c r="F17" s="106">
        <f t="shared" si="1"/>
        <v>2</v>
      </c>
      <c r="G17" s="106">
        <f t="shared" si="1"/>
        <v>4</v>
      </c>
      <c r="H17" s="106">
        <f t="shared" si="1"/>
        <v>0</v>
      </c>
      <c r="I17" s="106">
        <f t="shared" si="1"/>
        <v>4</v>
      </c>
      <c r="J17" s="106">
        <f t="shared" si="1"/>
        <v>5</v>
      </c>
      <c r="K17" s="106">
        <f t="shared" si="1"/>
        <v>0</v>
      </c>
      <c r="L17" s="63">
        <f t="shared" si="1"/>
        <v>2</v>
      </c>
      <c r="M17" s="63">
        <f t="shared" si="1"/>
        <v>5</v>
      </c>
      <c r="N17" s="63">
        <f t="shared" si="1"/>
        <v>0</v>
      </c>
      <c r="O17" s="63">
        <f t="shared" si="1"/>
        <v>0</v>
      </c>
      <c r="P17" s="63">
        <f t="shared" si="1"/>
        <v>0</v>
      </c>
      <c r="Q17" s="63">
        <f t="shared" si="1"/>
        <v>0</v>
      </c>
      <c r="R17" s="29">
        <f t="shared" si="1"/>
        <v>0</v>
      </c>
      <c r="S17" s="29">
        <f t="shared" si="1"/>
        <v>0</v>
      </c>
      <c r="T17" s="29">
        <f t="shared" si="1"/>
        <v>0</v>
      </c>
      <c r="U17" s="64">
        <f t="shared" si="1"/>
        <v>0</v>
      </c>
      <c r="V17" s="64">
        <f t="shared" si="1"/>
        <v>0</v>
      </c>
      <c r="W17" s="64">
        <f t="shared" si="1"/>
        <v>1</v>
      </c>
      <c r="X17" s="64">
        <f t="shared" si="1"/>
        <v>1</v>
      </c>
      <c r="Y17" s="64">
        <f t="shared" si="1"/>
        <v>0</v>
      </c>
      <c r="Z17" s="65">
        <f t="shared" si="1"/>
        <v>1</v>
      </c>
      <c r="AA17" s="65">
        <f t="shared" si="1"/>
        <v>0</v>
      </c>
      <c r="AB17" s="65">
        <f t="shared" si="1"/>
        <v>2</v>
      </c>
      <c r="AC17" s="65">
        <f t="shared" si="1"/>
        <v>3</v>
      </c>
      <c r="AD17" s="66">
        <f t="shared" si="1"/>
        <v>5</v>
      </c>
      <c r="AE17" s="66">
        <f t="shared" si="1"/>
        <v>4</v>
      </c>
      <c r="AF17" s="66">
        <f t="shared" si="1"/>
        <v>0</v>
      </c>
      <c r="AG17" s="66">
        <f t="shared" si="1"/>
        <v>0</v>
      </c>
      <c r="AH17" s="66">
        <f t="shared" si="1"/>
        <v>2</v>
      </c>
      <c r="AI17" s="66">
        <f t="shared" si="1"/>
        <v>1</v>
      </c>
      <c r="AJ17" s="66">
        <f t="shared" si="1"/>
        <v>0</v>
      </c>
      <c r="AK17" s="25"/>
    </row>
    <row r="18" spans="1:37" ht="30" customHeight="1">
      <c r="AG18" s="147" t="s">
        <v>78</v>
      </c>
      <c r="AH18" s="148"/>
      <c r="AI18" s="148"/>
      <c r="AJ18" s="149"/>
      <c r="AK18" s="107">
        <f>ROUND(AVERAGE(AK4:AK16),0)</f>
        <v>3</v>
      </c>
    </row>
    <row r="19" spans="1:37" ht="30" customHeight="1">
      <c r="AG19" s="147" t="s">
        <v>79</v>
      </c>
      <c r="AH19" s="148"/>
      <c r="AI19" s="148"/>
      <c r="AJ19" s="149"/>
      <c r="AK19" s="107">
        <f>MAX(AK4:AK16)</f>
        <v>13</v>
      </c>
    </row>
    <row r="20" spans="1:37" ht="30" customHeight="1">
      <c r="AG20" s="147" t="s">
        <v>80</v>
      </c>
      <c r="AH20" s="148"/>
      <c r="AI20" s="148"/>
      <c r="AJ20" s="149"/>
      <c r="AK20" s="107">
        <f>MIN(AK4:AK16)</f>
        <v>0</v>
      </c>
    </row>
    <row r="21" spans="1:37" ht="30" customHeight="1">
      <c r="AG21" s="147" t="s">
        <v>81</v>
      </c>
      <c r="AH21" s="148"/>
      <c r="AI21" s="148"/>
      <c r="AJ21" s="149"/>
      <c r="AK21" s="107">
        <f>COUNTIF(AK4:AK16, "&gt;"&amp;AK18)</f>
        <v>5</v>
      </c>
    </row>
    <row r="22" spans="1:37" ht="30" customHeight="1">
      <c r="AG22" s="147" t="s">
        <v>82</v>
      </c>
      <c r="AH22" s="148"/>
      <c r="AI22" s="148"/>
      <c r="AJ22" s="149"/>
      <c r="AK22" s="107">
        <f>COUNTIF(AK4:AK16, "&lt;"&amp;AK18)</f>
        <v>8</v>
      </c>
    </row>
    <row r="23" spans="1:37" ht="30" customHeight="1">
      <c r="AG23" s="147" t="s">
        <v>83</v>
      </c>
      <c r="AH23" s="148"/>
      <c r="AI23" s="148"/>
      <c r="AJ23" s="149"/>
      <c r="AK23" s="107">
        <f>COUNTIF(AK4:AK16, "&gt;"&amp;20)</f>
        <v>0</v>
      </c>
    </row>
    <row r="24" spans="1:37" ht="30" customHeight="1">
      <c r="AG24" s="147" t="s">
        <v>84</v>
      </c>
      <c r="AH24" s="148"/>
      <c r="AI24" s="148"/>
      <c r="AJ24" s="149"/>
      <c r="AK24" s="107">
        <f>COUNTIF(AK4:AK16, "&lt;"&amp;20)</f>
        <v>13</v>
      </c>
    </row>
    <row r="25" spans="1:37" ht="30" customHeight="1"/>
    <row r="26" spans="1:37" ht="30" customHeight="1"/>
    <row r="27" spans="1:37" ht="30" customHeight="1"/>
  </sheetData>
  <mergeCells count="16">
    <mergeCell ref="AG22:AJ22"/>
    <mergeCell ref="AG23:AJ23"/>
    <mergeCell ref="AG24:AJ24"/>
    <mergeCell ref="AK1:AK3"/>
    <mergeCell ref="A17:D17"/>
    <mergeCell ref="AG18:AJ18"/>
    <mergeCell ref="AG20:AJ20"/>
    <mergeCell ref="AG21:AJ21"/>
    <mergeCell ref="AG19:AJ19"/>
    <mergeCell ref="A1:C2"/>
    <mergeCell ref="E1:K1"/>
    <mergeCell ref="L1:Q1"/>
    <mergeCell ref="R1:T1"/>
    <mergeCell ref="U1:Y1"/>
    <mergeCell ref="Z1:AC1"/>
    <mergeCell ref="AD1:AJ1"/>
  </mergeCells>
  <conditionalFormatting sqref="E4:AJ16 L17:AJ17 AH4:AJ17">
    <cfRule type="expression" dxfId="0" priority="7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Июнь</vt:lpstr>
      <vt:lpstr>Июль</vt:lpstr>
      <vt:lpstr>Август</vt:lpstr>
      <vt:lpstr>Сентябрь</vt:lpstr>
      <vt:lpstr>Октябрь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2026-10-23T07:19:36Z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