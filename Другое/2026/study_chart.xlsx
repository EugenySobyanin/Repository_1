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4000" windowHeight="10380" activeTab="4"/>
  </bookViews>
  <sheets>
    <sheet name="Июнь" sheetId="1" r:id="rId1"/>
    <sheet name="Июль" sheetId="4" r:id="rId2"/>
    <sheet name="Август" sheetId="5" r:id="rId3"/>
    <sheet name="Сентябрь" sheetId="6" r:id="rId4"/>
    <sheet name="Октябрь" sheetId="7" r:id="rId5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" i="7"/>
  <c r="AJ17"/>
  <c r="AI17"/>
  <c r="AH17"/>
  <c r="AG17"/>
  <c r="AF17"/>
  <c r="AE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AK16"/>
  <c r="AK15"/>
  <c r="AK14"/>
  <c r="AK13"/>
  <c r="AK12"/>
  <c r="AK11"/>
  <c r="AK10"/>
  <c r="AK9"/>
  <c r="AK8"/>
  <c r="AK7"/>
  <c r="AK6"/>
  <c r="AK5"/>
  <c r="AK4"/>
  <c r="T34" i="6"/>
  <c r="AJ34"/>
  <c r="AI34"/>
  <c r="AH34"/>
  <c r="AG34"/>
  <c r="AF34"/>
  <c r="AE34"/>
  <c r="AD34"/>
  <c r="AC34"/>
  <c r="AB34"/>
  <c r="AA34"/>
  <c r="Z34"/>
  <c r="Y34"/>
  <c r="X34"/>
  <c r="W34"/>
  <c r="V34"/>
  <c r="U34"/>
  <c r="S34"/>
  <c r="R34"/>
  <c r="Q34"/>
  <c r="P34"/>
  <c r="O34"/>
  <c r="N34"/>
  <c r="M34"/>
  <c r="L34"/>
  <c r="K34"/>
  <c r="J34"/>
  <c r="I34"/>
  <c r="H34"/>
  <c r="G34"/>
  <c r="F34"/>
  <c r="E34"/>
  <c r="AK33"/>
  <c r="AK32"/>
  <c r="AK31"/>
  <c r="AK30"/>
  <c r="AK29"/>
  <c r="AK28"/>
  <c r="AK27"/>
  <c r="AK26"/>
  <c r="AK25"/>
  <c r="AK24"/>
  <c r="AK23"/>
  <c r="AK22"/>
  <c r="AK21"/>
  <c r="AK20"/>
  <c r="AK19"/>
  <c r="AK18"/>
  <c r="AK17"/>
  <c r="AK16"/>
  <c r="AK15"/>
  <c r="AK14"/>
  <c r="AK13"/>
  <c r="AK12"/>
  <c r="AK11"/>
  <c r="AK10"/>
  <c r="AK9"/>
  <c r="AK8"/>
  <c r="AK7"/>
  <c r="AK6"/>
  <c r="AK5"/>
  <c r="AK4"/>
  <c r="AK41" s="1"/>
  <c r="F35" i="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E35"/>
  <c r="AK34"/>
  <c r="AK33"/>
  <c r="AK32"/>
  <c r="AK31"/>
  <c r="AK30"/>
  <c r="AK29"/>
  <c r="AK28"/>
  <c r="AK27"/>
  <c r="AK26"/>
  <c r="AK25"/>
  <c r="AK24"/>
  <c r="AK23"/>
  <c r="AK22"/>
  <c r="AK21"/>
  <c r="AK20"/>
  <c r="AK19"/>
  <c r="AK18"/>
  <c r="AK17"/>
  <c r="AK16"/>
  <c r="AK15"/>
  <c r="AK14"/>
  <c r="AK13"/>
  <c r="AK12"/>
  <c r="AK11"/>
  <c r="AK10"/>
  <c r="AK9"/>
  <c r="AK8"/>
  <c r="AK7"/>
  <c r="AK6"/>
  <c r="AK5"/>
  <c r="AK4"/>
  <c r="AK42" i="4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AL41"/>
  <c r="AL40"/>
  <c r="AL39"/>
  <c r="AL38"/>
  <c r="AL37"/>
  <c r="AL36"/>
  <c r="AL35"/>
  <c r="AL34"/>
  <c r="AL33"/>
  <c r="AL32"/>
  <c r="AL31"/>
  <c r="AL30"/>
  <c r="AL29"/>
  <c r="AL28"/>
  <c r="AL27"/>
  <c r="AL26"/>
  <c r="AL25"/>
  <c r="AL24"/>
  <c r="AL23"/>
  <c r="AL22"/>
  <c r="AL21"/>
  <c r="AL20"/>
  <c r="AL19"/>
  <c r="AL42" s="1"/>
  <c r="AL18"/>
  <c r="AL17"/>
  <c r="AL16"/>
  <c r="AL15"/>
  <c r="AL14"/>
  <c r="AL13"/>
  <c r="AL12"/>
  <c r="AL11"/>
  <c r="Q22" i="1"/>
  <c r="P22"/>
  <c r="O22"/>
  <c r="N22"/>
  <c r="M22"/>
  <c r="L22"/>
  <c r="K22"/>
  <c r="AK23" i="7" l="1"/>
  <c r="AK24"/>
  <c r="AK18"/>
  <c r="AK22" s="1"/>
  <c r="AK20"/>
  <c r="AK19"/>
  <c r="AK42" i="5"/>
  <c r="AK40" i="6"/>
  <c r="AK41" i="5"/>
  <c r="AK36"/>
  <c r="AK40" s="1"/>
  <c r="AK36" i="6"/>
  <c r="AK35"/>
  <c r="AK38" s="1"/>
  <c r="AK37"/>
  <c r="AK38" i="5"/>
  <c r="AK37"/>
  <c r="AK21" i="7" l="1"/>
  <c r="AK39" i="5"/>
  <c r="AK39" i="6"/>
</calcChain>
</file>

<file path=xl/comments1.xml><?xml version="1.0" encoding="utf-8"?>
<comments xmlns="http://schemas.openxmlformats.org/spreadsheetml/2006/main">
  <authors>
    <author>Собянин Евгений Андреевич (new)</author>
  </authors>
  <commentList>
    <comment ref="AF21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100%.
Срыв был недавно, весь день был рядом с Аней, раздрожителей не было, в телефоне не сидел.</t>
        </r>
      </text>
    </comment>
    <comment ref="AF22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100%.
Срыв был недавно, весь день был рядом с Аней, раздрожителей не было, в телефоне не сидел.
</t>
        </r>
      </text>
    </comment>
    <comment ref="AF23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уже не 100%,
но мыслей о срыве не было.
Упражнения, помогающие отогнать навязчивые мысли пока, что работают хорошо.
Отсутствие телефона так же помогает
сохранить концетрацию</t>
        </r>
      </text>
    </comment>
    <comment ref="AF24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80%
Уже чувствуется напряжение, но мыслей о том чтобы сорваться не было
Уже начинаются разные триггеры, которые не должны по идее меня беспокоить.</t>
        </r>
      </text>
    </comment>
    <comment ref="AG24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Найти квартиру для поездки в МСК</t>
        </r>
      </text>
    </comment>
    <comment ref="AH24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подарком Кулику</t>
        </r>
      </text>
    </comment>
    <comment ref="AF2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80%
Происходит треш (Аня чудит),
возбуждение приходит быстро,
но мыслей сорваться до сих пор
нет, держу свои мысли под контролем - полет нормальный.</t>
        </r>
      </text>
    </comment>
    <comment ref="AG2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Найти квартиру для поездки в МСК</t>
        </r>
      </text>
    </comment>
    <comment ref="AH2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подарком Кулику</t>
        </r>
      </text>
    </comment>
    <comment ref="AI2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Разобраться с заявлением</t>
        </r>
      </text>
    </comment>
    <comment ref="AJ2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одеждой в мск</t>
        </r>
      </text>
    </comment>
    <comment ref="AK25" authorId="0">
      <text>
        <r>
          <rPr>
            <b/>
            <sz val="9"/>
            <rFont val="Tahoma"/>
            <family val="2"/>
            <charset val="204"/>
          </rPr>
          <t xml:space="preserve">Собянин Евгений Андреевич (new):
</t>
        </r>
        <r>
          <rPr>
            <sz val="9"/>
            <rFont val="Tahoma"/>
            <family val="2"/>
            <charset val="204"/>
          </rPr>
          <t>Записаться в парикмахерскую</t>
        </r>
      </text>
    </comment>
    <comment ref="AF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</t>
        </r>
      </text>
    </comment>
    <comment ref="AG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Найти квартиру для поездки в МСК</t>
        </r>
      </text>
    </comment>
    <comment ref="AH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подарком Кулику</t>
        </r>
      </text>
    </comment>
    <comment ref="AI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Разобраться с заявлением</t>
        </r>
      </text>
    </comment>
    <comment ref="AJ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одеждой в мск</t>
        </r>
      </text>
    </comment>
    <comment ref="AK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Сходить в парикмахерскую</t>
        </r>
      </text>
    </comment>
    <comment ref="AF27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Проблем с контрлем не возникало!</t>
        </r>
      </text>
    </comment>
    <comment ref="AG27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Найти квартиру для поездки в МСК</t>
        </r>
      </text>
    </comment>
    <comment ref="AH27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одеждой в мск</t>
        </r>
      </text>
    </comment>
    <comment ref="AF28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В субботу было много дел и было не до этого,так что контрль был хороший</t>
        </r>
      </text>
    </comment>
    <comment ref="AF29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После выпитых в субботу нескольких стопок виски утром появились мысли о том чтобы сорваться, я даже зашел в инсту и хотел кому-нибудь написать
НО по итогу получилось удержаться и отстрониться от этих мыслей!!!</t>
        </r>
      </text>
    </comment>
    <comment ref="AF30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значительно просел, посещают мысли об инстаграмме и о том "кто как поживает".
Пытаюсь отгонять мысли, но они возвращаются и я чувствую потерю концетрации.
По итогу провалился в туалете на работе.</t>
        </r>
      </text>
    </comment>
    <comment ref="AF31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Абсолютный провал.
Кажется 2 раза.</t>
        </r>
      </text>
    </comment>
    <comment ref="AF32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Абсолютный провал.
1 или 2 раза.
Переписки, залипание в телефоне и т.д.</t>
        </r>
      </text>
    </comment>
    <comment ref="AF33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Абсолютный провал на фоне недосыпа, ссор с Аней и негативного морального фона.
Переписки в инсте, дрочка в туалете.</t>
        </r>
      </text>
    </comment>
    <comment ref="AF3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Просто не дали закончить, а так, я практически это сделал</t>
        </r>
      </text>
    </comment>
    <comment ref="AF3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Контроля не было вообще, но и возможности тоже не было, по этому получилось сдержаться</t>
        </r>
      </text>
    </comment>
    <comment ref="AF37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был потярян из-за соц.сетей и телефона</t>
        </r>
      </text>
    </comment>
    <comment ref="AF38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Было 3 срыва, контроль был потерян из-за соц.сетей и телефона</t>
        </r>
      </text>
    </comment>
  </commentList>
</comments>
</file>

<file path=xl/comments2.xml><?xml version="1.0" encoding="utf-8"?>
<comments xmlns="http://schemas.openxmlformats.org/spreadsheetml/2006/main">
  <authors>
    <author>Собянин Евгений Андреевич (new)</author>
  </authors>
  <commentList>
    <comment ref="AH14" authorId="0">
      <text>
        <r>
          <rPr>
            <sz val="9"/>
            <color indexed="81"/>
            <rFont val="Tahoma"/>
            <family val="2"/>
            <charset val="204"/>
          </rPr>
          <t xml:space="preserve">Сделать 60% задач из задачника.
13 из 22
</t>
        </r>
      </text>
    </comment>
  </commentList>
</comments>
</file>

<file path=xl/comments3.xml><?xml version="1.0" encoding="utf-8"?>
<comments xmlns="http://schemas.openxmlformats.org/spreadsheetml/2006/main">
  <authors>
    <author>Собянин Евгений Андреевич (new)</author>
  </authors>
  <commentList>
    <comment ref="AH5" authorId="0">
      <text>
        <r>
          <rPr>
            <sz val="9"/>
            <color indexed="81"/>
            <rFont val="Tahoma"/>
            <charset val="1"/>
          </rPr>
          <t xml:space="preserve">Выполнить 60% поставленных на работе задач
</t>
        </r>
      </text>
    </comment>
    <comment ref="AH6" authorId="0">
      <text>
        <r>
          <rPr>
            <b/>
            <sz val="9"/>
            <color indexed="81"/>
            <rFont val="Tahoma"/>
            <charset val="1"/>
          </rPr>
          <t>Не отвлекаться на работе, работа без остановки</t>
        </r>
      </text>
    </comment>
    <comment ref="AH8" authorId="0">
      <text>
        <r>
          <rPr>
            <b/>
            <sz val="9"/>
            <color indexed="81"/>
            <rFont val="Tahoma"/>
            <charset val="1"/>
          </rPr>
          <t>Поделать работу которую взял на дом</t>
        </r>
      </text>
    </comment>
    <comment ref="AH9" authorId="0">
      <text>
        <r>
          <rPr>
            <sz val="9"/>
            <color indexed="81"/>
            <rFont val="Tahoma"/>
            <charset val="1"/>
          </rPr>
          <t xml:space="preserve">Должностные инструкции
</t>
        </r>
      </text>
    </comment>
    <comment ref="AI9" authorId="0">
      <text>
        <r>
          <rPr>
            <sz val="9"/>
            <color indexed="81"/>
            <rFont val="Tahoma"/>
            <charset val="1"/>
          </rPr>
          <t xml:space="preserve">KPI
</t>
        </r>
      </text>
    </comment>
    <comment ref="AI16" authorId="0">
      <text>
        <r>
          <rPr>
            <sz val="9"/>
            <color indexed="81"/>
            <rFont val="Tahoma"/>
            <charset val="1"/>
          </rPr>
          <t xml:space="preserve">Заставил себя сесть и поделать KPI
</t>
        </r>
      </text>
    </comment>
    <comment ref="AI22" authorId="0">
      <text>
        <r>
          <rPr>
            <sz val="9"/>
            <color indexed="81"/>
            <rFont val="Tahoma"/>
            <charset val="1"/>
          </rPr>
          <t xml:space="preserve">Сел за KPI 
</t>
        </r>
      </text>
    </comment>
    <comment ref="AI23" authorId="0">
      <text>
        <r>
          <rPr>
            <sz val="9"/>
            <color indexed="81"/>
            <rFont val="Tahoma"/>
            <charset val="1"/>
          </rPr>
          <t xml:space="preserve">Много времени посвятил разработке KPI, так что еще + 1 на след ячейке
</t>
        </r>
      </text>
    </comment>
  </commentList>
</comments>
</file>

<file path=xl/sharedStrings.xml><?xml version="1.0" encoding="utf-8"?>
<sst xmlns="http://schemas.openxmlformats.org/spreadsheetml/2006/main" count="962" uniqueCount="101">
  <si>
    <t>СТАТИСТИКА</t>
  </si>
  <si>
    <t>№</t>
  </si>
  <si>
    <t>День недели</t>
  </si>
  <si>
    <t>Дата</t>
  </si>
  <si>
    <t>Медитация</t>
  </si>
  <si>
    <t>Сметы</t>
  </si>
  <si>
    <t>Стройка</t>
  </si>
  <si>
    <t>Codewars</t>
  </si>
  <si>
    <t>Трекер задач</t>
  </si>
  <si>
    <t>Fram 25</t>
  </si>
  <si>
    <t>C</t>
  </si>
  <si>
    <t>Сб</t>
  </si>
  <si>
    <t>+</t>
  </si>
  <si>
    <t>Вс</t>
  </si>
  <si>
    <t>Пн</t>
  </si>
  <si>
    <t>Вт</t>
  </si>
  <si>
    <t>Ср</t>
  </si>
  <si>
    <t>Чт</t>
  </si>
  <si>
    <t>Пт</t>
  </si>
  <si>
    <t>Итого за отчетный период:</t>
  </si>
  <si>
    <t>Встать в 6 утра</t>
  </si>
  <si>
    <t>Встать с первого будильника</t>
  </si>
  <si>
    <t>Не сидеть утром в телефоне</t>
  </si>
  <si>
    <t>Утреннее чтение</t>
  </si>
  <si>
    <t>Зарядка</t>
  </si>
  <si>
    <t>Осанка</t>
  </si>
  <si>
    <t>Вовремя прийти на работу</t>
  </si>
  <si>
    <t>Распланировать день</t>
  </si>
  <si>
    <t>Подбить таблицу с расходами</t>
  </si>
  <si>
    <t>Не сидеть в телефоне на работе</t>
  </si>
  <si>
    <t>Спорт (хотя бы одно упражнение)</t>
  </si>
  <si>
    <t>Чтение перед сном</t>
  </si>
  <si>
    <t>Отбой до 22:30</t>
  </si>
  <si>
    <t>Воздержание</t>
  </si>
  <si>
    <t>Доп.задание</t>
  </si>
  <si>
    <t>ИТОГО</t>
  </si>
  <si>
    <t>Группа</t>
  </si>
  <si>
    <t>Утренняя рутина</t>
  </si>
  <si>
    <t>Работа</t>
  </si>
  <si>
    <t>IT</t>
  </si>
  <si>
    <t>Вечерняя рутина</t>
  </si>
  <si>
    <t>Контрль/спорт/здоровье</t>
  </si>
  <si>
    <t>Допы на август</t>
  </si>
  <si>
    <t>Дневные допы</t>
  </si>
  <si>
    <t>Показатель</t>
  </si>
  <si>
    <t>Встать до 6:20</t>
  </si>
  <si>
    <t>Встать с 1 будильника</t>
  </si>
  <si>
    <t xml:space="preserve">Распланировать день </t>
  </si>
  <si>
    <t>Выполнить срочные/важные задачи</t>
  </si>
  <si>
    <t>Обучение Эксперт</t>
  </si>
  <si>
    <t>Руководство по смете.ру</t>
  </si>
  <si>
    <t>Книга по строительству дорог</t>
  </si>
  <si>
    <t>Таск трекер</t>
  </si>
  <si>
    <t>Приготовить обед на завтра</t>
  </si>
  <si>
    <t>Приготовить одежду на завтра</t>
  </si>
  <si>
    <t>Чтение</t>
  </si>
  <si>
    <t>Умывание лица</t>
  </si>
  <si>
    <t>Спорт (минимум 1 упражнение)</t>
  </si>
  <si>
    <t>Не есть сладкое</t>
  </si>
  <si>
    <t>Заполинть таблицу с расходами/доходами</t>
  </si>
  <si>
    <t>Не сидеть в телефоне вечером</t>
  </si>
  <si>
    <t>Заввление в суд и в МТС</t>
  </si>
  <si>
    <t>-</t>
  </si>
  <si>
    <t>Балл за выполнение</t>
  </si>
  <si>
    <t>90.00</t>
  </si>
  <si>
    <t>89.8</t>
  </si>
  <si>
    <t>89.6</t>
  </si>
  <si>
    <t>89.1</t>
  </si>
  <si>
    <t>89.4</t>
  </si>
  <si>
    <t>Упражнение Ситуация - Приговор - Факт (с 10.08)</t>
  </si>
  <si>
    <t>89.2</t>
  </si>
  <si>
    <t>Упражнения для голоса (с 11.08)</t>
  </si>
  <si>
    <t>89.3</t>
  </si>
  <si>
    <t>88.5</t>
  </si>
  <si>
    <t>88.3</t>
  </si>
  <si>
    <t>88.4</t>
  </si>
  <si>
    <t>88.9</t>
  </si>
  <si>
    <t>Итоги за месяц</t>
  </si>
  <si>
    <t>Среднее значение</t>
  </si>
  <si>
    <t>Наибольшее значение</t>
  </si>
  <si>
    <t>Наименьшее значение</t>
  </si>
  <si>
    <t>Количество дней больше среднего значения</t>
  </si>
  <si>
    <t>Количество дней меньше среднего значения</t>
  </si>
  <si>
    <t>Количество дней больше 20ти</t>
  </si>
  <si>
    <t>Количество дней меньше 20ти</t>
  </si>
  <si>
    <t>Руководство по смете.ру / разбор смет / разбор сметной программы</t>
  </si>
  <si>
    <t>Курс по Figma</t>
  </si>
  <si>
    <t>87.7</t>
  </si>
  <si>
    <t>Упражнение Ситуация - Приговор - Факт</t>
  </si>
  <si>
    <t>Упражнения для голоса</t>
  </si>
  <si>
    <t>Таблица Шульте (с 14.09)</t>
  </si>
  <si>
    <t>Заявление в суд и в МТС</t>
  </si>
  <si>
    <t>Встать до 6:30</t>
  </si>
  <si>
    <t>Формирование других привычек</t>
  </si>
  <si>
    <r>
      <t xml:space="preserve">Выполнить срочные/важные задачи
</t>
    </r>
    <r>
      <rPr>
        <i/>
        <sz val="8"/>
        <color theme="1"/>
        <rFont val="Tw Cen MT Condensed Extra Bold"/>
        <family val="2"/>
      </rPr>
      <t>считается выполненным только когда важны задач нет, либо когда работал не поднимая головы весь день</t>
    </r>
  </si>
  <si>
    <t>Kpi</t>
  </si>
  <si>
    <t>Заполнить таблицу с доходами/расходами</t>
  </si>
  <si>
    <t>Таблица Шульте</t>
  </si>
  <si>
    <t>Мантра</t>
  </si>
  <si>
    <r>
      <t xml:space="preserve">Принятие себя
</t>
    </r>
    <r>
      <rPr>
        <i/>
        <sz val="11"/>
        <color theme="1"/>
        <rFont val="Tw Cen MT Condensed Extra Bold"/>
        <family val="2"/>
      </rPr>
      <t>чтение материалов</t>
    </r>
  </si>
  <si>
    <t>Конспектирование прочитанных произведений</t>
  </si>
</sst>
</file>

<file path=xl/styles.xml><?xml version="1.0" encoding="utf-8"?>
<styleSheet xmlns="http://schemas.openxmlformats.org/spreadsheetml/2006/main">
  <numFmts count="1">
    <numFmt numFmtId="164" formatCode="dd\.mmm"/>
  </numFmts>
  <fonts count="41">
    <font>
      <sz val="11"/>
      <color theme="1"/>
      <name val="Calibri"/>
      <charset val="204"/>
      <scheme val="minor"/>
    </font>
    <font>
      <sz val="11"/>
      <color theme="1"/>
      <name val="Tw Cen MT Condensed Extra Bold"/>
      <family val="2"/>
    </font>
    <font>
      <b/>
      <i/>
      <sz val="11"/>
      <color theme="1"/>
      <name val="Tw Cen MT Condensed Extra Bold"/>
      <family val="2"/>
    </font>
    <font>
      <b/>
      <i/>
      <sz val="14"/>
      <color rgb="FF5C650B"/>
      <name val="Tw Cen MT Condensed Extra Bold"/>
      <family val="2"/>
    </font>
    <font>
      <b/>
      <i/>
      <sz val="14"/>
      <color theme="1"/>
      <name val="Tw Cen MT Condensed Extra Bold"/>
      <family val="2"/>
    </font>
    <font>
      <b/>
      <i/>
      <sz val="14"/>
      <color rgb="FFBD07B4"/>
      <name val="Tw Cen MT Condensed Extra Bold"/>
      <family val="2"/>
    </font>
    <font>
      <b/>
      <i/>
      <sz val="14"/>
      <color rgb="FF05254B"/>
      <name val="Tw Cen MT Condensed Extra Bold"/>
      <family val="2"/>
    </font>
    <font>
      <b/>
      <i/>
      <sz val="14"/>
      <color rgb="FF3A0000"/>
      <name val="Tw Cen MT Condensed Extra Bold"/>
      <family val="2"/>
    </font>
    <font>
      <b/>
      <i/>
      <u/>
      <sz val="11"/>
      <color theme="0"/>
      <name val="Tw Cen MT Condensed Extra Bold"/>
      <family val="2"/>
    </font>
    <font>
      <b/>
      <i/>
      <sz val="11"/>
      <color rgb="FF5C650B"/>
      <name val="Tw Cen MT Condensed Extra Bold"/>
      <family val="2"/>
    </font>
    <font>
      <b/>
      <i/>
      <sz val="11"/>
      <color rgb="FFBD07B4"/>
      <name val="Tw Cen MT Condensed Extra Bold"/>
      <family val="2"/>
    </font>
    <font>
      <b/>
      <i/>
      <sz val="11"/>
      <color rgb="FF05254B"/>
      <name val="Tw Cen MT Condensed Extra Bold"/>
      <family val="2"/>
    </font>
    <font>
      <b/>
      <i/>
      <sz val="11"/>
      <color rgb="FF3A0000"/>
      <name val="Tw Cen MT Condensed Extra Bold"/>
      <family val="2"/>
    </font>
    <font>
      <sz val="11"/>
      <color rgb="FF5C650B"/>
      <name val="Tw Cen MT Condensed Extra Bold"/>
      <family val="2"/>
    </font>
    <font>
      <sz val="11"/>
      <color rgb="FFBD07B4"/>
      <name val="Tw Cen MT Condensed Extra Bold"/>
      <family val="2"/>
    </font>
    <font>
      <sz val="11"/>
      <color rgb="FF05254B"/>
      <name val="Tw Cen MT Condensed Extra Bold"/>
      <family val="2"/>
    </font>
    <font>
      <sz val="11"/>
      <color rgb="FF3A0000"/>
      <name val="Tw Cen MT Condensed Extra Bold"/>
      <family val="2"/>
    </font>
    <font>
      <sz val="11"/>
      <name val="Tw Cen MT Condensed Extra Bold"/>
      <family val="2"/>
    </font>
    <font>
      <b/>
      <sz val="20"/>
      <color theme="1" tint="0.34998626667073579"/>
      <name val="Impact"/>
      <family val="2"/>
      <charset val="204"/>
    </font>
    <font>
      <b/>
      <sz val="11"/>
      <color rgb="FF1C1917"/>
      <name val="Courier New"/>
      <family val="3"/>
      <charset val="204"/>
    </font>
    <font>
      <b/>
      <sz val="11"/>
      <color theme="0"/>
      <name val="Courier New"/>
      <family val="3"/>
      <charset val="204"/>
    </font>
    <font>
      <b/>
      <sz val="11"/>
      <color rgb="FFFFFF00"/>
      <name val="Courier New"/>
      <family val="3"/>
      <charset val="204"/>
    </font>
    <font>
      <b/>
      <sz val="11"/>
      <color theme="1" tint="0.14993743705557422"/>
      <name val="Courier New"/>
      <family val="3"/>
      <charset val="204"/>
    </font>
    <font>
      <b/>
      <sz val="11"/>
      <color rgb="FF680000"/>
      <name val="Courier New"/>
      <family val="3"/>
      <charset val="204"/>
    </font>
    <font>
      <b/>
      <sz val="11"/>
      <color rgb="FFF4EFEA"/>
      <name val="Courier New"/>
      <family val="3"/>
      <charset val="204"/>
    </font>
    <font>
      <sz val="12"/>
      <name val="Impact"/>
      <family val="2"/>
      <charset val="204"/>
    </font>
    <font>
      <sz val="11"/>
      <color rgb="FF1C1917"/>
      <name val="Courier New"/>
      <family val="3"/>
      <charset val="204"/>
    </font>
    <font>
      <sz val="11"/>
      <color rgb="FF1C1917"/>
      <name val="Impact"/>
      <family val="2"/>
      <charset val="204"/>
    </font>
    <font>
      <b/>
      <sz val="20"/>
      <color rgb="FF1C1917"/>
      <name val="Impact"/>
      <family val="2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w Cen MT Condensed Extra Bold"/>
      <family val="2"/>
    </font>
    <font>
      <b/>
      <sz val="11"/>
      <color theme="1"/>
      <name val="Tw Cen MT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8"/>
      <color theme="1"/>
      <name val="Tw Cen MT Condensed Extra Bold"/>
      <family val="2"/>
    </font>
    <font>
      <b/>
      <sz val="11"/>
      <color rgb="FFBD07B4"/>
      <name val="Tw Cen MT Condensed Extra Bold"/>
      <family val="2"/>
    </font>
    <font>
      <b/>
      <sz val="14"/>
      <color rgb="FFBD07B4"/>
      <name val="Tw Cen MT Condensed Extra Bold"/>
      <family val="2"/>
    </font>
    <font>
      <i/>
      <sz val="11"/>
      <color theme="1"/>
      <name val="Tw Cen MT Condensed Extra Bold"/>
      <family val="2"/>
    </font>
  </fonts>
  <fills count="3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E6F4BA"/>
        <bgColor indexed="64"/>
      </patternFill>
    </fill>
    <fill>
      <patternFill patternType="solid">
        <fgColor rgb="FFEDE87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FAAE5"/>
        <bgColor indexed="64"/>
      </patternFill>
    </fill>
    <fill>
      <patternFill patternType="solid">
        <fgColor rgb="FFFDDBF7"/>
        <bgColor indexed="64"/>
      </patternFill>
    </fill>
    <fill>
      <patternFill patternType="solid">
        <fgColor rgb="FFBCFCC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A2E2A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4EFEA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A81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ECFEF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4A3B32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rgb="FF4A3B32"/>
      </left>
      <right/>
      <top style="thin">
        <color rgb="FF4A3B32"/>
      </top>
      <bottom style="thin">
        <color rgb="FF4A3B32"/>
      </bottom>
      <diagonal/>
    </border>
    <border>
      <left/>
      <right/>
      <top style="thin">
        <color rgb="FF4A3B32"/>
      </top>
      <bottom style="thin">
        <color rgb="FF4A3B32"/>
      </bottom>
      <diagonal/>
    </border>
    <border>
      <left/>
      <right style="thin">
        <color rgb="FF4A3B32"/>
      </right>
      <top style="thin">
        <color rgb="FF4A3B32"/>
      </top>
      <bottom style="thin">
        <color rgb="FF4A3B32"/>
      </bottom>
      <diagonal/>
    </border>
    <border>
      <left style="thin">
        <color rgb="FF4A3B32"/>
      </left>
      <right style="thin">
        <color rgb="FF4A3B32"/>
      </right>
      <top style="thin">
        <color rgb="FF4A3B32"/>
      </top>
      <bottom style="thin">
        <color rgb="FF4A3B3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/>
    <xf numFmtId="0" fontId="1" fillId="11" borderId="14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13" borderId="14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16" borderId="0" xfId="0" applyFill="1"/>
    <xf numFmtId="0" fontId="19" fillId="18" borderId="16" xfId="0" applyFont="1" applyFill="1" applyBorder="1" applyAlignment="1">
      <alignment horizontal="center" vertical="center"/>
    </xf>
    <xf numFmtId="0" fontId="19" fillId="18" borderId="16" xfId="0" applyFont="1" applyFill="1" applyBorder="1" applyAlignment="1">
      <alignment horizontal="center" vertical="center" wrapText="1"/>
    </xf>
    <xf numFmtId="0" fontId="20" fillId="19" borderId="16" xfId="0" applyFont="1" applyFill="1" applyBorder="1" applyAlignment="1">
      <alignment horizontal="center" vertical="center" wrapText="1"/>
    </xf>
    <xf numFmtId="0" fontId="19" fillId="20" borderId="16" xfId="0" applyFont="1" applyFill="1" applyBorder="1" applyAlignment="1">
      <alignment horizontal="center" vertical="center"/>
    </xf>
    <xf numFmtId="0" fontId="19" fillId="20" borderId="16" xfId="0" applyFont="1" applyFill="1" applyBorder="1" applyAlignment="1">
      <alignment horizontal="center" vertical="center" wrapText="1"/>
    </xf>
    <xf numFmtId="0" fontId="21" fillId="21" borderId="16" xfId="0" applyFont="1" applyFill="1" applyBorder="1" applyAlignment="1">
      <alignment horizontal="center" vertical="center" wrapText="1"/>
    </xf>
    <xf numFmtId="0" fontId="21" fillId="21" borderId="16" xfId="0" applyFont="1" applyFill="1" applyBorder="1" applyAlignment="1">
      <alignment horizontal="center" vertical="center"/>
    </xf>
    <xf numFmtId="0" fontId="22" fillId="22" borderId="16" xfId="0" applyFont="1" applyFill="1" applyBorder="1" applyAlignment="1">
      <alignment horizontal="center" vertical="center"/>
    </xf>
    <xf numFmtId="0" fontId="22" fillId="22" borderId="16" xfId="0" applyFont="1" applyFill="1" applyBorder="1" applyAlignment="1">
      <alignment horizontal="center" vertical="center" wrapText="1"/>
    </xf>
    <xf numFmtId="0" fontId="22" fillId="22" borderId="17" xfId="0" applyFont="1" applyFill="1" applyBorder="1" applyAlignment="1">
      <alignment horizontal="center" vertical="center"/>
    </xf>
    <xf numFmtId="0" fontId="23" fillId="23" borderId="18" xfId="0" applyFont="1" applyFill="1" applyBorder="1" applyAlignment="1">
      <alignment horizontal="center" vertical="center" wrapText="1"/>
    </xf>
    <xf numFmtId="0" fontId="23" fillId="23" borderId="18" xfId="0" applyFont="1" applyFill="1" applyBorder="1" applyAlignment="1">
      <alignment horizontal="center" vertical="center"/>
    </xf>
    <xf numFmtId="0" fontId="24" fillId="24" borderId="18" xfId="0" applyFont="1" applyFill="1" applyBorder="1" applyAlignment="1">
      <alignment horizontal="center" vertical="center" wrapText="1"/>
    </xf>
    <xf numFmtId="0" fontId="25" fillId="25" borderId="0" xfId="0" applyFont="1" applyFill="1" applyAlignment="1">
      <alignment horizontal="center" vertical="center"/>
    </xf>
    <xf numFmtId="0" fontId="26" fillId="22" borderId="16" xfId="0" applyFont="1" applyFill="1" applyBorder="1"/>
    <xf numFmtId="0" fontId="26" fillId="22" borderId="16" xfId="0" applyFont="1" applyFill="1" applyBorder="1" applyAlignment="1">
      <alignment horizontal="center"/>
    </xf>
    <xf numFmtId="164" fontId="26" fillId="22" borderId="16" xfId="0" applyNumberFormat="1" applyFont="1" applyFill="1" applyBorder="1"/>
    <xf numFmtId="0" fontId="26" fillId="22" borderId="16" xfId="0" applyFont="1" applyFill="1" applyBorder="1" applyAlignment="1">
      <alignment horizontal="center" vertical="center"/>
    </xf>
    <xf numFmtId="0" fontId="26" fillId="22" borderId="19" xfId="0" applyFont="1" applyFill="1" applyBorder="1" applyAlignment="1">
      <alignment horizontal="center" vertical="center"/>
    </xf>
    <xf numFmtId="0" fontId="27" fillId="26" borderId="16" xfId="0" applyFont="1" applyFill="1" applyBorder="1" applyAlignment="1">
      <alignment horizontal="center" vertical="center"/>
    </xf>
    <xf numFmtId="164" fontId="26" fillId="22" borderId="16" xfId="0" applyNumberFormat="1" applyFont="1" applyFill="1" applyBorder="1" applyAlignment="1">
      <alignment horizontal="center" vertical="center"/>
    </xf>
    <xf numFmtId="0" fontId="26" fillId="26" borderId="16" xfId="0" applyFont="1" applyFill="1" applyBorder="1" applyAlignment="1">
      <alignment horizontal="center" vertical="center"/>
    </xf>
    <xf numFmtId="0" fontId="26" fillId="18" borderId="16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horizontal="center" vertical="center" wrapText="1"/>
    </xf>
    <xf numFmtId="0" fontId="26" fillId="22" borderId="23" xfId="0" applyFont="1" applyFill="1" applyBorder="1"/>
    <xf numFmtId="0" fontId="26" fillId="22" borderId="23" xfId="0" applyFont="1" applyFill="1" applyBorder="1" applyAlignment="1">
      <alignment horizontal="center"/>
    </xf>
    <xf numFmtId="164" fontId="26" fillId="22" borderId="23" xfId="0" applyNumberFormat="1" applyFont="1" applyFill="1" applyBorder="1"/>
    <xf numFmtId="0" fontId="26" fillId="22" borderId="23" xfId="0" applyFont="1" applyFill="1" applyBorder="1" applyAlignment="1">
      <alignment horizontal="center" vertical="center"/>
    </xf>
    <xf numFmtId="0" fontId="26" fillId="18" borderId="23" xfId="0" applyFont="1" applyFill="1" applyBorder="1" applyAlignment="1">
      <alignment horizontal="center" vertical="center"/>
    </xf>
    <xf numFmtId="0" fontId="1" fillId="28" borderId="14" xfId="0" applyFont="1" applyFill="1" applyBorder="1" applyAlignment="1">
      <alignment horizontal="center" vertical="center"/>
    </xf>
    <xf numFmtId="0" fontId="1" fillId="29" borderId="14" xfId="0" applyFont="1" applyFill="1" applyBorder="1" applyAlignment="1">
      <alignment horizontal="center" vertical="center"/>
    </xf>
    <xf numFmtId="0" fontId="1" fillId="30" borderId="14" xfId="0" applyFont="1" applyFill="1" applyBorder="1" applyAlignment="1">
      <alignment horizontal="center" vertical="center"/>
    </xf>
    <xf numFmtId="0" fontId="1" fillId="31" borderId="14" xfId="0" applyFont="1" applyFill="1" applyBorder="1" applyAlignment="1">
      <alignment horizontal="center" vertical="center"/>
    </xf>
    <xf numFmtId="0" fontId="1" fillId="32" borderId="14" xfId="0" applyFont="1" applyFill="1" applyBorder="1" applyAlignment="1">
      <alignment horizontal="center" vertical="center"/>
    </xf>
    <xf numFmtId="0" fontId="1" fillId="33" borderId="14" xfId="0" applyFont="1" applyFill="1" applyBorder="1" applyAlignment="1">
      <alignment horizontal="center" vertical="center"/>
    </xf>
    <xf numFmtId="0" fontId="17" fillId="12" borderId="24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8" borderId="25" xfId="0" applyFont="1" applyFill="1" applyBorder="1" applyAlignment="1">
      <alignment horizontal="center" vertical="center"/>
    </xf>
    <xf numFmtId="0" fontId="1" fillId="29" borderId="25" xfId="0" applyFont="1" applyFill="1" applyBorder="1" applyAlignment="1">
      <alignment horizontal="center" vertical="center"/>
    </xf>
    <xf numFmtId="0" fontId="1" fillId="15" borderId="25" xfId="0" applyFont="1" applyFill="1" applyBorder="1" applyAlignment="1">
      <alignment horizontal="center" vertical="center"/>
    </xf>
    <xf numFmtId="0" fontId="1" fillId="30" borderId="25" xfId="0" applyFont="1" applyFill="1" applyBorder="1" applyAlignment="1">
      <alignment horizontal="center" vertical="center"/>
    </xf>
    <xf numFmtId="0" fontId="1" fillId="31" borderId="25" xfId="0" applyFont="1" applyFill="1" applyBorder="1" applyAlignment="1">
      <alignment horizontal="center" vertical="center"/>
    </xf>
    <xf numFmtId="0" fontId="1" fillId="32" borderId="25" xfId="0" applyFont="1" applyFill="1" applyBorder="1" applyAlignment="1">
      <alignment horizontal="center" vertical="center"/>
    </xf>
    <xf numFmtId="0" fontId="1" fillId="33" borderId="25" xfId="0" applyFont="1" applyFill="1" applyBorder="1" applyAlignment="1">
      <alignment horizontal="center" vertical="center"/>
    </xf>
    <xf numFmtId="0" fontId="1" fillId="28" borderId="26" xfId="0" applyFont="1" applyFill="1" applyBorder="1" applyAlignment="1">
      <alignment horizontal="center" vertical="center"/>
    </xf>
    <xf numFmtId="0" fontId="1" fillId="29" borderId="26" xfId="0" applyFont="1" applyFill="1" applyBorder="1" applyAlignment="1">
      <alignment horizontal="center" vertical="center"/>
    </xf>
    <xf numFmtId="0" fontId="1" fillId="15" borderId="26" xfId="0" applyFont="1" applyFill="1" applyBorder="1" applyAlignment="1">
      <alignment horizontal="center" vertical="center"/>
    </xf>
    <xf numFmtId="0" fontId="1" fillId="30" borderId="26" xfId="0" applyFont="1" applyFill="1" applyBorder="1" applyAlignment="1">
      <alignment horizontal="center" vertical="center"/>
    </xf>
    <xf numFmtId="0" fontId="1" fillId="31" borderId="26" xfId="0" applyFont="1" applyFill="1" applyBorder="1" applyAlignment="1">
      <alignment horizontal="center" vertical="center"/>
    </xf>
    <xf numFmtId="0" fontId="1" fillId="32" borderId="26" xfId="0" applyFont="1" applyFill="1" applyBorder="1" applyAlignment="1">
      <alignment horizontal="center" vertical="center"/>
    </xf>
    <xf numFmtId="0" fontId="1" fillId="33" borderId="26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8" borderId="27" xfId="0" applyFont="1" applyFill="1" applyBorder="1" applyAlignment="1">
      <alignment horizontal="center" vertical="center"/>
    </xf>
    <xf numFmtId="0" fontId="1" fillId="29" borderId="27" xfId="0" applyFont="1" applyFill="1" applyBorder="1" applyAlignment="1">
      <alignment horizontal="center" vertical="center"/>
    </xf>
    <xf numFmtId="0" fontId="1" fillId="15" borderId="27" xfId="0" applyFont="1" applyFill="1" applyBorder="1" applyAlignment="1">
      <alignment horizontal="center" vertical="center"/>
    </xf>
    <xf numFmtId="0" fontId="1" fillId="30" borderId="27" xfId="0" applyFont="1" applyFill="1" applyBorder="1" applyAlignment="1">
      <alignment horizontal="center" vertical="center"/>
    </xf>
    <xf numFmtId="0" fontId="1" fillId="31" borderId="27" xfId="0" applyFont="1" applyFill="1" applyBorder="1" applyAlignment="1">
      <alignment horizontal="center" vertical="center"/>
    </xf>
    <xf numFmtId="0" fontId="1" fillId="32" borderId="27" xfId="0" applyFont="1" applyFill="1" applyBorder="1" applyAlignment="1">
      <alignment horizontal="center" vertical="center"/>
    </xf>
    <xf numFmtId="0" fontId="1" fillId="33" borderId="27" xfId="0" applyFont="1" applyFill="1" applyBorder="1" applyAlignment="1">
      <alignment horizontal="center" vertical="center"/>
    </xf>
    <xf numFmtId="0" fontId="17" fillId="12" borderId="25" xfId="0" applyFont="1" applyFill="1" applyBorder="1" applyAlignment="1">
      <alignment horizontal="center" vertical="center"/>
    </xf>
    <xf numFmtId="0" fontId="17" fillId="12" borderId="26" xfId="0" applyFont="1" applyFill="1" applyBorder="1" applyAlignment="1">
      <alignment horizontal="center" vertical="center"/>
    </xf>
    <xf numFmtId="0" fontId="17" fillId="12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28" borderId="28" xfId="0" applyFont="1" applyFill="1" applyBorder="1" applyAlignment="1">
      <alignment horizontal="center" vertical="center"/>
    </xf>
    <xf numFmtId="0" fontId="1" fillId="29" borderId="28" xfId="0" applyFont="1" applyFill="1" applyBorder="1" applyAlignment="1">
      <alignment horizontal="center" vertical="center"/>
    </xf>
    <xf numFmtId="0" fontId="1" fillId="15" borderId="28" xfId="0" applyFont="1" applyFill="1" applyBorder="1" applyAlignment="1">
      <alignment horizontal="center" vertical="center"/>
    </xf>
    <xf numFmtId="0" fontId="1" fillId="30" borderId="28" xfId="0" applyFont="1" applyFill="1" applyBorder="1" applyAlignment="1">
      <alignment horizontal="center" vertical="center"/>
    </xf>
    <xf numFmtId="0" fontId="1" fillId="31" borderId="28" xfId="0" applyFont="1" applyFill="1" applyBorder="1" applyAlignment="1">
      <alignment horizontal="center" vertical="center"/>
    </xf>
    <xf numFmtId="0" fontId="1" fillId="32" borderId="28" xfId="0" applyFont="1" applyFill="1" applyBorder="1" applyAlignment="1">
      <alignment horizontal="center" vertical="center"/>
    </xf>
    <xf numFmtId="0" fontId="1" fillId="33" borderId="28" xfId="0" applyFont="1" applyFill="1" applyBorder="1" applyAlignment="1">
      <alignment horizontal="center" vertical="center"/>
    </xf>
    <xf numFmtId="0" fontId="17" fillId="12" borderId="28" xfId="0" applyFont="1" applyFill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0" fontId="34" fillId="28" borderId="14" xfId="0" applyFont="1" applyFill="1" applyBorder="1" applyAlignment="1">
      <alignment horizontal="center" vertical="center"/>
    </xf>
    <xf numFmtId="0" fontId="32" fillId="34" borderId="14" xfId="0" applyFont="1" applyFill="1" applyBorder="1" applyAlignment="1">
      <alignment horizontal="center" vertical="center"/>
    </xf>
    <xf numFmtId="0" fontId="17" fillId="20" borderId="14" xfId="0" applyFont="1" applyFill="1" applyBorder="1" applyAlignment="1">
      <alignment horizontal="center" vertical="center"/>
    </xf>
    <xf numFmtId="0" fontId="17" fillId="21" borderId="14" xfId="0" applyFont="1" applyFill="1" applyBorder="1" applyAlignment="1">
      <alignment horizontal="center" vertical="center"/>
    </xf>
    <xf numFmtId="0" fontId="1" fillId="35" borderId="14" xfId="0" applyFont="1" applyFill="1" applyBorder="1" applyAlignment="1">
      <alignment horizontal="center" vertical="center"/>
    </xf>
    <xf numFmtId="0" fontId="1" fillId="35" borderId="25" xfId="0" applyFont="1" applyFill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26" borderId="14" xfId="0" applyFont="1" applyFill="1" applyBorder="1" applyAlignment="1">
      <alignment horizontal="center" vertical="center"/>
    </xf>
    <xf numFmtId="0" fontId="1" fillId="26" borderId="25" xfId="0" applyFont="1" applyFill="1" applyBorder="1" applyAlignment="1">
      <alignment horizontal="center" vertical="center"/>
    </xf>
    <xf numFmtId="0" fontId="1" fillId="26" borderId="26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wrapText="1"/>
    </xf>
    <xf numFmtId="0" fontId="38" fillId="5" borderId="4" xfId="0" applyFont="1" applyFill="1" applyBorder="1" applyAlignment="1">
      <alignment horizontal="center" vertical="center" wrapText="1"/>
    </xf>
    <xf numFmtId="0" fontId="28" fillId="27" borderId="20" xfId="0" applyFont="1" applyFill="1" applyBorder="1" applyAlignment="1">
      <alignment horizontal="center" vertical="center" wrapText="1"/>
    </xf>
    <xf numFmtId="0" fontId="28" fillId="27" borderId="21" xfId="0" applyFont="1" applyFill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0" fontId="19" fillId="18" borderId="20" xfId="0" applyFont="1" applyFill="1" applyBorder="1" applyAlignment="1">
      <alignment horizontal="right"/>
    </xf>
    <xf numFmtId="0" fontId="19" fillId="18" borderId="21" xfId="0" applyFont="1" applyFill="1" applyBorder="1" applyAlignment="1">
      <alignment horizontal="right"/>
    </xf>
    <xf numFmtId="0" fontId="19" fillId="18" borderId="22" xfId="0" applyFont="1" applyFill="1" applyBorder="1" applyAlignment="1">
      <alignment horizontal="right"/>
    </xf>
    <xf numFmtId="0" fontId="18" fillId="17" borderId="15" xfId="0" applyFont="1" applyFill="1" applyBorder="1" applyAlignment="1">
      <alignment horizontal="center" vertical="center" wrapText="1"/>
    </xf>
    <xf numFmtId="0" fontId="18" fillId="17" borderId="0" xfId="0" applyFont="1" applyFill="1" applyBorder="1" applyAlignment="1">
      <alignment horizontal="center" vertical="center" wrapText="1"/>
    </xf>
    <xf numFmtId="0" fontId="19" fillId="18" borderId="16" xfId="0" applyFont="1" applyFill="1" applyBorder="1" applyAlignment="1">
      <alignment horizontal="right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39" fillId="5" borderId="5" xfId="0" applyFont="1" applyFill="1" applyBorder="1" applyAlignment="1">
      <alignment horizontal="center" vertical="center"/>
    </xf>
    <xf numFmtId="0" fontId="39" fillId="5" borderId="6" xfId="0" applyFont="1" applyFill="1" applyBorder="1" applyAlignment="1">
      <alignment horizontal="center" vertical="center"/>
    </xf>
    <xf numFmtId="0" fontId="39" fillId="5" borderId="7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18"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A7FFA7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colors>
    <mruColors>
      <color rgb="FFECFEF1"/>
      <color rgb="FFFFEFFF"/>
      <color rgb="FFFFFFD5"/>
      <color rgb="FFBCFCCD"/>
      <color rgb="FFFFE1FF"/>
      <color rgb="FFB1BCC3"/>
      <color rgb="FFB6EA86"/>
      <color rgb="FFB9FFF2"/>
      <color rgb="FFFDDBF7"/>
      <color rgb="FF3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H9:Q22"/>
  <sheetViews>
    <sheetView topLeftCell="B1" workbookViewId="0">
      <selection activeCell="O30" sqref="O30"/>
    </sheetView>
  </sheetViews>
  <sheetFormatPr defaultColWidth="9.140625" defaultRowHeight="15"/>
  <cols>
    <col min="1" max="7" width="9.140625" style="31"/>
    <col min="8" max="8" width="5" style="31" customWidth="1"/>
    <col min="9" max="9" width="14.7109375" style="31" customWidth="1"/>
    <col min="10" max="10" width="16.85546875" style="31" customWidth="1"/>
    <col min="11" max="11" width="14.28515625" style="31" customWidth="1"/>
    <col min="12" max="13" width="11.28515625" style="31" customWidth="1"/>
    <col min="14" max="14" width="11.5703125" style="31" customWidth="1"/>
    <col min="15" max="15" width="14.5703125" style="31" customWidth="1"/>
    <col min="16" max="17" width="10" style="31" customWidth="1"/>
    <col min="18" max="16384" width="9.140625" style="31"/>
  </cols>
  <sheetData>
    <row r="9" spans="8:17" ht="45" customHeight="1">
      <c r="H9" s="120" t="s">
        <v>0</v>
      </c>
      <c r="I9" s="121"/>
      <c r="J9" s="121"/>
      <c r="K9" s="121"/>
      <c r="L9" s="121"/>
      <c r="M9" s="121"/>
      <c r="N9" s="121"/>
      <c r="O9" s="121"/>
      <c r="P9" s="121"/>
      <c r="Q9" s="122"/>
    </row>
    <row r="10" spans="8:17" ht="30" customHeight="1">
      <c r="H10" s="55" t="s">
        <v>1</v>
      </c>
      <c r="I10" s="56" t="s">
        <v>2</v>
      </c>
      <c r="J10" s="55" t="s">
        <v>3</v>
      </c>
      <c r="K10" s="55" t="s">
        <v>4</v>
      </c>
      <c r="L10" s="55" t="s">
        <v>5</v>
      </c>
      <c r="M10" s="55" t="s">
        <v>6</v>
      </c>
      <c r="N10" s="55" t="s">
        <v>7</v>
      </c>
      <c r="O10" s="56" t="s">
        <v>8</v>
      </c>
      <c r="P10" s="55" t="s">
        <v>9</v>
      </c>
      <c r="Q10" s="55" t="s">
        <v>10</v>
      </c>
    </row>
    <row r="11" spans="8:17">
      <c r="H11" s="57">
        <v>1</v>
      </c>
      <c r="I11" s="58" t="s">
        <v>11</v>
      </c>
      <c r="J11" s="59">
        <v>46193</v>
      </c>
      <c r="K11" s="60" t="s">
        <v>12</v>
      </c>
      <c r="L11" s="60" t="s">
        <v>12</v>
      </c>
      <c r="M11" s="60" t="s">
        <v>12</v>
      </c>
      <c r="N11" s="60" t="s">
        <v>12</v>
      </c>
      <c r="O11" s="60"/>
      <c r="P11" s="60"/>
      <c r="Q11" s="60"/>
    </row>
    <row r="12" spans="8:17">
      <c r="H12" s="57">
        <v>2</v>
      </c>
      <c r="I12" s="58" t="s">
        <v>13</v>
      </c>
      <c r="J12" s="59">
        <v>46194</v>
      </c>
      <c r="K12" s="60" t="s">
        <v>12</v>
      </c>
      <c r="L12" s="60"/>
      <c r="M12" s="60"/>
      <c r="N12" s="60" t="s">
        <v>12</v>
      </c>
      <c r="O12" s="60" t="s">
        <v>12</v>
      </c>
      <c r="P12" s="60"/>
      <c r="Q12" s="60"/>
    </row>
    <row r="13" spans="8:17">
      <c r="H13" s="57">
        <v>3</v>
      </c>
      <c r="I13" s="58" t="s">
        <v>14</v>
      </c>
      <c r="J13" s="59">
        <v>46195</v>
      </c>
      <c r="K13" s="60" t="s">
        <v>12</v>
      </c>
      <c r="L13" s="60"/>
      <c r="M13" s="60"/>
      <c r="N13" s="60" t="s">
        <v>12</v>
      </c>
      <c r="O13" s="60"/>
      <c r="P13" s="60"/>
      <c r="Q13" s="60"/>
    </row>
    <row r="14" spans="8:17">
      <c r="H14" s="57">
        <v>4</v>
      </c>
      <c r="I14" s="58" t="s">
        <v>15</v>
      </c>
      <c r="J14" s="59">
        <v>46196</v>
      </c>
      <c r="K14" s="60"/>
      <c r="L14" s="60" t="s">
        <v>12</v>
      </c>
      <c r="M14" s="60"/>
      <c r="N14" s="60" t="s">
        <v>12</v>
      </c>
      <c r="O14" s="60"/>
      <c r="P14" s="60"/>
      <c r="Q14" s="60"/>
    </row>
    <row r="15" spans="8:17">
      <c r="H15" s="57">
        <v>5</v>
      </c>
      <c r="I15" s="58" t="s">
        <v>16</v>
      </c>
      <c r="J15" s="59">
        <v>46197</v>
      </c>
      <c r="K15" s="60" t="s">
        <v>12</v>
      </c>
      <c r="L15" s="60"/>
      <c r="M15" s="60"/>
      <c r="N15" s="60"/>
      <c r="O15" s="60"/>
      <c r="P15" s="60"/>
      <c r="Q15" s="60"/>
    </row>
    <row r="16" spans="8:17">
      <c r="H16" s="57">
        <v>6</v>
      </c>
      <c r="I16" s="58" t="s">
        <v>17</v>
      </c>
      <c r="J16" s="59">
        <v>46198</v>
      </c>
      <c r="K16" s="60" t="s">
        <v>12</v>
      </c>
      <c r="L16" s="60" t="s">
        <v>12</v>
      </c>
      <c r="M16" s="60" t="s">
        <v>12</v>
      </c>
      <c r="N16" s="60"/>
      <c r="O16" s="60"/>
      <c r="P16" s="60"/>
      <c r="Q16" s="60"/>
    </row>
    <row r="17" spans="8:17">
      <c r="H17" s="57">
        <v>7</v>
      </c>
      <c r="I17" s="58" t="s">
        <v>18</v>
      </c>
      <c r="J17" s="59">
        <v>46199</v>
      </c>
      <c r="K17" s="60"/>
      <c r="L17" s="60" t="s">
        <v>12</v>
      </c>
      <c r="M17" s="60" t="s">
        <v>12</v>
      </c>
      <c r="N17" s="60"/>
      <c r="O17" s="60"/>
      <c r="P17" s="60"/>
      <c r="Q17" s="60"/>
    </row>
    <row r="18" spans="8:17">
      <c r="H18" s="57">
        <v>8</v>
      </c>
      <c r="I18" s="58" t="s">
        <v>11</v>
      </c>
      <c r="J18" s="59">
        <v>46200</v>
      </c>
      <c r="K18" s="60"/>
      <c r="L18" s="60"/>
      <c r="M18" s="60"/>
      <c r="N18" s="60"/>
      <c r="O18" s="60"/>
      <c r="P18" s="60"/>
      <c r="Q18" s="60"/>
    </row>
    <row r="19" spans="8:17">
      <c r="H19" s="57">
        <v>9</v>
      </c>
      <c r="I19" s="58" t="s">
        <v>13</v>
      </c>
      <c r="J19" s="59">
        <v>46201</v>
      </c>
      <c r="K19" s="60" t="s">
        <v>12</v>
      </c>
      <c r="L19" s="60"/>
      <c r="M19" s="60"/>
      <c r="N19" s="60"/>
      <c r="O19" s="60"/>
      <c r="P19" s="60"/>
      <c r="Q19" s="60"/>
    </row>
    <row r="20" spans="8:17">
      <c r="H20" s="57">
        <v>10</v>
      </c>
      <c r="I20" s="58" t="s">
        <v>14</v>
      </c>
      <c r="J20" s="59">
        <v>46202</v>
      </c>
      <c r="K20" s="60"/>
      <c r="L20" s="60"/>
      <c r="M20" s="60"/>
      <c r="N20" s="60"/>
      <c r="O20" s="60"/>
      <c r="P20" s="60"/>
      <c r="Q20" s="60"/>
    </row>
    <row r="21" spans="8:17">
      <c r="H21" s="57">
        <v>11</v>
      </c>
      <c r="I21" s="58" t="s">
        <v>15</v>
      </c>
      <c r="J21" s="59">
        <v>46203</v>
      </c>
      <c r="K21" s="60"/>
      <c r="L21" s="60"/>
      <c r="M21" s="60"/>
      <c r="N21" s="60"/>
      <c r="O21" s="60"/>
      <c r="P21" s="60"/>
      <c r="Q21" s="60"/>
    </row>
    <row r="22" spans="8:17" ht="15.75">
      <c r="H22" s="123" t="s">
        <v>19</v>
      </c>
      <c r="I22" s="124"/>
      <c r="J22" s="125"/>
      <c r="K22" s="61">
        <f>COUNTA(K11:K21)</f>
        <v>6</v>
      </c>
      <c r="L22" s="61">
        <f t="shared" ref="L22:Q22" si="0">COUNTA(L11:L21)</f>
        <v>4</v>
      </c>
      <c r="M22" s="61">
        <f t="shared" si="0"/>
        <v>3</v>
      </c>
      <c r="N22" s="61">
        <f t="shared" si="0"/>
        <v>4</v>
      </c>
      <c r="O22" s="61">
        <f t="shared" si="0"/>
        <v>1</v>
      </c>
      <c r="P22" s="61">
        <f t="shared" si="0"/>
        <v>0</v>
      </c>
      <c r="Q22" s="61">
        <f t="shared" si="0"/>
        <v>0</v>
      </c>
    </row>
  </sheetData>
  <mergeCells count="2">
    <mergeCell ref="H9:Q9"/>
    <mergeCell ref="H22:J22"/>
  </mergeCells>
  <conditionalFormatting sqref="K22:Q22">
    <cfRule type="expression" dxfId="17" priority="1">
      <formula>Q22="+"</formula>
    </cfRule>
  </conditionalFormatting>
  <conditionalFormatting sqref="K11:Q21">
    <cfRule type="expression" dxfId="16" priority="2">
      <formula>Q11="+"</formula>
    </cfRule>
  </conditionalFormatting>
  <pageMargins left="0.7" right="0.7" top="0.75" bottom="0.75" header="0.3" footer="0.3"/>
  <pageSetup paperSize="9" orientation="portrait" horizontalDpi="180" verticalDpi="180"/>
</worksheet>
</file>

<file path=xl/worksheets/sheet2.xml><?xml version="1.0" encoding="utf-8"?>
<worksheet xmlns="http://schemas.openxmlformats.org/spreadsheetml/2006/main" xmlns:r="http://schemas.openxmlformats.org/officeDocument/2006/relationships">
  <dimension ref="H9:AL42"/>
  <sheetViews>
    <sheetView topLeftCell="A8" zoomScale="80" zoomScaleNormal="80" workbookViewId="0">
      <selection activeCell="L47" sqref="L47"/>
    </sheetView>
  </sheetViews>
  <sheetFormatPr defaultColWidth="9.140625" defaultRowHeight="15"/>
  <cols>
    <col min="1" max="7" width="9.140625" style="31"/>
    <col min="8" max="8" width="5" style="31" customWidth="1"/>
    <col min="9" max="9" width="14.7109375" style="31" customWidth="1"/>
    <col min="10" max="11" width="16.85546875" style="31" customWidth="1"/>
    <col min="12" max="13" width="24.140625" style="31" customWidth="1"/>
    <col min="14" max="17" width="14.28515625" style="31" customWidth="1"/>
    <col min="18" max="18" width="20.5703125" style="31" customWidth="1"/>
    <col min="19" max="20" width="23.28515625" style="31" customWidth="1"/>
    <col min="21" max="22" width="11.28515625" style="31" customWidth="1"/>
    <col min="23" max="23" width="30.28515625" style="31" customWidth="1"/>
    <col min="24" max="24" width="11.5703125" style="31" customWidth="1"/>
    <col min="25" max="25" width="14.5703125" style="31" customWidth="1"/>
    <col min="26" max="27" width="10" style="31" customWidth="1"/>
    <col min="28" max="28" width="28" style="31" customWidth="1"/>
    <col min="29" max="29" width="14.140625" style="31" customWidth="1"/>
    <col min="30" max="30" width="13.85546875" style="31" customWidth="1"/>
    <col min="31" max="37" width="18.42578125" style="31" customWidth="1"/>
    <col min="38" max="38" width="18" style="31" customWidth="1"/>
    <col min="39" max="16384" width="9.140625" style="31"/>
  </cols>
  <sheetData>
    <row r="9" spans="8:38" ht="45" customHeight="1">
      <c r="H9" s="126" t="s">
        <v>0</v>
      </c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</row>
    <row r="10" spans="8:38" ht="30" customHeight="1">
      <c r="H10" s="32" t="s">
        <v>1</v>
      </c>
      <c r="I10" s="33" t="s">
        <v>2</v>
      </c>
      <c r="J10" s="32" t="s">
        <v>3</v>
      </c>
      <c r="K10" s="34" t="s">
        <v>20</v>
      </c>
      <c r="L10" s="34" t="s">
        <v>21</v>
      </c>
      <c r="M10" s="34" t="s">
        <v>22</v>
      </c>
      <c r="N10" s="35" t="s">
        <v>4</v>
      </c>
      <c r="O10" s="36" t="s">
        <v>23</v>
      </c>
      <c r="P10" s="36" t="s">
        <v>24</v>
      </c>
      <c r="Q10" s="36" t="s">
        <v>25</v>
      </c>
      <c r="R10" s="36" t="s">
        <v>26</v>
      </c>
      <c r="S10" s="37" t="s">
        <v>27</v>
      </c>
      <c r="T10" s="37" t="s">
        <v>28</v>
      </c>
      <c r="U10" s="38" t="s">
        <v>5</v>
      </c>
      <c r="V10" s="38" t="s">
        <v>6</v>
      </c>
      <c r="W10" s="37" t="s">
        <v>29</v>
      </c>
      <c r="X10" s="39" t="s">
        <v>7</v>
      </c>
      <c r="Y10" s="40" t="s">
        <v>8</v>
      </c>
      <c r="Z10" s="39" t="s">
        <v>9</v>
      </c>
      <c r="AA10" s="41" t="s">
        <v>10</v>
      </c>
      <c r="AB10" s="42" t="s">
        <v>30</v>
      </c>
      <c r="AC10" s="43" t="s">
        <v>4</v>
      </c>
      <c r="AD10" s="42" t="s">
        <v>31</v>
      </c>
      <c r="AE10" s="42" t="s">
        <v>32</v>
      </c>
      <c r="AF10" s="42" t="s">
        <v>33</v>
      </c>
      <c r="AG10" s="44" t="s">
        <v>34</v>
      </c>
      <c r="AH10" s="44" t="s">
        <v>34</v>
      </c>
      <c r="AI10" s="44" t="s">
        <v>34</v>
      </c>
      <c r="AJ10" s="44" t="s">
        <v>34</v>
      </c>
      <c r="AK10" s="44" t="s">
        <v>34</v>
      </c>
      <c r="AL10" s="45" t="s">
        <v>35</v>
      </c>
    </row>
    <row r="11" spans="8:38" ht="15.75">
      <c r="H11" s="46">
        <v>1</v>
      </c>
      <c r="I11" s="47" t="s">
        <v>16</v>
      </c>
      <c r="J11" s="48">
        <v>46204</v>
      </c>
      <c r="K11" s="48"/>
      <c r="L11" s="48"/>
      <c r="M11" s="48"/>
      <c r="N11" s="49"/>
      <c r="O11" s="49"/>
      <c r="P11" s="49"/>
      <c r="Q11" s="49"/>
      <c r="R11" s="49"/>
      <c r="S11" s="49" t="s">
        <v>12</v>
      </c>
      <c r="T11" s="49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1">
        <f>COUNTA(K11:AK11)</f>
        <v>1</v>
      </c>
    </row>
    <row r="12" spans="8:38" ht="15.75">
      <c r="H12" s="46">
        <v>2</v>
      </c>
      <c r="I12" s="47" t="s">
        <v>17</v>
      </c>
      <c r="J12" s="48">
        <v>46205</v>
      </c>
      <c r="K12" s="48"/>
      <c r="L12" s="48"/>
      <c r="M12" s="48"/>
      <c r="N12" s="49"/>
      <c r="O12" s="49"/>
      <c r="P12" s="49"/>
      <c r="Q12" s="49"/>
      <c r="R12" s="49"/>
      <c r="S12" s="49" t="s">
        <v>12</v>
      </c>
      <c r="T12" s="49"/>
      <c r="U12" s="49" t="s">
        <v>12</v>
      </c>
      <c r="V12" s="49"/>
      <c r="W12" s="49"/>
      <c r="X12" s="49"/>
      <c r="Y12" s="49"/>
      <c r="Z12" s="49"/>
      <c r="AA12" s="49"/>
      <c r="AB12" s="49"/>
      <c r="AC12" s="49"/>
      <c r="AD12" s="49"/>
      <c r="AE12" s="49" t="s">
        <v>12</v>
      </c>
      <c r="AF12" s="49"/>
      <c r="AG12" s="49"/>
      <c r="AH12" s="49"/>
      <c r="AI12" s="49"/>
      <c r="AJ12" s="49"/>
      <c r="AK12" s="49"/>
      <c r="AL12" s="51">
        <f t="shared" ref="AL12:AL41" si="0">COUNTA(K12:AK12)</f>
        <v>3</v>
      </c>
    </row>
    <row r="13" spans="8:38" ht="15.75">
      <c r="H13" s="46">
        <v>3</v>
      </c>
      <c r="I13" s="47" t="s">
        <v>18</v>
      </c>
      <c r="J13" s="48">
        <v>46206</v>
      </c>
      <c r="K13" s="52" t="s">
        <v>12</v>
      </c>
      <c r="L13" s="52" t="s">
        <v>12</v>
      </c>
      <c r="M13" s="52"/>
      <c r="N13" s="49" t="s">
        <v>12</v>
      </c>
      <c r="O13" s="49" t="s">
        <v>12</v>
      </c>
      <c r="P13" s="49" t="s">
        <v>12</v>
      </c>
      <c r="Q13" s="49" t="s">
        <v>12</v>
      </c>
      <c r="R13" s="49" t="s">
        <v>12</v>
      </c>
      <c r="S13" s="49" t="s">
        <v>12</v>
      </c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51">
        <f t="shared" si="0"/>
        <v>8</v>
      </c>
    </row>
    <row r="14" spans="8:38" ht="15.75">
      <c r="H14" s="46">
        <v>4</v>
      </c>
      <c r="I14" s="47" t="s">
        <v>11</v>
      </c>
      <c r="J14" s="48">
        <v>46207</v>
      </c>
      <c r="K14" s="52"/>
      <c r="L14" s="52"/>
      <c r="M14" s="52"/>
      <c r="N14" s="49"/>
      <c r="O14" s="49"/>
      <c r="P14" s="49" t="s">
        <v>12</v>
      </c>
      <c r="Q14" s="49" t="s">
        <v>12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51">
        <f t="shared" si="0"/>
        <v>2</v>
      </c>
    </row>
    <row r="15" spans="8:38" ht="15.75">
      <c r="H15" s="46">
        <v>5</v>
      </c>
      <c r="I15" s="47" t="s">
        <v>13</v>
      </c>
      <c r="J15" s="48">
        <v>46208</v>
      </c>
      <c r="K15" s="52"/>
      <c r="L15" s="52"/>
      <c r="M15" s="52"/>
      <c r="N15" s="49"/>
      <c r="O15" s="49" t="s">
        <v>12</v>
      </c>
      <c r="P15" s="49" t="s">
        <v>12</v>
      </c>
      <c r="Q15" s="49" t="s">
        <v>12</v>
      </c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51">
        <f t="shared" si="0"/>
        <v>3</v>
      </c>
    </row>
    <row r="16" spans="8:38" ht="15.75">
      <c r="H16" s="46">
        <v>6</v>
      </c>
      <c r="I16" s="47" t="s">
        <v>14</v>
      </c>
      <c r="J16" s="48">
        <v>46209</v>
      </c>
      <c r="K16" s="52" t="s">
        <v>12</v>
      </c>
      <c r="L16" s="52" t="s">
        <v>12</v>
      </c>
      <c r="M16" s="52"/>
      <c r="N16" s="49"/>
      <c r="O16" s="49"/>
      <c r="P16" s="49" t="s">
        <v>12</v>
      </c>
      <c r="Q16" s="49" t="s">
        <v>12</v>
      </c>
      <c r="R16" s="49" t="s">
        <v>12</v>
      </c>
      <c r="S16" s="49" t="s">
        <v>12</v>
      </c>
      <c r="T16" s="49" t="s">
        <v>12</v>
      </c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 t="s">
        <v>12</v>
      </c>
      <c r="AF16" s="49"/>
      <c r="AG16" s="49"/>
      <c r="AH16" s="49"/>
      <c r="AI16" s="49"/>
      <c r="AJ16" s="49"/>
      <c r="AK16" s="49"/>
      <c r="AL16" s="51">
        <f t="shared" si="0"/>
        <v>8</v>
      </c>
    </row>
    <row r="17" spans="8:38" ht="15.75">
      <c r="H17" s="46">
        <v>7</v>
      </c>
      <c r="I17" s="47" t="s">
        <v>15</v>
      </c>
      <c r="J17" s="48">
        <v>46210</v>
      </c>
      <c r="K17" s="52"/>
      <c r="L17" s="52" t="s">
        <v>12</v>
      </c>
      <c r="M17" s="52"/>
      <c r="N17" s="49" t="s">
        <v>12</v>
      </c>
      <c r="O17" s="49"/>
      <c r="P17" s="49" t="s">
        <v>12</v>
      </c>
      <c r="Q17" s="49" t="s">
        <v>12</v>
      </c>
      <c r="R17" s="49"/>
      <c r="S17" s="49" t="s">
        <v>12</v>
      </c>
      <c r="T17" s="49"/>
      <c r="U17" s="49"/>
      <c r="V17" s="49"/>
      <c r="W17" s="49" t="s">
        <v>12</v>
      </c>
      <c r="X17" s="49"/>
      <c r="Y17" s="49"/>
      <c r="Z17" s="49"/>
      <c r="AA17" s="49"/>
      <c r="AB17" s="49"/>
      <c r="AC17" s="49"/>
      <c r="AD17" s="49"/>
      <c r="AE17" s="49" t="s">
        <v>12</v>
      </c>
      <c r="AF17" s="49"/>
      <c r="AG17" s="49"/>
      <c r="AH17" s="49"/>
      <c r="AI17" s="49"/>
      <c r="AJ17" s="49"/>
      <c r="AK17" s="49"/>
      <c r="AL17" s="51">
        <f t="shared" si="0"/>
        <v>7</v>
      </c>
    </row>
    <row r="18" spans="8:38" ht="15.75">
      <c r="H18" s="46">
        <v>8</v>
      </c>
      <c r="I18" s="47" t="s">
        <v>16</v>
      </c>
      <c r="J18" s="48">
        <v>46211</v>
      </c>
      <c r="K18" s="52" t="s">
        <v>12</v>
      </c>
      <c r="L18" s="52" t="s">
        <v>12</v>
      </c>
      <c r="M18" s="52"/>
      <c r="N18" s="49" t="s">
        <v>12</v>
      </c>
      <c r="O18" s="49"/>
      <c r="P18" s="49" t="s">
        <v>12</v>
      </c>
      <c r="Q18" s="49" t="s">
        <v>12</v>
      </c>
      <c r="R18" s="49"/>
      <c r="S18" s="49" t="s">
        <v>12</v>
      </c>
      <c r="T18" s="49"/>
      <c r="U18" s="49"/>
      <c r="V18" s="49"/>
      <c r="W18" s="49" t="s">
        <v>12</v>
      </c>
      <c r="X18" s="49" t="s">
        <v>12</v>
      </c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51">
        <f t="shared" si="0"/>
        <v>8</v>
      </c>
    </row>
    <row r="19" spans="8:38" ht="15.75">
      <c r="H19" s="46">
        <v>9</v>
      </c>
      <c r="I19" s="47" t="s">
        <v>17</v>
      </c>
      <c r="J19" s="48">
        <v>46212</v>
      </c>
      <c r="K19" s="52"/>
      <c r="L19" s="52"/>
      <c r="M19" s="52"/>
      <c r="N19" s="49"/>
      <c r="O19" s="49"/>
      <c r="P19" s="49"/>
      <c r="Q19" s="49"/>
      <c r="R19" s="49"/>
      <c r="S19" s="53" t="s">
        <v>12</v>
      </c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51">
        <f t="shared" si="0"/>
        <v>1</v>
      </c>
    </row>
    <row r="20" spans="8:38" ht="15.75">
      <c r="H20" s="46">
        <v>10</v>
      </c>
      <c r="I20" s="47" t="s">
        <v>18</v>
      </c>
      <c r="J20" s="48">
        <v>46213</v>
      </c>
      <c r="K20" s="52"/>
      <c r="L20" s="52"/>
      <c r="M20" s="52"/>
      <c r="N20" s="49"/>
      <c r="O20" s="49"/>
      <c r="P20" s="49"/>
      <c r="Q20" s="49"/>
      <c r="R20" s="49"/>
      <c r="S20" s="49" t="s">
        <v>12</v>
      </c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51">
        <f t="shared" si="0"/>
        <v>1</v>
      </c>
    </row>
    <row r="21" spans="8:38" ht="15.75">
      <c r="H21" s="46">
        <v>11</v>
      </c>
      <c r="I21" s="47" t="s">
        <v>11</v>
      </c>
      <c r="J21" s="48">
        <v>46214</v>
      </c>
      <c r="K21" s="52"/>
      <c r="L21" s="52"/>
      <c r="M21" s="52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53" t="s">
        <v>12</v>
      </c>
      <c r="AG21" s="49"/>
      <c r="AH21" s="49"/>
      <c r="AI21" s="49"/>
      <c r="AJ21" s="49"/>
      <c r="AK21" s="49"/>
      <c r="AL21" s="51">
        <f t="shared" si="0"/>
        <v>1</v>
      </c>
    </row>
    <row r="22" spans="8:38" ht="15.75">
      <c r="H22" s="46">
        <v>12</v>
      </c>
      <c r="I22" s="47" t="s">
        <v>13</v>
      </c>
      <c r="J22" s="48">
        <v>46215</v>
      </c>
      <c r="K22" s="52"/>
      <c r="L22" s="52"/>
      <c r="M22" s="52"/>
      <c r="N22" s="49" t="s">
        <v>12</v>
      </c>
      <c r="O22" s="49" t="s">
        <v>12</v>
      </c>
      <c r="P22" s="49" t="s">
        <v>12</v>
      </c>
      <c r="Q22" s="49" t="s">
        <v>12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 t="s">
        <v>12</v>
      </c>
      <c r="AG22" s="49"/>
      <c r="AH22" s="49"/>
      <c r="AI22" s="49"/>
      <c r="AJ22" s="49"/>
      <c r="AK22" s="49"/>
      <c r="AL22" s="51">
        <f t="shared" si="0"/>
        <v>5</v>
      </c>
    </row>
    <row r="23" spans="8:38" ht="15.75">
      <c r="H23" s="46">
        <v>13</v>
      </c>
      <c r="I23" s="47" t="s">
        <v>14</v>
      </c>
      <c r="J23" s="48">
        <v>46216</v>
      </c>
      <c r="K23" s="52" t="s">
        <v>12</v>
      </c>
      <c r="L23" s="52" t="s">
        <v>12</v>
      </c>
      <c r="M23" s="52" t="s">
        <v>12</v>
      </c>
      <c r="N23" s="49" t="s">
        <v>12</v>
      </c>
      <c r="O23" s="49"/>
      <c r="P23" s="49" t="s">
        <v>12</v>
      </c>
      <c r="Q23" s="49" t="s">
        <v>12</v>
      </c>
      <c r="R23" s="49"/>
      <c r="S23" s="49" t="s">
        <v>12</v>
      </c>
      <c r="T23" s="49"/>
      <c r="U23" s="49" t="s">
        <v>12</v>
      </c>
      <c r="V23" s="49"/>
      <c r="W23" s="49" t="s">
        <v>12</v>
      </c>
      <c r="X23" s="49"/>
      <c r="Y23" s="49" t="s">
        <v>12</v>
      </c>
      <c r="Z23" s="49"/>
      <c r="AA23" s="49"/>
      <c r="AB23" s="49"/>
      <c r="AC23" s="49"/>
      <c r="AD23" s="49" t="s">
        <v>12</v>
      </c>
      <c r="AE23" s="49" t="s">
        <v>12</v>
      </c>
      <c r="AF23" s="49" t="s">
        <v>12</v>
      </c>
      <c r="AG23" s="49"/>
      <c r="AH23" s="49"/>
      <c r="AI23" s="49"/>
      <c r="AJ23" s="49"/>
      <c r="AK23" s="49"/>
      <c r="AL23" s="51">
        <f t="shared" si="0"/>
        <v>13</v>
      </c>
    </row>
    <row r="24" spans="8:38" ht="15.75">
      <c r="H24" s="46">
        <v>14</v>
      </c>
      <c r="I24" s="47" t="s">
        <v>15</v>
      </c>
      <c r="J24" s="48">
        <v>46217</v>
      </c>
      <c r="K24" s="52"/>
      <c r="L24" s="52"/>
      <c r="M24" s="52" t="s">
        <v>12</v>
      </c>
      <c r="N24" s="49" t="s">
        <v>12</v>
      </c>
      <c r="O24" s="49"/>
      <c r="P24" s="49" t="s">
        <v>12</v>
      </c>
      <c r="Q24" s="49" t="s">
        <v>12</v>
      </c>
      <c r="R24" s="49"/>
      <c r="S24" s="53" t="s">
        <v>12</v>
      </c>
      <c r="T24" s="53" t="s">
        <v>12</v>
      </c>
      <c r="U24" s="49"/>
      <c r="V24" s="49"/>
      <c r="W24" s="49" t="s">
        <v>12</v>
      </c>
      <c r="X24" s="49"/>
      <c r="Y24" s="49"/>
      <c r="Z24" s="49"/>
      <c r="AA24" s="49"/>
      <c r="AB24" s="49"/>
      <c r="AC24" s="49"/>
      <c r="AD24" s="49"/>
      <c r="AE24" s="49"/>
      <c r="AF24" s="49" t="s">
        <v>12</v>
      </c>
      <c r="AG24" s="49"/>
      <c r="AH24" s="49"/>
      <c r="AI24" s="49"/>
      <c r="AJ24" s="49"/>
      <c r="AK24" s="49"/>
      <c r="AL24" s="51">
        <f t="shared" si="0"/>
        <v>8</v>
      </c>
    </row>
    <row r="25" spans="8:38" ht="15.75">
      <c r="H25" s="46">
        <v>15</v>
      </c>
      <c r="I25" s="47" t="s">
        <v>16</v>
      </c>
      <c r="J25" s="48">
        <v>46218</v>
      </c>
      <c r="K25" s="52"/>
      <c r="L25" s="52" t="s">
        <v>12</v>
      </c>
      <c r="M25" s="52" t="s">
        <v>12</v>
      </c>
      <c r="N25" s="49"/>
      <c r="O25" s="49"/>
      <c r="P25" s="49" t="s">
        <v>12</v>
      </c>
      <c r="Q25" s="49" t="s">
        <v>12</v>
      </c>
      <c r="R25" s="49"/>
      <c r="S25" s="49" t="s">
        <v>12</v>
      </c>
      <c r="T25" s="49" t="s">
        <v>12</v>
      </c>
      <c r="U25" s="49"/>
      <c r="V25" s="49"/>
      <c r="W25" s="49" t="s">
        <v>12</v>
      </c>
      <c r="X25" s="49"/>
      <c r="Y25" s="49"/>
      <c r="Z25" s="49"/>
      <c r="AA25" s="49"/>
      <c r="AB25" s="49"/>
      <c r="AC25" s="49"/>
      <c r="AD25" s="49"/>
      <c r="AE25" s="49"/>
      <c r="AF25" s="49" t="s">
        <v>12</v>
      </c>
      <c r="AG25" s="49"/>
      <c r="AH25" s="49"/>
      <c r="AI25" s="49"/>
      <c r="AJ25" s="49"/>
      <c r="AK25" s="49" t="s">
        <v>12</v>
      </c>
      <c r="AL25" s="51">
        <f t="shared" si="0"/>
        <v>9</v>
      </c>
    </row>
    <row r="26" spans="8:38" ht="15.75">
      <c r="H26" s="46">
        <v>16</v>
      </c>
      <c r="I26" s="47" t="s">
        <v>17</v>
      </c>
      <c r="J26" s="48">
        <v>46219</v>
      </c>
      <c r="K26" s="52"/>
      <c r="L26" s="52"/>
      <c r="M26" s="52" t="s">
        <v>12</v>
      </c>
      <c r="N26" s="49"/>
      <c r="O26" s="49"/>
      <c r="P26" s="49"/>
      <c r="Q26" s="49"/>
      <c r="R26" s="49"/>
      <c r="S26" s="49" t="s">
        <v>12</v>
      </c>
      <c r="T26" s="49" t="s">
        <v>12</v>
      </c>
      <c r="U26" s="49"/>
      <c r="V26" s="49"/>
      <c r="W26" s="49" t="s">
        <v>12</v>
      </c>
      <c r="X26" s="49"/>
      <c r="Y26" s="49"/>
      <c r="Z26" s="49"/>
      <c r="AA26" s="49"/>
      <c r="AB26" s="49"/>
      <c r="AC26" s="49"/>
      <c r="AD26" s="49"/>
      <c r="AE26" s="49" t="s">
        <v>12</v>
      </c>
      <c r="AF26" s="49" t="s">
        <v>12</v>
      </c>
      <c r="AG26" s="49"/>
      <c r="AH26" s="49" t="s">
        <v>12</v>
      </c>
      <c r="AI26" s="49"/>
      <c r="AJ26" s="49"/>
      <c r="AK26" s="49" t="s">
        <v>12</v>
      </c>
      <c r="AL26" s="51">
        <f t="shared" si="0"/>
        <v>8</v>
      </c>
    </row>
    <row r="27" spans="8:38" ht="15.75">
      <c r="H27" s="46">
        <v>17</v>
      </c>
      <c r="I27" s="47" t="s">
        <v>18</v>
      </c>
      <c r="J27" s="48">
        <v>46220</v>
      </c>
      <c r="K27" s="52" t="s">
        <v>12</v>
      </c>
      <c r="L27" s="52" t="s">
        <v>12</v>
      </c>
      <c r="M27" s="52" t="s">
        <v>12</v>
      </c>
      <c r="N27" s="49" t="s">
        <v>12</v>
      </c>
      <c r="O27" s="49"/>
      <c r="P27" s="49" t="s">
        <v>12</v>
      </c>
      <c r="Q27" s="49" t="s">
        <v>12</v>
      </c>
      <c r="R27" s="49"/>
      <c r="S27" s="49" t="s">
        <v>12</v>
      </c>
      <c r="T27" s="49" t="s">
        <v>12</v>
      </c>
      <c r="U27" s="49" t="s">
        <v>12</v>
      </c>
      <c r="V27" s="49"/>
      <c r="W27" s="49" t="s">
        <v>12</v>
      </c>
      <c r="X27" s="49"/>
      <c r="Y27" s="49"/>
      <c r="Z27" s="49"/>
      <c r="AA27" s="49"/>
      <c r="AB27" s="49"/>
      <c r="AC27" s="49"/>
      <c r="AD27" s="49"/>
      <c r="AE27" s="49"/>
      <c r="AF27" s="49" t="s">
        <v>12</v>
      </c>
      <c r="AG27" s="49" t="s">
        <v>12</v>
      </c>
      <c r="AH27" s="49" t="s">
        <v>12</v>
      </c>
      <c r="AI27" s="49"/>
      <c r="AJ27" s="49"/>
      <c r="AK27" s="49"/>
      <c r="AL27" s="51">
        <f t="shared" si="0"/>
        <v>13</v>
      </c>
    </row>
    <row r="28" spans="8:38" ht="15.75">
      <c r="H28" s="46">
        <v>18</v>
      </c>
      <c r="I28" s="47" t="s">
        <v>11</v>
      </c>
      <c r="J28" s="48">
        <v>46221</v>
      </c>
      <c r="K28" s="52"/>
      <c r="L28" s="52"/>
      <c r="M28" s="52" t="s">
        <v>12</v>
      </c>
      <c r="N28" s="49" t="s">
        <v>12</v>
      </c>
      <c r="O28" s="49"/>
      <c r="P28" s="49" t="s">
        <v>12</v>
      </c>
      <c r="Q28" s="49" t="s">
        <v>12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 t="s">
        <v>12</v>
      </c>
      <c r="AG28" s="49"/>
      <c r="AH28" s="49"/>
      <c r="AI28" s="49"/>
      <c r="AJ28" s="49"/>
      <c r="AK28" s="49"/>
      <c r="AL28" s="51">
        <f t="shared" si="0"/>
        <v>5</v>
      </c>
    </row>
    <row r="29" spans="8:38" ht="15.75">
      <c r="H29" s="46">
        <v>19</v>
      </c>
      <c r="I29" s="47" t="s">
        <v>13</v>
      </c>
      <c r="J29" s="48">
        <v>46222</v>
      </c>
      <c r="K29" s="52"/>
      <c r="L29" s="52"/>
      <c r="M29" s="52"/>
      <c r="N29" s="49"/>
      <c r="O29" s="49"/>
      <c r="P29" s="49"/>
      <c r="Q29" s="49"/>
      <c r="R29" s="49"/>
      <c r="S29" s="49"/>
      <c r="T29" s="49" t="s">
        <v>12</v>
      </c>
      <c r="U29" s="49"/>
      <c r="V29" s="49"/>
      <c r="W29" s="49"/>
      <c r="X29" s="49"/>
      <c r="Y29" s="49"/>
      <c r="Z29" s="49"/>
      <c r="AA29" s="49"/>
      <c r="AB29" s="49"/>
      <c r="AC29" s="49"/>
      <c r="AD29" s="49" t="s">
        <v>12</v>
      </c>
      <c r="AE29" s="49"/>
      <c r="AF29" s="49" t="s">
        <v>12</v>
      </c>
      <c r="AG29" s="49"/>
      <c r="AH29" s="49"/>
      <c r="AI29" s="49"/>
      <c r="AJ29" s="49"/>
      <c r="AK29" s="49"/>
      <c r="AL29" s="51">
        <f t="shared" si="0"/>
        <v>3</v>
      </c>
    </row>
    <row r="30" spans="8:38" ht="15.75">
      <c r="H30" s="46">
        <v>20</v>
      </c>
      <c r="I30" s="47" t="s">
        <v>14</v>
      </c>
      <c r="J30" s="48">
        <v>46223</v>
      </c>
      <c r="K30" s="52"/>
      <c r="L30" s="52" t="s">
        <v>12</v>
      </c>
      <c r="M30" s="52" t="s">
        <v>12</v>
      </c>
      <c r="N30" s="49" t="s">
        <v>12</v>
      </c>
      <c r="O30" s="49"/>
      <c r="P30" s="49" t="s">
        <v>12</v>
      </c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51">
        <f t="shared" si="0"/>
        <v>4</v>
      </c>
    </row>
    <row r="31" spans="8:38" ht="15.75">
      <c r="H31" s="46">
        <v>21</v>
      </c>
      <c r="I31" s="47" t="s">
        <v>15</v>
      </c>
      <c r="J31" s="48">
        <v>46224</v>
      </c>
      <c r="K31" s="52"/>
      <c r="L31" s="52"/>
      <c r="M31" s="52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51">
        <f t="shared" si="0"/>
        <v>0</v>
      </c>
    </row>
    <row r="32" spans="8:38" ht="15.75">
      <c r="H32" s="46">
        <v>22</v>
      </c>
      <c r="I32" s="47" t="s">
        <v>16</v>
      </c>
      <c r="J32" s="48">
        <v>46225</v>
      </c>
      <c r="K32" s="52"/>
      <c r="L32" s="52"/>
      <c r="M32" s="52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51">
        <f t="shared" si="0"/>
        <v>0</v>
      </c>
    </row>
    <row r="33" spans="8:38" ht="15.75">
      <c r="H33" s="46">
        <v>23</v>
      </c>
      <c r="I33" s="47" t="s">
        <v>17</v>
      </c>
      <c r="J33" s="48">
        <v>46226</v>
      </c>
      <c r="K33" s="52"/>
      <c r="L33" s="52"/>
      <c r="M33" s="52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51">
        <f t="shared" si="0"/>
        <v>0</v>
      </c>
    </row>
    <row r="34" spans="8:38" ht="15.75">
      <c r="H34" s="46">
        <v>24</v>
      </c>
      <c r="I34" s="47" t="s">
        <v>18</v>
      </c>
      <c r="J34" s="48">
        <v>46227</v>
      </c>
      <c r="K34" s="52" t="s">
        <v>12</v>
      </c>
      <c r="L34" s="52" t="s">
        <v>12</v>
      </c>
      <c r="M34" s="52" t="s">
        <v>12</v>
      </c>
      <c r="N34" s="49"/>
      <c r="O34" s="49"/>
      <c r="P34" s="49" t="s">
        <v>12</v>
      </c>
      <c r="Q34" s="49" t="s">
        <v>12</v>
      </c>
      <c r="R34" s="49" t="s">
        <v>12</v>
      </c>
      <c r="S34" s="49" t="s">
        <v>12</v>
      </c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51">
        <f t="shared" si="0"/>
        <v>7</v>
      </c>
    </row>
    <row r="35" spans="8:38" ht="15.75">
      <c r="H35" s="46">
        <v>25</v>
      </c>
      <c r="I35" s="47" t="s">
        <v>11</v>
      </c>
      <c r="J35" s="48">
        <v>46228</v>
      </c>
      <c r="K35" s="52"/>
      <c r="L35" s="52"/>
      <c r="M35" s="52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 t="s">
        <v>12</v>
      </c>
      <c r="AG35" s="49"/>
      <c r="AH35" s="49"/>
      <c r="AI35" s="49"/>
      <c r="AJ35" s="49"/>
      <c r="AK35" s="49"/>
      <c r="AL35" s="51">
        <f t="shared" si="0"/>
        <v>1</v>
      </c>
    </row>
    <row r="36" spans="8:38" ht="15.75">
      <c r="H36" s="46">
        <v>26</v>
      </c>
      <c r="I36" s="47" t="s">
        <v>13</v>
      </c>
      <c r="J36" s="48">
        <v>46229</v>
      </c>
      <c r="K36" s="52"/>
      <c r="L36" s="52"/>
      <c r="M36" s="52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 t="s">
        <v>12</v>
      </c>
      <c r="AC36" s="49"/>
      <c r="AD36" s="49" t="s">
        <v>12</v>
      </c>
      <c r="AE36" s="49"/>
      <c r="AF36" s="49" t="s">
        <v>12</v>
      </c>
      <c r="AG36" s="49"/>
      <c r="AH36" s="49"/>
      <c r="AI36" s="49"/>
      <c r="AJ36" s="49"/>
      <c r="AK36" s="49"/>
      <c r="AL36" s="51">
        <f t="shared" si="0"/>
        <v>3</v>
      </c>
    </row>
    <row r="37" spans="8:38" ht="15.75">
      <c r="H37" s="46">
        <v>27</v>
      </c>
      <c r="I37" s="47" t="s">
        <v>14</v>
      </c>
      <c r="J37" s="48">
        <v>46230</v>
      </c>
      <c r="K37" s="52"/>
      <c r="L37" s="52"/>
      <c r="M37" s="52"/>
      <c r="N37" s="49"/>
      <c r="O37" s="49" t="s">
        <v>12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51">
        <f t="shared" si="0"/>
        <v>1</v>
      </c>
    </row>
    <row r="38" spans="8:38" ht="15.75">
      <c r="H38" s="46">
        <v>28</v>
      </c>
      <c r="I38" s="47" t="s">
        <v>15</v>
      </c>
      <c r="J38" s="48">
        <v>46231</v>
      </c>
      <c r="K38" s="52"/>
      <c r="L38" s="52"/>
      <c r="M38" s="52"/>
      <c r="N38" s="49"/>
      <c r="O38" s="49"/>
      <c r="P38" s="49"/>
      <c r="Q38" s="49"/>
      <c r="R38" s="49" t="s">
        <v>12</v>
      </c>
      <c r="S38" s="49" t="s">
        <v>12</v>
      </c>
      <c r="T38" s="49"/>
      <c r="U38" s="49" t="s">
        <v>12</v>
      </c>
      <c r="V38" s="49" t="s">
        <v>12</v>
      </c>
      <c r="W38" s="49"/>
      <c r="X38" s="49"/>
      <c r="Y38" s="49"/>
      <c r="Z38" s="49"/>
      <c r="AA38" s="49"/>
      <c r="AB38" s="49"/>
      <c r="AC38" s="49"/>
      <c r="AD38" s="49" t="s">
        <v>12</v>
      </c>
      <c r="AE38" s="49"/>
      <c r="AF38" s="49"/>
      <c r="AG38" s="49"/>
      <c r="AH38" s="49"/>
      <c r="AI38" s="49"/>
      <c r="AJ38" s="49"/>
      <c r="AK38" s="49"/>
      <c r="AL38" s="51">
        <f t="shared" si="0"/>
        <v>5</v>
      </c>
    </row>
    <row r="39" spans="8:38" ht="15.75">
      <c r="H39" s="46">
        <v>29</v>
      </c>
      <c r="I39" s="47" t="s">
        <v>16</v>
      </c>
      <c r="J39" s="48">
        <v>46232</v>
      </c>
      <c r="K39" s="52"/>
      <c r="L39" s="52"/>
      <c r="M39" s="52"/>
      <c r="N39" s="49"/>
      <c r="O39" s="49"/>
      <c r="P39" s="49"/>
      <c r="Q39" s="49"/>
      <c r="R39" s="49" t="s">
        <v>12</v>
      </c>
      <c r="S39" s="49" t="s">
        <v>12</v>
      </c>
      <c r="T39" s="49" t="s">
        <v>12</v>
      </c>
      <c r="U39" s="49"/>
      <c r="V39" s="49"/>
      <c r="W39" s="49" t="s">
        <v>12</v>
      </c>
      <c r="X39" s="49"/>
      <c r="Y39" s="49"/>
      <c r="Z39" s="49"/>
      <c r="AA39" s="49"/>
      <c r="AB39" s="49"/>
      <c r="AC39" s="49"/>
      <c r="AD39" s="49"/>
      <c r="AE39" s="49"/>
      <c r="AF39" s="49" t="s">
        <v>12</v>
      </c>
      <c r="AG39" s="49"/>
      <c r="AH39" s="49"/>
      <c r="AI39" s="49"/>
      <c r="AJ39" s="49"/>
      <c r="AK39" s="49"/>
      <c r="AL39" s="51">
        <f t="shared" si="0"/>
        <v>5</v>
      </c>
    </row>
    <row r="40" spans="8:38" ht="15.75">
      <c r="H40" s="46">
        <v>30</v>
      </c>
      <c r="I40" s="47" t="s">
        <v>17</v>
      </c>
      <c r="J40" s="48">
        <v>46233</v>
      </c>
      <c r="K40" s="52"/>
      <c r="L40" s="52"/>
      <c r="M40" s="52"/>
      <c r="N40" s="49"/>
      <c r="O40" s="49"/>
      <c r="P40" s="49"/>
      <c r="Q40" s="49"/>
      <c r="R40" s="49"/>
      <c r="S40" s="49" t="s">
        <v>12</v>
      </c>
      <c r="T40" s="49"/>
      <c r="U40" s="49"/>
      <c r="V40" s="49"/>
      <c r="W40" s="49" t="s">
        <v>12</v>
      </c>
      <c r="X40" s="49"/>
      <c r="Y40" s="49"/>
      <c r="Z40" s="49"/>
      <c r="AA40" s="49"/>
      <c r="AB40" s="49"/>
      <c r="AC40" s="49"/>
      <c r="AD40" s="49" t="s">
        <v>12</v>
      </c>
      <c r="AE40" s="49"/>
      <c r="AF40" s="49"/>
      <c r="AG40" s="49"/>
      <c r="AH40" s="49"/>
      <c r="AI40" s="49"/>
      <c r="AJ40" s="49"/>
      <c r="AK40" s="49"/>
      <c r="AL40" s="51">
        <f t="shared" si="0"/>
        <v>3</v>
      </c>
    </row>
    <row r="41" spans="8:38" ht="15.75">
      <c r="H41" s="46">
        <v>31</v>
      </c>
      <c r="I41" s="47" t="s">
        <v>18</v>
      </c>
      <c r="J41" s="48">
        <v>46234</v>
      </c>
      <c r="K41" s="52"/>
      <c r="L41" s="52"/>
      <c r="M41" s="52" t="s">
        <v>12</v>
      </c>
      <c r="N41" s="49"/>
      <c r="O41" s="49"/>
      <c r="P41" s="49"/>
      <c r="Q41" s="49"/>
      <c r="R41" s="49"/>
      <c r="S41" s="49"/>
      <c r="T41" s="49"/>
      <c r="U41" s="49"/>
      <c r="V41" s="49"/>
      <c r="W41" s="49" t="s">
        <v>12</v>
      </c>
      <c r="X41" s="49"/>
      <c r="Y41" s="49"/>
      <c r="Z41" s="49"/>
      <c r="AA41" s="49"/>
      <c r="AB41" s="49"/>
      <c r="AC41" s="49"/>
      <c r="AD41" s="49" t="s">
        <v>12</v>
      </c>
      <c r="AE41" s="49"/>
      <c r="AF41" s="49" t="s">
        <v>12</v>
      </c>
      <c r="AG41" s="49"/>
      <c r="AH41" s="49"/>
      <c r="AI41" s="49"/>
      <c r="AJ41" s="49"/>
      <c r="AK41" s="49"/>
      <c r="AL41" s="51">
        <f t="shared" si="0"/>
        <v>4</v>
      </c>
    </row>
    <row r="42" spans="8:38" ht="15.75">
      <c r="H42" s="128" t="s">
        <v>19</v>
      </c>
      <c r="I42" s="128"/>
      <c r="J42" s="128"/>
      <c r="K42" s="32">
        <f>COUNTA(K11:K41)</f>
        <v>6</v>
      </c>
      <c r="L42" s="32">
        <f t="shared" ref="L42:AK42" si="1">COUNTA(L11:L41)</f>
        <v>9</v>
      </c>
      <c r="M42" s="32">
        <f t="shared" si="1"/>
        <v>9</v>
      </c>
      <c r="N42" s="32">
        <f t="shared" si="1"/>
        <v>9</v>
      </c>
      <c r="O42" s="32">
        <f t="shared" si="1"/>
        <v>4</v>
      </c>
      <c r="P42" s="32">
        <f t="shared" si="1"/>
        <v>14</v>
      </c>
      <c r="Q42" s="32">
        <f t="shared" si="1"/>
        <v>13</v>
      </c>
      <c r="R42" s="32">
        <f t="shared" si="1"/>
        <v>5</v>
      </c>
      <c r="S42" s="32">
        <f t="shared" si="1"/>
        <v>17</v>
      </c>
      <c r="T42" s="32">
        <f t="shared" si="1"/>
        <v>7</v>
      </c>
      <c r="U42" s="32">
        <f t="shared" si="1"/>
        <v>4</v>
      </c>
      <c r="V42" s="32">
        <f t="shared" si="1"/>
        <v>1</v>
      </c>
      <c r="W42" s="32">
        <f t="shared" si="1"/>
        <v>10</v>
      </c>
      <c r="X42" s="32">
        <f t="shared" si="1"/>
        <v>1</v>
      </c>
      <c r="Y42" s="32">
        <f t="shared" si="1"/>
        <v>1</v>
      </c>
      <c r="Z42" s="32">
        <f t="shared" si="1"/>
        <v>0</v>
      </c>
      <c r="AA42" s="32">
        <f t="shared" si="1"/>
        <v>0</v>
      </c>
      <c r="AB42" s="32">
        <f t="shared" si="1"/>
        <v>1</v>
      </c>
      <c r="AC42" s="32">
        <f t="shared" si="1"/>
        <v>0</v>
      </c>
      <c r="AD42" s="32">
        <f t="shared" si="1"/>
        <v>6</v>
      </c>
      <c r="AE42" s="32">
        <f t="shared" si="1"/>
        <v>5</v>
      </c>
      <c r="AF42" s="32">
        <f t="shared" si="1"/>
        <v>13</v>
      </c>
      <c r="AG42" s="32">
        <f t="shared" si="1"/>
        <v>1</v>
      </c>
      <c r="AH42" s="32">
        <f t="shared" si="1"/>
        <v>2</v>
      </c>
      <c r="AI42" s="32"/>
      <c r="AJ42" s="32"/>
      <c r="AK42" s="32">
        <f t="shared" si="1"/>
        <v>2</v>
      </c>
      <c r="AL42" s="54">
        <f t="shared" ref="AL42" si="2">COUNTA(AL11:AL41)</f>
        <v>31</v>
      </c>
    </row>
  </sheetData>
  <mergeCells count="2">
    <mergeCell ref="H9:AL9"/>
    <mergeCell ref="H42:J42"/>
  </mergeCells>
  <conditionalFormatting sqref="AL42">
    <cfRule type="expression" dxfId="15" priority="10">
      <formula>AU42="+"</formula>
    </cfRule>
  </conditionalFormatting>
  <conditionalFormatting sqref="K11:AK41">
    <cfRule type="expression" dxfId="14" priority="1">
      <formula>K11&lt;&gt;""</formula>
    </cfRule>
  </conditionalFormatting>
  <pageMargins left="0.7" right="0.7" top="0.75" bottom="0.75" header="0.3" footer="0.3"/>
  <pageSetup paperSize="9" orientation="portrait" horizontalDpi="180" verticalDpi="18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5"/>
  <sheetViews>
    <sheetView zoomScale="80" zoomScaleNormal="80" workbookViewId="0">
      <pane xSplit="4" ySplit="34" topLeftCell="E35" activePane="bottomRight" state="frozen"/>
      <selection pane="topRight" activeCell="E1" sqref="E1"/>
      <selection pane="bottomLeft" activeCell="A35" sqref="A35"/>
      <selection pane="bottomRight" activeCell="D42" sqref="D42"/>
    </sheetView>
  </sheetViews>
  <sheetFormatPr defaultColWidth="9" defaultRowHeight="15"/>
  <cols>
    <col min="1" max="3" width="15.7109375" style="3" customWidth="1"/>
    <col min="4" max="4" width="26" style="3" customWidth="1"/>
    <col min="5" max="6" width="15.7109375" style="3" customWidth="1"/>
    <col min="7" max="7" width="21.140625" style="3" customWidth="1"/>
    <col min="8" max="11" width="15.7109375" style="3" customWidth="1"/>
    <col min="12" max="12" width="20.28515625" style="3" customWidth="1"/>
    <col min="13" max="13" width="20.42578125" style="3" customWidth="1"/>
    <col min="14" max="14" width="26.140625" style="3" customWidth="1"/>
    <col min="15" max="15" width="26.7109375" style="3" customWidth="1"/>
    <col min="16" max="16" width="15.7109375" style="3" customWidth="1"/>
    <col min="17" max="17" width="16.42578125" style="3" customWidth="1"/>
    <col min="18" max="18" width="21.140625" style="3" customWidth="1"/>
    <col min="19" max="20" width="15.7109375" style="3" customWidth="1"/>
    <col min="21" max="21" width="23.7109375" style="3" customWidth="1"/>
    <col min="22" max="22" width="21.5703125" style="3" customWidth="1"/>
    <col min="23" max="25" width="15.7109375" style="3" customWidth="1"/>
    <col min="26" max="26" width="21.42578125" style="3" customWidth="1"/>
    <col min="27" max="27" width="15.7109375" style="3" customWidth="1"/>
    <col min="28" max="28" width="27.140625" style="3" customWidth="1"/>
    <col min="29" max="29" width="15.7109375" style="3" customWidth="1"/>
    <col min="30" max="30" width="29.28515625" style="3" customWidth="1"/>
    <col min="31" max="31" width="24.42578125" style="3" customWidth="1"/>
    <col min="32" max="32" width="33.7109375" style="3" customWidth="1"/>
    <col min="33" max="33" width="34.28515625" style="3" customWidth="1"/>
    <col min="34" max="36" width="15.7109375" style="3" customWidth="1"/>
    <col min="37" max="37" width="24.5703125" style="3" customWidth="1"/>
    <col min="38" max="38" width="20.7109375" style="3" customWidth="1"/>
    <col min="39" max="16384" width="9" style="3"/>
  </cols>
  <sheetData>
    <row r="1" spans="1:37" s="1" customFormat="1" ht="30" customHeight="1">
      <c r="A1" s="140"/>
      <c r="B1" s="141"/>
      <c r="C1" s="142"/>
      <c r="D1" s="4" t="s">
        <v>36</v>
      </c>
      <c r="E1" s="146" t="s">
        <v>37</v>
      </c>
      <c r="F1" s="146"/>
      <c r="G1" s="146"/>
      <c r="H1" s="146"/>
      <c r="I1" s="146"/>
      <c r="J1" s="146"/>
      <c r="K1" s="146"/>
      <c r="L1" s="147" t="s">
        <v>38</v>
      </c>
      <c r="M1" s="147"/>
      <c r="N1" s="147"/>
      <c r="O1" s="147"/>
      <c r="P1" s="147"/>
      <c r="Q1" s="147"/>
      <c r="R1" s="147"/>
      <c r="S1" s="148" t="s">
        <v>39</v>
      </c>
      <c r="T1" s="148"/>
      <c r="U1" s="149" t="s">
        <v>40</v>
      </c>
      <c r="V1" s="150"/>
      <c r="W1" s="150"/>
      <c r="X1" s="150"/>
      <c r="Y1" s="151"/>
      <c r="Z1" s="152" t="s">
        <v>41</v>
      </c>
      <c r="AA1" s="152"/>
      <c r="AB1" s="152"/>
      <c r="AC1" s="152"/>
      <c r="AD1" s="152"/>
      <c r="AE1" s="135" t="s">
        <v>42</v>
      </c>
      <c r="AF1" s="135"/>
      <c r="AG1" s="135"/>
      <c r="AH1" s="136" t="s">
        <v>43</v>
      </c>
      <c r="AI1" s="136"/>
      <c r="AJ1" s="136"/>
      <c r="AK1" s="137" t="s">
        <v>35</v>
      </c>
    </row>
    <row r="2" spans="1:37" s="2" customFormat="1" ht="30" customHeight="1">
      <c r="A2" s="143"/>
      <c r="B2" s="144"/>
      <c r="C2" s="145"/>
      <c r="D2" s="5" t="s">
        <v>44</v>
      </c>
      <c r="E2" s="6" t="s">
        <v>45</v>
      </c>
      <c r="F2" s="6" t="s">
        <v>46</v>
      </c>
      <c r="G2" s="6" t="s">
        <v>22</v>
      </c>
      <c r="H2" s="6" t="s">
        <v>4</v>
      </c>
      <c r="I2" s="6" t="s">
        <v>24</v>
      </c>
      <c r="J2" s="6" t="s">
        <v>25</v>
      </c>
      <c r="K2" s="6" t="s">
        <v>23</v>
      </c>
      <c r="L2" s="7" t="s">
        <v>26</v>
      </c>
      <c r="M2" s="7" t="s">
        <v>47</v>
      </c>
      <c r="N2" s="7" t="s">
        <v>48</v>
      </c>
      <c r="O2" s="7" t="s">
        <v>29</v>
      </c>
      <c r="P2" s="7" t="s">
        <v>49</v>
      </c>
      <c r="Q2" s="7" t="s">
        <v>50</v>
      </c>
      <c r="R2" s="7" t="s">
        <v>51</v>
      </c>
      <c r="S2" s="8" t="s">
        <v>52</v>
      </c>
      <c r="T2" s="8" t="s">
        <v>7</v>
      </c>
      <c r="U2" s="9" t="s">
        <v>53</v>
      </c>
      <c r="V2" s="9" t="s">
        <v>54</v>
      </c>
      <c r="W2" s="9" t="s">
        <v>4</v>
      </c>
      <c r="X2" s="9" t="s">
        <v>55</v>
      </c>
      <c r="Y2" s="9" t="s">
        <v>56</v>
      </c>
      <c r="Z2" s="10" t="s">
        <v>57</v>
      </c>
      <c r="AA2" s="10" t="s">
        <v>58</v>
      </c>
      <c r="AB2" s="10" t="s">
        <v>59</v>
      </c>
      <c r="AC2" s="10" t="s">
        <v>33</v>
      </c>
      <c r="AD2" s="10" t="s">
        <v>60</v>
      </c>
      <c r="AE2" s="11" t="s">
        <v>61</v>
      </c>
      <c r="AF2" s="11" t="s">
        <v>69</v>
      </c>
      <c r="AG2" s="11" t="s">
        <v>71</v>
      </c>
      <c r="AH2" s="12"/>
      <c r="AI2" s="12"/>
      <c r="AJ2" s="12"/>
      <c r="AK2" s="138"/>
    </row>
    <row r="3" spans="1:37">
      <c r="A3" s="13" t="s">
        <v>1</v>
      </c>
      <c r="B3" s="13" t="s">
        <v>2</v>
      </c>
      <c r="C3" s="13" t="s">
        <v>3</v>
      </c>
      <c r="D3" s="13" t="s">
        <v>63</v>
      </c>
      <c r="E3" s="14">
        <v>3</v>
      </c>
      <c r="F3" s="14">
        <v>1</v>
      </c>
      <c r="G3" s="14">
        <v>2</v>
      </c>
      <c r="H3" s="14">
        <v>2</v>
      </c>
      <c r="I3" s="14">
        <v>1</v>
      </c>
      <c r="J3" s="14">
        <v>2</v>
      </c>
      <c r="K3" s="14">
        <v>1</v>
      </c>
      <c r="L3" s="15">
        <v>3</v>
      </c>
      <c r="M3" s="15">
        <v>1</v>
      </c>
      <c r="N3" s="15">
        <v>2</v>
      </c>
      <c r="O3" s="15">
        <v>1</v>
      </c>
      <c r="P3" s="15">
        <v>2</v>
      </c>
      <c r="Q3" s="15">
        <v>2</v>
      </c>
      <c r="R3" s="15">
        <v>2</v>
      </c>
      <c r="S3" s="16">
        <v>3</v>
      </c>
      <c r="T3" s="16">
        <v>2</v>
      </c>
      <c r="U3" s="17">
        <v>2</v>
      </c>
      <c r="V3" s="17">
        <v>1</v>
      </c>
      <c r="W3" s="17">
        <v>3</v>
      </c>
      <c r="X3" s="17">
        <v>1</v>
      </c>
      <c r="Y3" s="17">
        <v>1</v>
      </c>
      <c r="Z3" s="18">
        <v>3</v>
      </c>
      <c r="AA3" s="18">
        <v>3</v>
      </c>
      <c r="AB3" s="18">
        <v>1</v>
      </c>
      <c r="AC3" s="18">
        <v>3</v>
      </c>
      <c r="AD3" s="18">
        <v>2</v>
      </c>
      <c r="AE3" s="19">
        <v>3</v>
      </c>
      <c r="AF3" s="19">
        <v>2</v>
      </c>
      <c r="AG3" s="19">
        <v>2</v>
      </c>
      <c r="AH3" s="20">
        <v>2</v>
      </c>
      <c r="AI3" s="20">
        <v>2</v>
      </c>
      <c r="AJ3" s="20">
        <v>2</v>
      </c>
      <c r="AK3" s="139"/>
    </row>
    <row r="4" spans="1:37">
      <c r="A4" s="21">
        <v>1</v>
      </c>
      <c r="B4" s="21" t="s">
        <v>11</v>
      </c>
      <c r="C4" s="22">
        <v>46235</v>
      </c>
      <c r="D4" s="23"/>
      <c r="E4" s="62"/>
      <c r="F4" s="62"/>
      <c r="G4" s="62" t="s">
        <v>12</v>
      </c>
      <c r="H4" s="62" t="s">
        <v>12</v>
      </c>
      <c r="I4" s="62" t="s">
        <v>12</v>
      </c>
      <c r="J4" s="62" t="s">
        <v>12</v>
      </c>
      <c r="K4" s="62" t="s">
        <v>12</v>
      </c>
      <c r="L4" s="63"/>
      <c r="M4" s="63"/>
      <c r="N4" s="63"/>
      <c r="O4" s="63"/>
      <c r="P4" s="63"/>
      <c r="Q4" s="63"/>
      <c r="R4" s="63"/>
      <c r="S4" s="24"/>
      <c r="T4" s="24"/>
      <c r="U4" s="64"/>
      <c r="V4" s="64"/>
      <c r="W4" s="64"/>
      <c r="X4" s="64" t="s">
        <v>12</v>
      </c>
      <c r="Y4" s="64"/>
      <c r="Z4" s="65"/>
      <c r="AA4" s="65"/>
      <c r="AB4" s="65"/>
      <c r="AC4" s="65"/>
      <c r="AD4" s="65"/>
      <c r="AE4" s="66"/>
      <c r="AF4" s="66"/>
      <c r="AG4" s="66"/>
      <c r="AH4" s="67"/>
      <c r="AI4" s="67"/>
      <c r="AJ4" s="67"/>
      <c r="AK4" s="25">
        <f>SUMIF(E4:AJ4,"&lt;&gt;",$E$3:$AJ$3)</f>
        <v>9</v>
      </c>
    </row>
    <row r="5" spans="1:37">
      <c r="A5" s="21">
        <v>2</v>
      </c>
      <c r="B5" s="21" t="s">
        <v>13</v>
      </c>
      <c r="C5" s="22">
        <v>46236</v>
      </c>
      <c r="D5" s="23"/>
      <c r="E5" s="62"/>
      <c r="F5" s="62"/>
      <c r="G5" s="62"/>
      <c r="H5" s="62"/>
      <c r="I5" s="62" t="s">
        <v>12</v>
      </c>
      <c r="J5" s="62" t="s">
        <v>12</v>
      </c>
      <c r="K5" s="62"/>
      <c r="L5" s="63"/>
      <c r="M5" s="63"/>
      <c r="N5" s="63"/>
      <c r="O5" s="63"/>
      <c r="P5" s="63"/>
      <c r="Q5" s="63"/>
      <c r="R5" s="63"/>
      <c r="S5" s="24"/>
      <c r="T5" s="24"/>
      <c r="U5" s="64"/>
      <c r="V5" s="64"/>
      <c r="W5" s="64"/>
      <c r="X5" s="64"/>
      <c r="Y5" s="64"/>
      <c r="Z5" s="65"/>
      <c r="AA5" s="65"/>
      <c r="AB5" s="65"/>
      <c r="AC5" s="65"/>
      <c r="AD5" s="65"/>
      <c r="AE5" s="66"/>
      <c r="AF5" s="66"/>
      <c r="AG5" s="66"/>
      <c r="AH5" s="67"/>
      <c r="AI5" s="67"/>
      <c r="AJ5" s="67"/>
      <c r="AK5" s="109">
        <f t="shared" ref="AK5:AK34" si="0">SUMIF(E5:AJ5,"&lt;&gt;",$E$3:$AJ$3)</f>
        <v>3</v>
      </c>
    </row>
    <row r="6" spans="1:37">
      <c r="A6" s="21">
        <v>3</v>
      </c>
      <c r="B6" s="21" t="s">
        <v>14</v>
      </c>
      <c r="C6" s="22">
        <v>46237</v>
      </c>
      <c r="D6" s="26"/>
      <c r="E6" s="62" t="s">
        <v>12</v>
      </c>
      <c r="F6" s="62" t="s">
        <v>12</v>
      </c>
      <c r="G6" s="62" t="s">
        <v>12</v>
      </c>
      <c r="H6" s="62" t="s">
        <v>12</v>
      </c>
      <c r="I6" s="62" t="s">
        <v>12</v>
      </c>
      <c r="J6" s="62" t="s">
        <v>12</v>
      </c>
      <c r="K6" s="62"/>
      <c r="L6" s="63"/>
      <c r="M6" s="63" t="s">
        <v>12</v>
      </c>
      <c r="N6" s="63" t="s">
        <v>12</v>
      </c>
      <c r="O6" s="63" t="s">
        <v>12</v>
      </c>
      <c r="P6" s="63"/>
      <c r="Q6" s="63"/>
      <c r="R6" s="63"/>
      <c r="S6" s="24"/>
      <c r="T6" s="24"/>
      <c r="U6" s="64" t="s">
        <v>12</v>
      </c>
      <c r="V6" s="64"/>
      <c r="W6" s="64" t="s">
        <v>12</v>
      </c>
      <c r="X6" s="64"/>
      <c r="Y6" s="64"/>
      <c r="Z6" s="65" t="s">
        <v>12</v>
      </c>
      <c r="AA6" s="65"/>
      <c r="AB6" s="65"/>
      <c r="AC6" s="65" t="s">
        <v>12</v>
      </c>
      <c r="AD6" s="65" t="s">
        <v>12</v>
      </c>
      <c r="AE6" s="66"/>
      <c r="AF6" s="66"/>
      <c r="AG6" s="66"/>
      <c r="AH6" s="67"/>
      <c r="AI6" s="67"/>
      <c r="AJ6" s="67"/>
      <c r="AK6" s="25">
        <f t="shared" si="0"/>
        <v>28</v>
      </c>
    </row>
    <row r="7" spans="1:37">
      <c r="A7" s="21">
        <v>4</v>
      </c>
      <c r="B7" s="21" t="s">
        <v>15</v>
      </c>
      <c r="C7" s="22">
        <v>46238</v>
      </c>
      <c r="D7" s="21" t="s">
        <v>64</v>
      </c>
      <c r="E7" s="62" t="s">
        <v>12</v>
      </c>
      <c r="F7" s="62" t="s">
        <v>12</v>
      </c>
      <c r="G7" s="62" t="s">
        <v>12</v>
      </c>
      <c r="H7" s="62" t="s">
        <v>12</v>
      </c>
      <c r="I7" s="62" t="s">
        <v>12</v>
      </c>
      <c r="J7" s="62" t="s">
        <v>12</v>
      </c>
      <c r="K7" s="62"/>
      <c r="L7" s="63"/>
      <c r="M7" s="63" t="s">
        <v>12</v>
      </c>
      <c r="N7" s="63" t="s">
        <v>12</v>
      </c>
      <c r="O7" s="63" t="s">
        <v>12</v>
      </c>
      <c r="P7" s="63"/>
      <c r="Q7" s="63"/>
      <c r="R7" s="63"/>
      <c r="S7" s="24"/>
      <c r="T7" s="24"/>
      <c r="U7" s="64"/>
      <c r="V7" s="64"/>
      <c r="W7" s="64"/>
      <c r="X7" s="64"/>
      <c r="Y7" s="64" t="s">
        <v>12</v>
      </c>
      <c r="Z7" s="65"/>
      <c r="AA7" s="65"/>
      <c r="AB7" s="65"/>
      <c r="AC7" s="65" t="s">
        <v>12</v>
      </c>
      <c r="AD7" s="65" t="s">
        <v>12</v>
      </c>
      <c r="AE7" s="66"/>
      <c r="AF7" s="66"/>
      <c r="AG7" s="66"/>
      <c r="AH7" s="67"/>
      <c r="AI7" s="67"/>
      <c r="AJ7" s="67"/>
      <c r="AK7" s="25">
        <f t="shared" si="0"/>
        <v>21</v>
      </c>
    </row>
    <row r="8" spans="1:37">
      <c r="A8" s="21">
        <v>5</v>
      </c>
      <c r="B8" s="21" t="s">
        <v>16</v>
      </c>
      <c r="C8" s="22">
        <v>46239</v>
      </c>
      <c r="D8" s="21" t="s">
        <v>62</v>
      </c>
      <c r="E8" s="62" t="s">
        <v>12</v>
      </c>
      <c r="F8" s="62" t="s">
        <v>12</v>
      </c>
      <c r="G8" s="62" t="s">
        <v>12</v>
      </c>
      <c r="H8" s="62"/>
      <c r="I8" s="62"/>
      <c r="J8" s="62"/>
      <c r="K8" s="62"/>
      <c r="L8" s="63" t="s">
        <v>12</v>
      </c>
      <c r="M8" s="63"/>
      <c r="N8" s="63" t="s">
        <v>12</v>
      </c>
      <c r="O8" s="63" t="s">
        <v>12</v>
      </c>
      <c r="P8" s="63"/>
      <c r="Q8" s="63"/>
      <c r="R8" s="63"/>
      <c r="S8" s="24"/>
      <c r="T8" s="24"/>
      <c r="U8" s="64"/>
      <c r="V8" s="64"/>
      <c r="W8" s="64"/>
      <c r="X8" s="64"/>
      <c r="Y8" s="64" t="s">
        <v>12</v>
      </c>
      <c r="Z8" s="65"/>
      <c r="AA8" s="65" t="s">
        <v>12</v>
      </c>
      <c r="AB8" s="65"/>
      <c r="AC8" s="65" t="s">
        <v>12</v>
      </c>
      <c r="AD8" s="65" t="s">
        <v>12</v>
      </c>
      <c r="AE8" s="66"/>
      <c r="AF8" s="66"/>
      <c r="AG8" s="66"/>
      <c r="AH8" s="67"/>
      <c r="AI8" s="67"/>
      <c r="AJ8" s="67"/>
      <c r="AK8" s="25">
        <f t="shared" si="0"/>
        <v>21</v>
      </c>
    </row>
    <row r="9" spans="1:37">
      <c r="A9" s="21">
        <v>6</v>
      </c>
      <c r="B9" s="21" t="s">
        <v>17</v>
      </c>
      <c r="C9" s="22">
        <v>46240</v>
      </c>
      <c r="D9" s="21" t="s">
        <v>65</v>
      </c>
      <c r="E9" s="62" t="s">
        <v>12</v>
      </c>
      <c r="F9" s="62" t="s">
        <v>12</v>
      </c>
      <c r="G9" s="62" t="s">
        <v>12</v>
      </c>
      <c r="H9" s="62"/>
      <c r="I9" s="62" t="s">
        <v>12</v>
      </c>
      <c r="J9" s="62"/>
      <c r="K9" s="62" t="s">
        <v>12</v>
      </c>
      <c r="L9" s="63"/>
      <c r="M9" s="63" t="s">
        <v>12</v>
      </c>
      <c r="N9" s="63" t="s">
        <v>12</v>
      </c>
      <c r="O9" s="63" t="s">
        <v>12</v>
      </c>
      <c r="P9" s="63"/>
      <c r="Q9" s="63"/>
      <c r="R9" s="63"/>
      <c r="S9" s="24"/>
      <c r="T9" s="24"/>
      <c r="U9" s="64"/>
      <c r="V9" s="64"/>
      <c r="W9" s="64"/>
      <c r="X9" s="64"/>
      <c r="Y9" s="64"/>
      <c r="Z9" s="65"/>
      <c r="AA9" s="65" t="s">
        <v>12</v>
      </c>
      <c r="AB9" s="65"/>
      <c r="AC9" s="65"/>
      <c r="AD9" s="65"/>
      <c r="AE9" s="66"/>
      <c r="AF9" s="66"/>
      <c r="AG9" s="66"/>
      <c r="AH9" s="67"/>
      <c r="AI9" s="67"/>
      <c r="AJ9" s="67"/>
      <c r="AK9" s="25">
        <f t="shared" si="0"/>
        <v>15</v>
      </c>
    </row>
    <row r="10" spans="1:37">
      <c r="A10" s="21">
        <v>7</v>
      </c>
      <c r="B10" s="21" t="s">
        <v>18</v>
      </c>
      <c r="C10" s="22">
        <v>46241</v>
      </c>
      <c r="D10" s="26" t="s">
        <v>62</v>
      </c>
      <c r="E10" s="62"/>
      <c r="F10" s="62"/>
      <c r="G10" s="62"/>
      <c r="H10" s="62"/>
      <c r="I10" s="62"/>
      <c r="J10" s="62"/>
      <c r="K10" s="62"/>
      <c r="L10" s="63"/>
      <c r="M10" s="63"/>
      <c r="N10" s="63"/>
      <c r="O10" s="63" t="s">
        <v>12</v>
      </c>
      <c r="P10" s="63"/>
      <c r="Q10" s="63"/>
      <c r="R10" s="63"/>
      <c r="S10" s="27"/>
      <c r="T10" s="27"/>
      <c r="U10" s="64"/>
      <c r="V10" s="64"/>
      <c r="W10" s="64"/>
      <c r="X10" s="64"/>
      <c r="Y10" s="64"/>
      <c r="Z10" s="65" t="s">
        <v>12</v>
      </c>
      <c r="AA10" s="65" t="s">
        <v>12</v>
      </c>
      <c r="AB10" s="65"/>
      <c r="AC10" s="65"/>
      <c r="AD10" s="65" t="s">
        <v>12</v>
      </c>
      <c r="AE10" s="66"/>
      <c r="AF10" s="66"/>
      <c r="AG10" s="66"/>
      <c r="AH10" s="67"/>
      <c r="AI10" s="67"/>
      <c r="AJ10" s="67"/>
      <c r="AK10" s="25">
        <f t="shared" si="0"/>
        <v>9</v>
      </c>
    </row>
    <row r="11" spans="1:37">
      <c r="A11" s="21">
        <v>8</v>
      </c>
      <c r="B11" s="21" t="s">
        <v>11</v>
      </c>
      <c r="C11" s="22">
        <v>46242</v>
      </c>
      <c r="D11" s="21" t="s">
        <v>66</v>
      </c>
      <c r="E11" s="62"/>
      <c r="F11" s="62"/>
      <c r="G11" s="62"/>
      <c r="H11" s="62"/>
      <c r="I11" s="62" t="s">
        <v>12</v>
      </c>
      <c r="J11" s="62"/>
      <c r="K11" s="62"/>
      <c r="L11" s="63"/>
      <c r="M11" s="63"/>
      <c r="N11" s="63"/>
      <c r="O11" s="63"/>
      <c r="P11" s="63"/>
      <c r="Q11" s="63"/>
      <c r="R11" s="63"/>
      <c r="S11" s="29" t="s">
        <v>12</v>
      </c>
      <c r="T11" s="29"/>
      <c r="U11" s="64"/>
      <c r="V11" s="64"/>
      <c r="W11" s="64"/>
      <c r="X11" s="64"/>
      <c r="Y11" s="64" t="s">
        <v>12</v>
      </c>
      <c r="Z11" s="65"/>
      <c r="AA11" s="65" t="s">
        <v>12</v>
      </c>
      <c r="AB11" s="65"/>
      <c r="AC11" s="65" t="s">
        <v>12</v>
      </c>
      <c r="AD11" s="65"/>
      <c r="AE11" s="66"/>
      <c r="AF11" s="66"/>
      <c r="AG11" s="66"/>
      <c r="AH11" s="67"/>
      <c r="AI11" s="67"/>
      <c r="AJ11" s="67"/>
      <c r="AK11" s="25">
        <f t="shared" si="0"/>
        <v>11</v>
      </c>
    </row>
    <row r="12" spans="1:37">
      <c r="A12" s="21">
        <v>9</v>
      </c>
      <c r="B12" s="21" t="s">
        <v>13</v>
      </c>
      <c r="C12" s="22">
        <v>46243</v>
      </c>
      <c r="D12" s="30" t="s">
        <v>67</v>
      </c>
      <c r="E12" s="62"/>
      <c r="F12" s="62" t="s">
        <v>12</v>
      </c>
      <c r="G12" s="62" t="s">
        <v>12</v>
      </c>
      <c r="H12" s="62" t="s">
        <v>12</v>
      </c>
      <c r="I12" s="62" t="s">
        <v>12</v>
      </c>
      <c r="J12" s="62" t="s">
        <v>12</v>
      </c>
      <c r="K12" s="62"/>
      <c r="L12" s="63"/>
      <c r="M12" s="63" t="s">
        <v>12</v>
      </c>
      <c r="N12" s="63"/>
      <c r="O12" s="63"/>
      <c r="P12" s="63"/>
      <c r="Q12" s="63"/>
      <c r="R12" s="63"/>
      <c r="S12" s="28"/>
      <c r="T12" s="28"/>
      <c r="U12" s="64"/>
      <c r="V12" s="64" t="s">
        <v>12</v>
      </c>
      <c r="W12" s="64"/>
      <c r="X12" s="64" t="s">
        <v>12</v>
      </c>
      <c r="Y12" s="64"/>
      <c r="Z12" s="65"/>
      <c r="AA12" s="65"/>
      <c r="AB12" s="65"/>
      <c r="AC12" s="65" t="s">
        <v>12</v>
      </c>
      <c r="AD12" s="65" t="s">
        <v>12</v>
      </c>
      <c r="AE12" s="66"/>
      <c r="AF12" s="66"/>
      <c r="AG12" s="66"/>
      <c r="AH12" s="67"/>
      <c r="AI12" s="67"/>
      <c r="AJ12" s="67"/>
      <c r="AK12" s="25">
        <f t="shared" si="0"/>
        <v>16</v>
      </c>
    </row>
    <row r="13" spans="1:37">
      <c r="A13" s="21">
        <v>10</v>
      </c>
      <c r="B13" s="21" t="s">
        <v>14</v>
      </c>
      <c r="C13" s="22">
        <v>46244</v>
      </c>
      <c r="D13" s="30" t="s">
        <v>68</v>
      </c>
      <c r="E13" s="62" t="s">
        <v>12</v>
      </c>
      <c r="F13" s="62" t="s">
        <v>12</v>
      </c>
      <c r="G13" s="62" t="s">
        <v>12</v>
      </c>
      <c r="H13" s="62"/>
      <c r="I13" s="62" t="s">
        <v>12</v>
      </c>
      <c r="J13" s="62"/>
      <c r="K13" s="62"/>
      <c r="L13" s="63"/>
      <c r="M13" s="63" t="s">
        <v>12</v>
      </c>
      <c r="N13" s="63" t="s">
        <v>12</v>
      </c>
      <c r="O13" s="63" t="s">
        <v>12</v>
      </c>
      <c r="P13" s="63"/>
      <c r="Q13" s="63"/>
      <c r="R13" s="63"/>
      <c r="S13" s="29"/>
      <c r="T13" s="29"/>
      <c r="U13" s="64"/>
      <c r="V13" s="64"/>
      <c r="W13" s="64"/>
      <c r="X13" s="64"/>
      <c r="Y13" s="64"/>
      <c r="Z13" s="65"/>
      <c r="AA13" s="65"/>
      <c r="AB13" s="65" t="s">
        <v>12</v>
      </c>
      <c r="AC13" s="65" t="s">
        <v>12</v>
      </c>
      <c r="AD13" s="65" t="s">
        <v>12</v>
      </c>
      <c r="AE13" s="66"/>
      <c r="AF13" s="66" t="s">
        <v>12</v>
      </c>
      <c r="AG13" s="66"/>
      <c r="AH13" s="67"/>
      <c r="AI13" s="67"/>
      <c r="AJ13" s="67"/>
      <c r="AK13" s="25">
        <f t="shared" si="0"/>
        <v>19</v>
      </c>
    </row>
    <row r="14" spans="1:37">
      <c r="A14" s="21">
        <v>11</v>
      </c>
      <c r="B14" s="21" t="s">
        <v>15</v>
      </c>
      <c r="C14" s="22">
        <v>46245</v>
      </c>
      <c r="D14" s="30" t="s">
        <v>70</v>
      </c>
      <c r="E14" s="62" t="s">
        <v>12</v>
      </c>
      <c r="F14" s="62" t="s">
        <v>12</v>
      </c>
      <c r="G14" s="62" t="s">
        <v>12</v>
      </c>
      <c r="H14" s="62"/>
      <c r="I14" s="62" t="s">
        <v>12</v>
      </c>
      <c r="J14" s="62" t="s">
        <v>12</v>
      </c>
      <c r="K14" s="62"/>
      <c r="L14" s="63" t="s">
        <v>12</v>
      </c>
      <c r="M14" s="63" t="s">
        <v>12</v>
      </c>
      <c r="N14" s="63" t="s">
        <v>12</v>
      </c>
      <c r="O14" s="63" t="s">
        <v>12</v>
      </c>
      <c r="P14" s="63"/>
      <c r="Q14" s="63"/>
      <c r="R14" s="63"/>
      <c r="S14" s="29"/>
      <c r="T14" s="29"/>
      <c r="U14" s="64"/>
      <c r="V14" s="64"/>
      <c r="W14" s="64"/>
      <c r="X14" s="64" t="s">
        <v>12</v>
      </c>
      <c r="Y14" s="64"/>
      <c r="Z14" s="65" t="s">
        <v>12</v>
      </c>
      <c r="AA14" s="65"/>
      <c r="AB14" s="65" t="s">
        <v>12</v>
      </c>
      <c r="AC14" s="65" t="s">
        <v>12</v>
      </c>
      <c r="AD14" s="65" t="s">
        <v>12</v>
      </c>
      <c r="AE14" s="66"/>
      <c r="AF14" s="66" t="s">
        <v>12</v>
      </c>
      <c r="AG14" s="66" t="s">
        <v>12</v>
      </c>
      <c r="AH14" s="67"/>
      <c r="AI14" s="67"/>
      <c r="AJ14" s="67"/>
      <c r="AK14" s="108">
        <f t="shared" si="0"/>
        <v>30</v>
      </c>
    </row>
    <row r="15" spans="1:37">
      <c r="A15" s="21">
        <v>12</v>
      </c>
      <c r="B15" s="21" t="s">
        <v>16</v>
      </c>
      <c r="C15" s="22">
        <v>46246</v>
      </c>
      <c r="D15" s="30" t="s">
        <v>72</v>
      </c>
      <c r="E15" s="62"/>
      <c r="F15" s="62"/>
      <c r="G15" s="62" t="s">
        <v>12</v>
      </c>
      <c r="H15" s="62"/>
      <c r="I15" s="62"/>
      <c r="J15" s="62"/>
      <c r="K15" s="62"/>
      <c r="L15" s="63" t="s">
        <v>12</v>
      </c>
      <c r="M15" s="63" t="s">
        <v>12</v>
      </c>
      <c r="N15" s="63" t="s">
        <v>12</v>
      </c>
      <c r="O15" s="63" t="s">
        <v>12</v>
      </c>
      <c r="P15" s="63"/>
      <c r="Q15" s="63"/>
      <c r="R15" s="63"/>
      <c r="S15" s="29"/>
      <c r="T15" s="29"/>
      <c r="U15" s="64"/>
      <c r="V15" s="64"/>
      <c r="W15" s="64"/>
      <c r="X15" s="64"/>
      <c r="Y15" s="64"/>
      <c r="Z15" s="65"/>
      <c r="AA15" s="65" t="s">
        <v>12</v>
      </c>
      <c r="AB15" s="65"/>
      <c r="AC15" s="65" t="s">
        <v>12</v>
      </c>
      <c r="AD15" s="65" t="s">
        <v>12</v>
      </c>
      <c r="AE15" s="66"/>
      <c r="AF15" s="66" t="s">
        <v>12</v>
      </c>
      <c r="AG15" s="66"/>
      <c r="AH15" s="67"/>
      <c r="AI15" s="67"/>
      <c r="AJ15" s="67"/>
      <c r="AK15" s="25">
        <f t="shared" si="0"/>
        <v>19</v>
      </c>
    </row>
    <row r="16" spans="1:37">
      <c r="A16" s="21">
        <v>13</v>
      </c>
      <c r="B16" s="21" t="s">
        <v>17</v>
      </c>
      <c r="C16" s="22">
        <v>46247</v>
      </c>
      <c r="D16" s="69" t="s">
        <v>73</v>
      </c>
      <c r="E16" s="70"/>
      <c r="F16" s="70"/>
      <c r="G16" s="70" t="s">
        <v>12</v>
      </c>
      <c r="H16" s="70"/>
      <c r="I16" s="70"/>
      <c r="J16" s="70"/>
      <c r="K16" s="70"/>
      <c r="L16" s="71"/>
      <c r="M16" s="71" t="s">
        <v>12</v>
      </c>
      <c r="N16" s="71" t="s">
        <v>12</v>
      </c>
      <c r="O16" s="71" t="s">
        <v>12</v>
      </c>
      <c r="P16" s="71"/>
      <c r="Q16" s="71"/>
      <c r="R16" s="71"/>
      <c r="S16" s="72"/>
      <c r="T16" s="72"/>
      <c r="U16" s="73"/>
      <c r="V16" s="73"/>
      <c r="W16" s="73"/>
      <c r="X16" s="73"/>
      <c r="Y16" s="73"/>
      <c r="Z16" s="74"/>
      <c r="AA16" s="74"/>
      <c r="AB16" s="74"/>
      <c r="AC16" s="74" t="s">
        <v>12</v>
      </c>
      <c r="AD16" s="74"/>
      <c r="AE16" s="75"/>
      <c r="AF16" s="75"/>
      <c r="AG16" s="75"/>
      <c r="AH16" s="76"/>
      <c r="AI16" s="76"/>
      <c r="AJ16" s="76"/>
      <c r="AK16" s="25">
        <f t="shared" si="0"/>
        <v>9</v>
      </c>
    </row>
    <row r="17" spans="1:37">
      <c r="A17" s="21">
        <v>14</v>
      </c>
      <c r="B17" s="21" t="s">
        <v>18</v>
      </c>
      <c r="C17" s="22">
        <v>46248</v>
      </c>
      <c r="D17" s="69" t="s">
        <v>74</v>
      </c>
      <c r="E17" s="70"/>
      <c r="F17" s="70"/>
      <c r="G17" s="70"/>
      <c r="H17" s="70"/>
      <c r="I17" s="70"/>
      <c r="J17" s="70"/>
      <c r="K17" s="70"/>
      <c r="L17" s="71"/>
      <c r="M17" s="71"/>
      <c r="N17" s="71"/>
      <c r="O17" s="71"/>
      <c r="P17" s="71"/>
      <c r="Q17" s="71"/>
      <c r="R17" s="71"/>
      <c r="S17" s="72"/>
      <c r="T17" s="72"/>
      <c r="U17" s="73"/>
      <c r="V17" s="73"/>
      <c r="W17" s="73"/>
      <c r="X17" s="73" t="s">
        <v>12</v>
      </c>
      <c r="Y17" s="73"/>
      <c r="Z17" s="74"/>
      <c r="AA17" s="74" t="s">
        <v>12</v>
      </c>
      <c r="AB17" s="74"/>
      <c r="AC17" s="74" t="s">
        <v>12</v>
      </c>
      <c r="AD17" s="74"/>
      <c r="AE17" s="75"/>
      <c r="AF17" s="75"/>
      <c r="AG17" s="75" t="s">
        <v>12</v>
      </c>
      <c r="AH17" s="76"/>
      <c r="AI17" s="76"/>
      <c r="AJ17" s="76"/>
      <c r="AK17" s="68">
        <f t="shared" si="0"/>
        <v>9</v>
      </c>
    </row>
    <row r="18" spans="1:37">
      <c r="A18" s="21">
        <v>15</v>
      </c>
      <c r="B18" s="21" t="s">
        <v>11</v>
      </c>
      <c r="C18" s="22">
        <v>46249</v>
      </c>
      <c r="D18" s="30" t="s">
        <v>75</v>
      </c>
      <c r="E18" s="62"/>
      <c r="F18" s="62"/>
      <c r="G18" s="62"/>
      <c r="H18" s="62"/>
      <c r="I18" s="62"/>
      <c r="J18" s="62"/>
      <c r="K18" s="62"/>
      <c r="L18" s="63"/>
      <c r="M18" s="63"/>
      <c r="N18" s="63"/>
      <c r="O18" s="63"/>
      <c r="P18" s="63"/>
      <c r="Q18" s="63"/>
      <c r="R18" s="63"/>
      <c r="S18" s="29" t="s">
        <v>12</v>
      </c>
      <c r="T18" s="29"/>
      <c r="U18" s="64"/>
      <c r="V18" s="64"/>
      <c r="W18" s="64"/>
      <c r="X18" s="64"/>
      <c r="Y18" s="64"/>
      <c r="Z18" s="65"/>
      <c r="AA18" s="65"/>
      <c r="AB18" s="65" t="s">
        <v>12</v>
      </c>
      <c r="AC18" s="65" t="s">
        <v>12</v>
      </c>
      <c r="AD18" s="65" t="s">
        <v>12</v>
      </c>
      <c r="AE18" s="66"/>
      <c r="AF18" s="66"/>
      <c r="AG18" s="66"/>
      <c r="AH18" s="67"/>
      <c r="AI18" s="67"/>
      <c r="AJ18" s="67"/>
      <c r="AK18" s="68">
        <f t="shared" si="0"/>
        <v>9</v>
      </c>
    </row>
    <row r="19" spans="1:37">
      <c r="A19" s="69">
        <v>16</v>
      </c>
      <c r="B19" s="69" t="s">
        <v>13</v>
      </c>
      <c r="C19" s="22">
        <v>46250</v>
      </c>
      <c r="D19" s="85" t="s">
        <v>62</v>
      </c>
      <c r="E19" s="86"/>
      <c r="F19" s="86"/>
      <c r="G19" s="86" t="s">
        <v>12</v>
      </c>
      <c r="H19" s="86"/>
      <c r="I19" s="86"/>
      <c r="J19" s="86" t="s">
        <v>12</v>
      </c>
      <c r="K19" s="86"/>
      <c r="L19" s="87"/>
      <c r="M19" s="87"/>
      <c r="N19" s="87"/>
      <c r="O19" s="87"/>
      <c r="P19" s="87"/>
      <c r="Q19" s="87"/>
      <c r="R19" s="87"/>
      <c r="S19" s="88" t="s">
        <v>12</v>
      </c>
      <c r="T19" s="88"/>
      <c r="U19" s="89"/>
      <c r="V19" s="89"/>
      <c r="W19" s="89"/>
      <c r="X19" s="89"/>
      <c r="Y19" s="89"/>
      <c r="Z19" s="90"/>
      <c r="AA19" s="90" t="s">
        <v>12</v>
      </c>
      <c r="AB19" s="90"/>
      <c r="AC19" s="90" t="s">
        <v>12</v>
      </c>
      <c r="AD19" s="90" t="s">
        <v>12</v>
      </c>
      <c r="AE19" s="91"/>
      <c r="AF19" s="91"/>
      <c r="AG19" s="91"/>
      <c r="AH19" s="92"/>
      <c r="AI19" s="92"/>
      <c r="AJ19" s="92"/>
      <c r="AK19" s="93">
        <f t="shared" si="0"/>
        <v>15</v>
      </c>
    </row>
    <row r="20" spans="1:37">
      <c r="A20" s="69">
        <v>17</v>
      </c>
      <c r="B20" s="69" t="s">
        <v>14</v>
      </c>
      <c r="C20" s="22">
        <v>46251</v>
      </c>
      <c r="D20" s="69" t="s">
        <v>66</v>
      </c>
      <c r="E20" s="70" t="s">
        <v>12</v>
      </c>
      <c r="F20" s="70" t="s">
        <v>12</v>
      </c>
      <c r="G20" s="70" t="s">
        <v>12</v>
      </c>
      <c r="H20" s="70" t="s">
        <v>12</v>
      </c>
      <c r="I20" s="70" t="s">
        <v>12</v>
      </c>
      <c r="J20" s="70" t="s">
        <v>12</v>
      </c>
      <c r="K20" s="70"/>
      <c r="L20" s="71" t="s">
        <v>12</v>
      </c>
      <c r="M20" s="71"/>
      <c r="N20" s="71" t="s">
        <v>12</v>
      </c>
      <c r="O20" s="71" t="s">
        <v>12</v>
      </c>
      <c r="P20" s="71"/>
      <c r="Q20" s="71"/>
      <c r="R20" s="71"/>
      <c r="S20" s="72"/>
      <c r="T20" s="72"/>
      <c r="U20" s="73"/>
      <c r="V20" s="73"/>
      <c r="W20" s="73"/>
      <c r="X20" s="73"/>
      <c r="Y20" s="73" t="s">
        <v>12</v>
      </c>
      <c r="Z20" s="74"/>
      <c r="AA20" s="74" t="s">
        <v>12</v>
      </c>
      <c r="AB20" s="74" t="s">
        <v>12</v>
      </c>
      <c r="AC20" s="74" t="s">
        <v>12</v>
      </c>
      <c r="AD20" s="74"/>
      <c r="AE20" s="75"/>
      <c r="AF20" s="75" t="s">
        <v>12</v>
      </c>
      <c r="AG20" s="75"/>
      <c r="AH20" s="76"/>
      <c r="AI20" s="76"/>
      <c r="AJ20" s="76"/>
      <c r="AK20" s="93">
        <f t="shared" si="0"/>
        <v>27</v>
      </c>
    </row>
    <row r="21" spans="1:37">
      <c r="A21" s="69">
        <v>18</v>
      </c>
      <c r="B21" s="69" t="s">
        <v>15</v>
      </c>
      <c r="C21" s="22">
        <v>46252</v>
      </c>
      <c r="D21" s="69" t="s">
        <v>76</v>
      </c>
      <c r="E21" s="70" t="s">
        <v>12</v>
      </c>
      <c r="F21" s="70" t="s">
        <v>12</v>
      </c>
      <c r="G21" s="70" t="s">
        <v>12</v>
      </c>
      <c r="H21" s="70" t="s">
        <v>12</v>
      </c>
      <c r="I21" s="70" t="s">
        <v>12</v>
      </c>
      <c r="J21" s="70" t="s">
        <v>12</v>
      </c>
      <c r="K21" s="70"/>
      <c r="L21" s="71"/>
      <c r="M21" s="71" t="s">
        <v>12</v>
      </c>
      <c r="N21" s="71"/>
      <c r="O21" s="71" t="s">
        <v>12</v>
      </c>
      <c r="P21" s="71"/>
      <c r="Q21" s="71"/>
      <c r="R21" s="71"/>
      <c r="S21" s="72"/>
      <c r="T21" s="72"/>
      <c r="U21" s="73" t="s">
        <v>12</v>
      </c>
      <c r="V21" s="73"/>
      <c r="W21" s="73"/>
      <c r="X21" s="73" t="s">
        <v>12</v>
      </c>
      <c r="Y21" s="73"/>
      <c r="Z21" s="74"/>
      <c r="AA21" s="74" t="s">
        <v>12</v>
      </c>
      <c r="AB21" s="74"/>
      <c r="AC21" s="74" t="s">
        <v>12</v>
      </c>
      <c r="AD21" s="74" t="s">
        <v>12</v>
      </c>
      <c r="AE21" s="75"/>
      <c r="AF21" s="75" t="s">
        <v>12</v>
      </c>
      <c r="AG21" s="75" t="s">
        <v>12</v>
      </c>
      <c r="AH21" s="76"/>
      <c r="AI21" s="76"/>
      <c r="AJ21" s="76"/>
      <c r="AK21" s="93">
        <f t="shared" si="0"/>
        <v>28</v>
      </c>
    </row>
    <row r="22" spans="1:37">
      <c r="A22" s="30">
        <v>19</v>
      </c>
      <c r="B22" s="30" t="s">
        <v>16</v>
      </c>
      <c r="C22" s="22">
        <v>46253</v>
      </c>
      <c r="D22" s="30" t="s">
        <v>62</v>
      </c>
      <c r="E22" s="62" t="s">
        <v>12</v>
      </c>
      <c r="F22" s="62" t="s">
        <v>12</v>
      </c>
      <c r="G22" s="62" t="s">
        <v>12</v>
      </c>
      <c r="H22" s="62"/>
      <c r="I22" s="62" t="s">
        <v>12</v>
      </c>
      <c r="J22" s="62"/>
      <c r="K22" s="62"/>
      <c r="L22" s="63"/>
      <c r="M22" s="63" t="s">
        <v>12</v>
      </c>
      <c r="N22" s="63"/>
      <c r="O22" s="63"/>
      <c r="P22" s="63"/>
      <c r="Q22" s="63"/>
      <c r="R22" s="63"/>
      <c r="S22" s="29"/>
      <c r="T22" s="29"/>
      <c r="U22" s="64"/>
      <c r="V22" s="64"/>
      <c r="W22" s="64"/>
      <c r="X22" s="64"/>
      <c r="Y22" s="64"/>
      <c r="Z22" s="65"/>
      <c r="AA22" s="65" t="s">
        <v>12</v>
      </c>
      <c r="AB22" s="65"/>
      <c r="AC22" s="65"/>
      <c r="AD22" s="65"/>
      <c r="AE22" s="66"/>
      <c r="AF22" s="66"/>
      <c r="AG22" s="66"/>
      <c r="AH22" s="67"/>
      <c r="AI22" s="67"/>
      <c r="AJ22" s="67"/>
      <c r="AK22" s="25">
        <f t="shared" si="0"/>
        <v>11</v>
      </c>
    </row>
    <row r="23" spans="1:37">
      <c r="A23" s="84">
        <v>20</v>
      </c>
      <c r="B23" s="84" t="s">
        <v>17</v>
      </c>
      <c r="C23" s="22">
        <v>46254</v>
      </c>
      <c r="D23" s="85" t="s">
        <v>62</v>
      </c>
      <c r="E23" s="86"/>
      <c r="F23" s="86"/>
      <c r="G23" s="86"/>
      <c r="H23" s="86"/>
      <c r="I23" s="86"/>
      <c r="J23" s="86"/>
      <c r="K23" s="86"/>
      <c r="L23" s="87"/>
      <c r="M23" s="87" t="s">
        <v>12</v>
      </c>
      <c r="N23" s="87" t="s">
        <v>12</v>
      </c>
      <c r="O23" s="87" t="s">
        <v>12</v>
      </c>
      <c r="P23" s="87"/>
      <c r="Q23" s="87"/>
      <c r="R23" s="87"/>
      <c r="S23" s="88"/>
      <c r="T23" s="88"/>
      <c r="U23" s="89"/>
      <c r="V23" s="89"/>
      <c r="W23" s="89"/>
      <c r="X23" s="89"/>
      <c r="Y23" s="89"/>
      <c r="Z23" s="90"/>
      <c r="AA23" s="90" t="s">
        <v>12</v>
      </c>
      <c r="AB23" s="90"/>
      <c r="AC23" s="90" t="s">
        <v>12</v>
      </c>
      <c r="AD23" s="90" t="s">
        <v>12</v>
      </c>
      <c r="AE23" s="91"/>
      <c r="AF23" s="91"/>
      <c r="AG23" s="91"/>
      <c r="AH23" s="92"/>
      <c r="AI23" s="92"/>
      <c r="AJ23" s="92"/>
      <c r="AK23" s="95">
        <f t="shared" si="0"/>
        <v>12</v>
      </c>
    </row>
    <row r="24" spans="1:37">
      <c r="A24" s="21">
        <v>21</v>
      </c>
      <c r="B24" s="21" t="s">
        <v>18</v>
      </c>
      <c r="C24" s="22">
        <v>46255</v>
      </c>
      <c r="D24" s="96" t="s">
        <v>62</v>
      </c>
      <c r="E24" s="97" t="s">
        <v>12</v>
      </c>
      <c r="F24" s="97" t="s">
        <v>12</v>
      </c>
      <c r="G24" s="97" t="s">
        <v>12</v>
      </c>
      <c r="H24" s="97"/>
      <c r="I24" s="97"/>
      <c r="J24" s="97"/>
      <c r="K24" s="97"/>
      <c r="L24" s="98" t="s">
        <v>12</v>
      </c>
      <c r="M24" s="98" t="s">
        <v>12</v>
      </c>
      <c r="N24" s="98" t="s">
        <v>12</v>
      </c>
      <c r="O24" s="98" t="s">
        <v>12</v>
      </c>
      <c r="P24" s="98"/>
      <c r="Q24" s="98"/>
      <c r="R24" s="98"/>
      <c r="S24" s="99"/>
      <c r="T24" s="99"/>
      <c r="U24" s="100" t="s">
        <v>12</v>
      </c>
      <c r="V24" s="100"/>
      <c r="W24" s="100"/>
      <c r="X24" s="100"/>
      <c r="Y24" s="100"/>
      <c r="Z24" s="101"/>
      <c r="AA24" s="101"/>
      <c r="AB24" s="101"/>
      <c r="AC24" s="101" t="s">
        <v>12</v>
      </c>
      <c r="AD24" s="101" t="s">
        <v>12</v>
      </c>
      <c r="AE24" s="102"/>
      <c r="AF24" s="102"/>
      <c r="AG24" s="102"/>
      <c r="AH24" s="103"/>
      <c r="AI24" s="103"/>
      <c r="AJ24" s="103"/>
      <c r="AK24" s="104">
        <f t="shared" si="0"/>
        <v>20</v>
      </c>
    </row>
    <row r="25" spans="1:37">
      <c r="A25" s="21">
        <v>22</v>
      </c>
      <c r="B25" s="21" t="s">
        <v>11</v>
      </c>
      <c r="C25" s="22">
        <v>46256</v>
      </c>
      <c r="D25" s="69" t="s">
        <v>62</v>
      </c>
      <c r="E25" s="70"/>
      <c r="F25" s="70" t="s">
        <v>12</v>
      </c>
      <c r="G25" s="70"/>
      <c r="H25" s="70"/>
      <c r="I25" s="70"/>
      <c r="J25" s="70"/>
      <c r="K25" s="70" t="s">
        <v>12</v>
      </c>
      <c r="L25" s="71" t="s">
        <v>12</v>
      </c>
      <c r="M25" s="71" t="s">
        <v>12</v>
      </c>
      <c r="N25" s="71" t="s">
        <v>12</v>
      </c>
      <c r="O25" s="71" t="s">
        <v>12</v>
      </c>
      <c r="P25" s="71"/>
      <c r="Q25" s="71"/>
      <c r="R25" s="71"/>
      <c r="S25" s="72"/>
      <c r="T25" s="72"/>
      <c r="U25" s="73"/>
      <c r="V25" s="73"/>
      <c r="W25" s="73"/>
      <c r="X25" s="73"/>
      <c r="Y25" s="73"/>
      <c r="Z25" s="74"/>
      <c r="AA25" s="74" t="s">
        <v>12</v>
      </c>
      <c r="AB25" s="74" t="s">
        <v>12</v>
      </c>
      <c r="AC25" s="74"/>
      <c r="AD25" s="74" t="s">
        <v>12</v>
      </c>
      <c r="AE25" s="75"/>
      <c r="AF25" s="75"/>
      <c r="AG25" s="75"/>
      <c r="AH25" s="76"/>
      <c r="AI25" s="76"/>
      <c r="AJ25" s="76"/>
      <c r="AK25" s="93">
        <f t="shared" si="0"/>
        <v>15</v>
      </c>
    </row>
    <row r="26" spans="1:37">
      <c r="A26" s="69">
        <v>23</v>
      </c>
      <c r="B26" s="69" t="s">
        <v>13</v>
      </c>
      <c r="C26" s="22">
        <v>46257</v>
      </c>
      <c r="D26" s="69" t="s">
        <v>62</v>
      </c>
      <c r="E26" s="70"/>
      <c r="F26" s="70"/>
      <c r="G26" s="70" t="s">
        <v>12</v>
      </c>
      <c r="H26" s="70"/>
      <c r="I26" s="70"/>
      <c r="J26" s="70"/>
      <c r="K26" s="70" t="s">
        <v>12</v>
      </c>
      <c r="L26" s="71"/>
      <c r="M26" s="71"/>
      <c r="N26" s="71" t="s">
        <v>12</v>
      </c>
      <c r="O26" s="71"/>
      <c r="P26" s="71"/>
      <c r="Q26" s="71"/>
      <c r="R26" s="71"/>
      <c r="S26" s="72" t="s">
        <v>12</v>
      </c>
      <c r="T26" s="72"/>
      <c r="U26" s="73"/>
      <c r="V26" s="73"/>
      <c r="W26" s="73"/>
      <c r="X26" s="73"/>
      <c r="Y26" s="73"/>
      <c r="Z26" s="74"/>
      <c r="AA26" s="74"/>
      <c r="AB26" s="74"/>
      <c r="AC26" s="74" t="s">
        <v>12</v>
      </c>
      <c r="AD26" s="74" t="s">
        <v>12</v>
      </c>
      <c r="AE26" s="75"/>
      <c r="AF26" s="75"/>
      <c r="AG26" s="75"/>
      <c r="AH26" s="76"/>
      <c r="AI26" s="76"/>
      <c r="AJ26" s="76"/>
      <c r="AK26" s="93">
        <f t="shared" si="0"/>
        <v>13</v>
      </c>
    </row>
    <row r="27" spans="1:37">
      <c r="A27" s="69">
        <v>24</v>
      </c>
      <c r="B27" s="69" t="s">
        <v>14</v>
      </c>
      <c r="C27" s="22">
        <v>46258</v>
      </c>
      <c r="D27" s="69" t="s">
        <v>67</v>
      </c>
      <c r="E27" s="70" t="s">
        <v>12</v>
      </c>
      <c r="F27" s="70"/>
      <c r="G27" s="70" t="s">
        <v>12</v>
      </c>
      <c r="H27" s="70" t="s">
        <v>12</v>
      </c>
      <c r="I27" s="70" t="s">
        <v>12</v>
      </c>
      <c r="J27" s="70"/>
      <c r="K27" s="70"/>
      <c r="L27" s="71" t="s">
        <v>12</v>
      </c>
      <c r="M27" s="71" t="s">
        <v>12</v>
      </c>
      <c r="N27" s="71"/>
      <c r="O27" s="71"/>
      <c r="P27" s="71"/>
      <c r="Q27" s="71"/>
      <c r="R27" s="71"/>
      <c r="S27" s="72"/>
      <c r="T27" s="72"/>
      <c r="U27" s="73"/>
      <c r="V27" s="73"/>
      <c r="W27" s="73"/>
      <c r="X27" s="73"/>
      <c r="Y27" s="73"/>
      <c r="Z27" s="74"/>
      <c r="AA27" s="74" t="s">
        <v>12</v>
      </c>
      <c r="AB27" s="74"/>
      <c r="AC27" s="74" t="s">
        <v>12</v>
      </c>
      <c r="AD27" s="74" t="s">
        <v>12</v>
      </c>
      <c r="AE27" s="75" t="s">
        <v>12</v>
      </c>
      <c r="AF27" s="75" t="s">
        <v>12</v>
      </c>
      <c r="AG27" s="75"/>
      <c r="AH27" s="76"/>
      <c r="AI27" s="76"/>
      <c r="AJ27" s="76"/>
      <c r="AK27" s="93">
        <f t="shared" si="0"/>
        <v>25</v>
      </c>
    </row>
    <row r="28" spans="1:37">
      <c r="A28" s="69">
        <v>25</v>
      </c>
      <c r="B28" s="69" t="s">
        <v>15</v>
      </c>
      <c r="C28" s="22">
        <v>46259</v>
      </c>
      <c r="D28" s="69" t="s">
        <v>62</v>
      </c>
      <c r="E28" s="70" t="s">
        <v>12</v>
      </c>
      <c r="F28" s="70" t="s">
        <v>12</v>
      </c>
      <c r="G28" s="70" t="s">
        <v>12</v>
      </c>
      <c r="H28" s="70"/>
      <c r="I28" s="70" t="s">
        <v>12</v>
      </c>
      <c r="J28" s="70" t="s">
        <v>12</v>
      </c>
      <c r="K28" s="70"/>
      <c r="L28" s="71"/>
      <c r="M28" s="71" t="s">
        <v>12</v>
      </c>
      <c r="N28" s="71" t="s">
        <v>12</v>
      </c>
      <c r="O28" s="71" t="s">
        <v>12</v>
      </c>
      <c r="P28" s="71"/>
      <c r="Q28" s="71"/>
      <c r="R28" s="71"/>
      <c r="S28" s="72"/>
      <c r="T28" s="72"/>
      <c r="U28" s="73" t="s">
        <v>12</v>
      </c>
      <c r="V28" s="73"/>
      <c r="W28" s="73"/>
      <c r="X28" s="73" t="s">
        <v>12</v>
      </c>
      <c r="Y28" s="73"/>
      <c r="Z28" s="74" t="s">
        <v>12</v>
      </c>
      <c r="AA28" s="74"/>
      <c r="AB28" s="74" t="s">
        <v>12</v>
      </c>
      <c r="AC28" s="74"/>
      <c r="AD28" s="74"/>
      <c r="AE28" s="75"/>
      <c r="AF28" s="75" t="s">
        <v>12</v>
      </c>
      <c r="AG28" s="75"/>
      <c r="AH28" s="76"/>
      <c r="AI28" s="76"/>
      <c r="AJ28" s="76"/>
      <c r="AK28" s="93">
        <f t="shared" si="0"/>
        <v>22</v>
      </c>
    </row>
    <row r="29" spans="1:37">
      <c r="A29" s="30">
        <v>26</v>
      </c>
      <c r="B29" s="30" t="s">
        <v>16</v>
      </c>
      <c r="C29" s="22">
        <v>46260</v>
      </c>
      <c r="D29" s="69" t="s">
        <v>62</v>
      </c>
      <c r="E29" s="70" t="s">
        <v>12</v>
      </c>
      <c r="F29" s="70" t="s">
        <v>12</v>
      </c>
      <c r="G29" s="70"/>
      <c r="H29" s="70"/>
      <c r="I29" s="70" t="s">
        <v>12</v>
      </c>
      <c r="J29" s="70" t="s">
        <v>12</v>
      </c>
      <c r="K29" s="70"/>
      <c r="L29" s="71" t="s">
        <v>12</v>
      </c>
      <c r="M29" s="71" t="s">
        <v>12</v>
      </c>
      <c r="N29" s="71" t="s">
        <v>12</v>
      </c>
      <c r="O29" s="71" t="s">
        <v>12</v>
      </c>
      <c r="P29" s="71"/>
      <c r="Q29" s="71"/>
      <c r="R29" s="71"/>
      <c r="S29" s="72"/>
      <c r="T29" s="72"/>
      <c r="U29" s="73"/>
      <c r="V29" s="73"/>
      <c r="W29" s="73"/>
      <c r="X29" s="73" t="s">
        <v>12</v>
      </c>
      <c r="Y29" s="73"/>
      <c r="Z29" s="74"/>
      <c r="AA29" s="74"/>
      <c r="AB29" s="74"/>
      <c r="AC29" s="74" t="s">
        <v>12</v>
      </c>
      <c r="AD29" s="74" t="s">
        <v>12</v>
      </c>
      <c r="AE29" s="75"/>
      <c r="AF29" s="75" t="s">
        <v>12</v>
      </c>
      <c r="AG29" s="75"/>
      <c r="AH29" s="76"/>
      <c r="AI29" s="76"/>
      <c r="AJ29" s="76"/>
      <c r="AK29" s="93">
        <f t="shared" si="0"/>
        <v>22</v>
      </c>
    </row>
    <row r="30" spans="1:37">
      <c r="A30" s="84">
        <v>27</v>
      </c>
      <c r="B30" s="84" t="s">
        <v>17</v>
      </c>
      <c r="C30" s="105">
        <v>46261</v>
      </c>
      <c r="D30" s="30" t="s">
        <v>62</v>
      </c>
      <c r="E30" s="62"/>
      <c r="F30" s="62"/>
      <c r="G30" s="62" t="s">
        <v>12</v>
      </c>
      <c r="H30" s="62"/>
      <c r="I30" s="62"/>
      <c r="J30" s="62"/>
      <c r="K30" s="62"/>
      <c r="L30" s="63" t="s">
        <v>12</v>
      </c>
      <c r="M30" s="63" t="s">
        <v>12</v>
      </c>
      <c r="N30" s="63"/>
      <c r="O30" s="63"/>
      <c r="P30" s="63"/>
      <c r="Q30" s="63"/>
      <c r="R30" s="63"/>
      <c r="S30" s="29"/>
      <c r="T30" s="29"/>
      <c r="U30" s="64"/>
      <c r="V30" s="64"/>
      <c r="W30" s="64"/>
      <c r="X30" s="64"/>
      <c r="Y30" s="64"/>
      <c r="Z30" s="65"/>
      <c r="AA30" s="65"/>
      <c r="AB30" s="65"/>
      <c r="AC30" s="65" t="s">
        <v>12</v>
      </c>
      <c r="AD30" s="65"/>
      <c r="AE30" s="66"/>
      <c r="AF30" s="66"/>
      <c r="AG30" s="66"/>
      <c r="AH30" s="67"/>
      <c r="AI30" s="67"/>
      <c r="AJ30" s="67"/>
      <c r="AK30" s="25">
        <f t="shared" si="0"/>
        <v>9</v>
      </c>
    </row>
    <row r="31" spans="1:37">
      <c r="A31" s="21">
        <v>28</v>
      </c>
      <c r="B31" s="21" t="s">
        <v>18</v>
      </c>
      <c r="C31" s="22">
        <v>46262</v>
      </c>
      <c r="D31" s="84" t="s">
        <v>62</v>
      </c>
      <c r="E31" s="77" t="s">
        <v>12</v>
      </c>
      <c r="F31" s="77" t="s">
        <v>12</v>
      </c>
      <c r="G31" s="77" t="s">
        <v>12</v>
      </c>
      <c r="H31" s="77"/>
      <c r="I31" s="77"/>
      <c r="J31" s="77"/>
      <c r="K31" s="77"/>
      <c r="L31" s="78"/>
      <c r="M31" s="78" t="s">
        <v>12</v>
      </c>
      <c r="N31" s="78" t="s">
        <v>12</v>
      </c>
      <c r="O31" s="78" t="s">
        <v>12</v>
      </c>
      <c r="P31" s="78"/>
      <c r="Q31" s="78"/>
      <c r="R31" s="78"/>
      <c r="S31" s="79"/>
      <c r="T31" s="79"/>
      <c r="U31" s="80"/>
      <c r="V31" s="80"/>
      <c r="W31" s="80"/>
      <c r="X31" s="80"/>
      <c r="Y31" s="80"/>
      <c r="Z31" s="81"/>
      <c r="AA31" s="81"/>
      <c r="AB31" s="81"/>
      <c r="AC31" s="81" t="s">
        <v>12</v>
      </c>
      <c r="AD31" s="81" t="s">
        <v>12</v>
      </c>
      <c r="AE31" s="82"/>
      <c r="AF31" s="82"/>
      <c r="AG31" s="82"/>
      <c r="AH31" s="83"/>
      <c r="AI31" s="83"/>
      <c r="AJ31" s="83"/>
      <c r="AK31" s="94">
        <f t="shared" si="0"/>
        <v>15</v>
      </c>
    </row>
    <row r="32" spans="1:37">
      <c r="A32" s="21">
        <v>29</v>
      </c>
      <c r="B32" s="21" t="s">
        <v>11</v>
      </c>
      <c r="C32" s="22">
        <v>46263</v>
      </c>
      <c r="D32" s="30" t="s">
        <v>62</v>
      </c>
      <c r="E32" s="62"/>
      <c r="F32" s="62"/>
      <c r="G32" s="62" t="s">
        <v>12</v>
      </c>
      <c r="H32" s="62"/>
      <c r="I32" s="62" t="s">
        <v>12</v>
      </c>
      <c r="J32" s="62" t="s">
        <v>12</v>
      </c>
      <c r="K32" s="62"/>
      <c r="L32" s="63"/>
      <c r="M32" s="63"/>
      <c r="N32" s="63"/>
      <c r="O32" s="63"/>
      <c r="P32" s="63"/>
      <c r="Q32" s="63"/>
      <c r="R32" s="63"/>
      <c r="S32" s="29"/>
      <c r="T32" s="29"/>
      <c r="U32" s="64"/>
      <c r="V32" s="64"/>
      <c r="W32" s="64"/>
      <c r="X32" s="64"/>
      <c r="Y32" s="64"/>
      <c r="Z32" s="65" t="s">
        <v>12</v>
      </c>
      <c r="AA32" s="65"/>
      <c r="AB32" s="65"/>
      <c r="AC32" s="65" t="s">
        <v>12</v>
      </c>
      <c r="AD32" s="65" t="s">
        <v>12</v>
      </c>
      <c r="AE32" s="66"/>
      <c r="AF32" s="66"/>
      <c r="AG32" s="66"/>
      <c r="AH32" s="67"/>
      <c r="AI32" s="67"/>
      <c r="AJ32" s="67"/>
      <c r="AK32" s="25">
        <f t="shared" si="0"/>
        <v>13</v>
      </c>
    </row>
    <row r="33" spans="1:37">
      <c r="A33" s="21">
        <v>30</v>
      </c>
      <c r="B33" s="21" t="s">
        <v>13</v>
      </c>
      <c r="C33" s="22">
        <v>46264</v>
      </c>
      <c r="D33" s="30" t="s">
        <v>62</v>
      </c>
      <c r="E33" s="62"/>
      <c r="F33" s="62"/>
      <c r="G33" s="62" t="s">
        <v>12</v>
      </c>
      <c r="H33" s="62"/>
      <c r="I33" s="62"/>
      <c r="J33" s="62"/>
      <c r="K33" s="62" t="s">
        <v>12</v>
      </c>
      <c r="L33" s="63"/>
      <c r="M33" s="63"/>
      <c r="N33" s="63"/>
      <c r="O33" s="63"/>
      <c r="P33" s="63"/>
      <c r="Q33" s="63"/>
      <c r="R33" s="63"/>
      <c r="S33" s="29"/>
      <c r="T33" s="29"/>
      <c r="U33" s="64"/>
      <c r="V33" s="64"/>
      <c r="W33" s="64"/>
      <c r="X33" s="64"/>
      <c r="Y33" s="64"/>
      <c r="Z33" s="65"/>
      <c r="AA33" s="65"/>
      <c r="AB33" s="65"/>
      <c r="AC33" s="65"/>
      <c r="AD33" s="65"/>
      <c r="AE33" s="66"/>
      <c r="AF33" s="66"/>
      <c r="AG33" s="66"/>
      <c r="AH33" s="67"/>
      <c r="AI33" s="67"/>
      <c r="AJ33" s="67"/>
      <c r="AK33" s="109">
        <f t="shared" si="0"/>
        <v>3</v>
      </c>
    </row>
    <row r="34" spans="1:37">
      <c r="A34" s="21">
        <v>31</v>
      </c>
      <c r="B34" s="21" t="s">
        <v>14</v>
      </c>
      <c r="C34" s="22">
        <v>46265</v>
      </c>
      <c r="D34" s="30" t="s">
        <v>62</v>
      </c>
      <c r="E34" s="62"/>
      <c r="F34" s="62"/>
      <c r="G34" s="62"/>
      <c r="H34" s="62"/>
      <c r="I34" s="62"/>
      <c r="J34" s="62"/>
      <c r="K34" s="62"/>
      <c r="L34" s="63" t="s">
        <v>12</v>
      </c>
      <c r="M34" s="63"/>
      <c r="N34" s="63" t="s">
        <v>12</v>
      </c>
      <c r="O34" s="63"/>
      <c r="P34" s="63"/>
      <c r="Q34" s="63"/>
      <c r="R34" s="63"/>
      <c r="S34" s="29"/>
      <c r="T34" s="29"/>
      <c r="U34" s="64"/>
      <c r="V34" s="64"/>
      <c r="W34" s="64"/>
      <c r="X34" s="64"/>
      <c r="Y34" s="64"/>
      <c r="Z34" s="65"/>
      <c r="AA34" s="65"/>
      <c r="AB34" s="65"/>
      <c r="AC34" s="65"/>
      <c r="AD34" s="65" t="s">
        <v>12</v>
      </c>
      <c r="AE34" s="66"/>
      <c r="AF34" s="66"/>
      <c r="AG34" s="66"/>
      <c r="AH34" s="67"/>
      <c r="AI34" s="67"/>
      <c r="AJ34" s="67"/>
      <c r="AK34" s="25">
        <f t="shared" si="0"/>
        <v>7</v>
      </c>
    </row>
    <row r="35" spans="1:37" ht="30" customHeight="1">
      <c r="A35" s="132" t="s">
        <v>77</v>
      </c>
      <c r="B35" s="133"/>
      <c r="C35" s="133"/>
      <c r="D35" s="134"/>
      <c r="E35" s="106">
        <f>COUNTA(E4:E34)</f>
        <v>14</v>
      </c>
      <c r="F35" s="106">
        <f t="shared" ref="F35:AJ35" si="1">COUNTA(F4:F34)</f>
        <v>15</v>
      </c>
      <c r="G35" s="106">
        <f t="shared" si="1"/>
        <v>22</v>
      </c>
      <c r="H35" s="106">
        <f t="shared" si="1"/>
        <v>7</v>
      </c>
      <c r="I35" s="106">
        <f t="shared" si="1"/>
        <v>16</v>
      </c>
      <c r="J35" s="106">
        <f t="shared" si="1"/>
        <v>12</v>
      </c>
      <c r="K35" s="106">
        <f t="shared" si="1"/>
        <v>5</v>
      </c>
      <c r="L35" s="63">
        <f t="shared" si="1"/>
        <v>10</v>
      </c>
      <c r="M35" s="63">
        <f t="shared" si="1"/>
        <v>18</v>
      </c>
      <c r="N35" s="63">
        <f t="shared" si="1"/>
        <v>17</v>
      </c>
      <c r="O35" s="63">
        <f t="shared" si="1"/>
        <v>17</v>
      </c>
      <c r="P35" s="63">
        <f t="shared" si="1"/>
        <v>0</v>
      </c>
      <c r="Q35" s="63">
        <f t="shared" si="1"/>
        <v>0</v>
      </c>
      <c r="R35" s="63">
        <f t="shared" si="1"/>
        <v>0</v>
      </c>
      <c r="S35" s="29">
        <f t="shared" si="1"/>
        <v>4</v>
      </c>
      <c r="T35" s="29">
        <f t="shared" si="1"/>
        <v>0</v>
      </c>
      <c r="U35" s="64">
        <f t="shared" si="1"/>
        <v>4</v>
      </c>
      <c r="V35" s="64">
        <f t="shared" si="1"/>
        <v>1</v>
      </c>
      <c r="W35" s="64">
        <f t="shared" si="1"/>
        <v>1</v>
      </c>
      <c r="X35" s="64">
        <f t="shared" si="1"/>
        <v>7</v>
      </c>
      <c r="Y35" s="64">
        <f t="shared" si="1"/>
        <v>4</v>
      </c>
      <c r="Z35" s="65">
        <f t="shared" si="1"/>
        <v>5</v>
      </c>
      <c r="AA35" s="65">
        <f t="shared" si="1"/>
        <v>13</v>
      </c>
      <c r="AB35" s="65">
        <f t="shared" si="1"/>
        <v>6</v>
      </c>
      <c r="AC35" s="65">
        <f t="shared" si="1"/>
        <v>22</v>
      </c>
      <c r="AD35" s="65">
        <f t="shared" si="1"/>
        <v>20</v>
      </c>
      <c r="AE35" s="66">
        <f t="shared" si="1"/>
        <v>1</v>
      </c>
      <c r="AF35" s="66">
        <f t="shared" si="1"/>
        <v>8</v>
      </c>
      <c r="AG35" s="66">
        <f t="shared" si="1"/>
        <v>3</v>
      </c>
      <c r="AH35" s="67">
        <f t="shared" si="1"/>
        <v>0</v>
      </c>
      <c r="AI35" s="67">
        <f t="shared" si="1"/>
        <v>0</v>
      </c>
      <c r="AJ35" s="67">
        <f t="shared" si="1"/>
        <v>0</v>
      </c>
      <c r="AK35" s="25"/>
    </row>
    <row r="36" spans="1:37" ht="30" customHeight="1">
      <c r="AG36" s="129" t="s">
        <v>78</v>
      </c>
      <c r="AH36" s="130"/>
      <c r="AI36" s="130"/>
      <c r="AJ36" s="131"/>
      <c r="AK36" s="107">
        <f>ROUND(AVERAGE(AK4:AK34),0)</f>
        <v>16</v>
      </c>
    </row>
    <row r="37" spans="1:37" ht="30" customHeight="1">
      <c r="AG37" s="129" t="s">
        <v>79</v>
      </c>
      <c r="AH37" s="130"/>
      <c r="AI37" s="130"/>
      <c r="AJ37" s="131"/>
      <c r="AK37" s="107">
        <f>MAX(AK4:AK34)</f>
        <v>30</v>
      </c>
    </row>
    <row r="38" spans="1:37" ht="30" customHeight="1">
      <c r="AG38" s="129" t="s">
        <v>80</v>
      </c>
      <c r="AH38" s="130"/>
      <c r="AI38" s="130"/>
      <c r="AJ38" s="131"/>
      <c r="AK38" s="107">
        <f>MIN(AK4:AK34)</f>
        <v>3</v>
      </c>
    </row>
    <row r="39" spans="1:37" ht="30" customHeight="1">
      <c r="AG39" s="129" t="s">
        <v>81</v>
      </c>
      <c r="AH39" s="130"/>
      <c r="AI39" s="130"/>
      <c r="AJ39" s="131"/>
      <c r="AK39" s="107">
        <f>COUNTIF(AK4:AK34, "&gt;"&amp;AK36)</f>
        <v>12</v>
      </c>
    </row>
    <row r="40" spans="1:37" ht="30" customHeight="1">
      <c r="AG40" s="129" t="s">
        <v>82</v>
      </c>
      <c r="AH40" s="130"/>
      <c r="AI40" s="130"/>
      <c r="AJ40" s="131"/>
      <c r="AK40" s="107">
        <f>COUNTIF(AK4:AK34, "&lt;"&amp;AK36)</f>
        <v>18</v>
      </c>
    </row>
    <row r="41" spans="1:37" ht="30" customHeight="1">
      <c r="AG41" s="129" t="s">
        <v>83</v>
      </c>
      <c r="AH41" s="130"/>
      <c r="AI41" s="130"/>
      <c r="AJ41" s="131"/>
      <c r="AK41" s="107">
        <f>COUNTIF(AK4:AK34, "&gt;"&amp;20)</f>
        <v>9</v>
      </c>
    </row>
    <row r="42" spans="1:37" ht="30" customHeight="1">
      <c r="AG42" s="129" t="s">
        <v>84</v>
      </c>
      <c r="AH42" s="130"/>
      <c r="AI42" s="130"/>
      <c r="AJ42" s="131"/>
      <c r="AK42" s="107">
        <f>COUNTIF(AK4:AK34, "&lt;"&amp;20)</f>
        <v>21</v>
      </c>
    </row>
    <row r="43" spans="1:37" ht="30" customHeight="1"/>
    <row r="44" spans="1:37" ht="30" customHeight="1"/>
    <row r="45" spans="1:37" ht="30" customHeight="1"/>
  </sheetData>
  <mergeCells count="17">
    <mergeCell ref="AE1:AG1"/>
    <mergeCell ref="AH1:AJ1"/>
    <mergeCell ref="AK1:AK3"/>
    <mergeCell ref="A1:C2"/>
    <mergeCell ref="E1:K1"/>
    <mergeCell ref="L1:R1"/>
    <mergeCell ref="S1:T1"/>
    <mergeCell ref="U1:Y1"/>
    <mergeCell ref="Z1:AD1"/>
    <mergeCell ref="AG40:AJ40"/>
    <mergeCell ref="AG41:AJ41"/>
    <mergeCell ref="AG42:AJ42"/>
    <mergeCell ref="A35:D35"/>
    <mergeCell ref="AG36:AJ36"/>
    <mergeCell ref="AG37:AJ37"/>
    <mergeCell ref="AG38:AJ38"/>
    <mergeCell ref="AG39:AJ39"/>
  </mergeCells>
  <conditionalFormatting sqref="E4:AJ34">
    <cfRule type="expression" dxfId="13" priority="7">
      <formula>E4="+"</formula>
    </cfRule>
  </conditionalFormatting>
  <conditionalFormatting sqref="L35:R35">
    <cfRule type="expression" dxfId="12" priority="6">
      <formula>L35="+"</formula>
    </cfRule>
  </conditionalFormatting>
  <conditionalFormatting sqref="S35:T35">
    <cfRule type="expression" dxfId="11" priority="5">
      <formula>S35="+"</formula>
    </cfRule>
  </conditionalFormatting>
  <conditionalFormatting sqref="U35:Y35">
    <cfRule type="expression" dxfId="10" priority="4">
      <formula>U35="+"</formula>
    </cfRule>
  </conditionalFormatting>
  <conditionalFormatting sqref="Z35:AD35">
    <cfRule type="expression" dxfId="9" priority="3">
      <formula>Z35="+"</formula>
    </cfRule>
  </conditionalFormatting>
  <conditionalFormatting sqref="AE35:AG35">
    <cfRule type="expression" dxfId="8" priority="2">
      <formula>AE35="+"</formula>
    </cfRule>
  </conditionalFormatting>
  <conditionalFormatting sqref="AH35:AJ35">
    <cfRule type="expression" dxfId="7" priority="1">
      <formula>AH35="+"</formula>
    </cfRule>
  </conditionalFormatting>
  <pageMargins left="0.75" right="0.75" top="1" bottom="1" header="0.5" footer="0.5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44"/>
  <sheetViews>
    <sheetView zoomScale="80" zoomScaleNormal="80" workbookViewId="0">
      <pane xSplit="4" ySplit="33" topLeftCell="E34" activePane="bottomRight" state="frozen"/>
      <selection pane="topRight" activeCell="E1" sqref="E1"/>
      <selection pane="bottomLeft" activeCell="A35" sqref="A35"/>
      <selection pane="bottomRight" activeCell="M24" sqref="M24"/>
    </sheetView>
  </sheetViews>
  <sheetFormatPr defaultColWidth="9" defaultRowHeight="15"/>
  <cols>
    <col min="1" max="3" width="15.7109375" style="3" customWidth="1"/>
    <col min="4" max="4" width="26" style="3" customWidth="1"/>
    <col min="5" max="6" width="15.7109375" style="3" customWidth="1"/>
    <col min="7" max="7" width="21.140625" style="3" customWidth="1"/>
    <col min="8" max="11" width="15.7109375" style="3" customWidth="1"/>
    <col min="12" max="12" width="20.28515625" style="3" customWidth="1"/>
    <col min="13" max="13" width="20.42578125" style="3" customWidth="1"/>
    <col min="14" max="14" width="33.42578125" style="3" customWidth="1"/>
    <col min="15" max="15" width="26.7109375" style="3" customWidth="1"/>
    <col min="16" max="16" width="25.85546875" style="3" customWidth="1"/>
    <col min="17" max="17" width="21.140625" style="3" customWidth="1"/>
    <col min="18" max="20" width="15.7109375" style="3" customWidth="1"/>
    <col min="21" max="21" width="23.7109375" style="3" customWidth="1"/>
    <col min="22" max="22" width="21.5703125" style="3" customWidth="1"/>
    <col min="23" max="25" width="15.7109375" style="3" customWidth="1"/>
    <col min="26" max="26" width="21.42578125" style="3" customWidth="1"/>
    <col min="27" max="27" width="15.7109375" style="3" customWidth="1"/>
    <col min="28" max="28" width="27.140625" style="3" customWidth="1"/>
    <col min="29" max="29" width="15.7109375" style="3" customWidth="1"/>
    <col min="30" max="30" width="29.28515625" style="3" customWidth="1"/>
    <col min="31" max="31" width="24.42578125" style="3" customWidth="1"/>
    <col min="32" max="32" width="33.7109375" style="3" customWidth="1"/>
    <col min="33" max="33" width="34.28515625" style="3" customWidth="1"/>
    <col min="34" max="36" width="15.7109375" style="3" customWidth="1"/>
    <col min="37" max="37" width="24.5703125" style="3" customWidth="1"/>
    <col min="38" max="38" width="20.7109375" style="3" customWidth="1"/>
    <col min="39" max="16384" width="9" style="3"/>
  </cols>
  <sheetData>
    <row r="1" spans="1:37" s="1" customFormat="1" ht="30" customHeight="1">
      <c r="A1" s="140"/>
      <c r="B1" s="141"/>
      <c r="C1" s="142"/>
      <c r="D1" s="4" t="s">
        <v>36</v>
      </c>
      <c r="E1" s="146" t="s">
        <v>37</v>
      </c>
      <c r="F1" s="146"/>
      <c r="G1" s="146"/>
      <c r="H1" s="146"/>
      <c r="I1" s="146"/>
      <c r="J1" s="146"/>
      <c r="K1" s="146"/>
      <c r="L1" s="147" t="s">
        <v>38</v>
      </c>
      <c r="M1" s="147"/>
      <c r="N1" s="147"/>
      <c r="O1" s="147"/>
      <c r="P1" s="147"/>
      <c r="Q1" s="147"/>
      <c r="R1" s="153" t="s">
        <v>39</v>
      </c>
      <c r="S1" s="154"/>
      <c r="T1" s="155"/>
      <c r="U1" s="149" t="s">
        <v>40</v>
      </c>
      <c r="V1" s="150"/>
      <c r="W1" s="150"/>
      <c r="X1" s="150"/>
      <c r="Y1" s="151"/>
      <c r="Z1" s="152" t="s">
        <v>41</v>
      </c>
      <c r="AA1" s="152"/>
      <c r="AB1" s="152"/>
      <c r="AC1" s="152"/>
      <c r="AD1" s="152"/>
      <c r="AE1" s="135" t="s">
        <v>42</v>
      </c>
      <c r="AF1" s="135"/>
      <c r="AG1" s="135"/>
      <c r="AH1" s="136" t="s">
        <v>43</v>
      </c>
      <c r="AI1" s="136"/>
      <c r="AJ1" s="136"/>
      <c r="AK1" s="137" t="s">
        <v>35</v>
      </c>
    </row>
    <row r="2" spans="1:37" s="2" customFormat="1" ht="45" customHeight="1">
      <c r="A2" s="143"/>
      <c r="B2" s="144"/>
      <c r="C2" s="145"/>
      <c r="D2" s="5" t="s">
        <v>44</v>
      </c>
      <c r="E2" s="6" t="s">
        <v>45</v>
      </c>
      <c r="F2" s="6" t="s">
        <v>46</v>
      </c>
      <c r="G2" s="6" t="s">
        <v>22</v>
      </c>
      <c r="H2" s="6" t="s">
        <v>4</v>
      </c>
      <c r="I2" s="6" t="s">
        <v>24</v>
      </c>
      <c r="J2" s="6" t="s">
        <v>25</v>
      </c>
      <c r="K2" s="6" t="s">
        <v>23</v>
      </c>
      <c r="L2" s="7" t="s">
        <v>26</v>
      </c>
      <c r="M2" s="7" t="s">
        <v>47</v>
      </c>
      <c r="N2" s="7" t="s">
        <v>48</v>
      </c>
      <c r="O2" s="7" t="s">
        <v>29</v>
      </c>
      <c r="P2" s="7" t="s">
        <v>85</v>
      </c>
      <c r="Q2" s="7" t="s">
        <v>51</v>
      </c>
      <c r="R2" s="8" t="s">
        <v>52</v>
      </c>
      <c r="S2" s="8" t="s">
        <v>7</v>
      </c>
      <c r="T2" s="8" t="s">
        <v>86</v>
      </c>
      <c r="U2" s="9" t="s">
        <v>53</v>
      </c>
      <c r="V2" s="9" t="s">
        <v>54</v>
      </c>
      <c r="W2" s="9" t="s">
        <v>4</v>
      </c>
      <c r="X2" s="9" t="s">
        <v>55</v>
      </c>
      <c r="Y2" s="9" t="s">
        <v>56</v>
      </c>
      <c r="Z2" s="10" t="s">
        <v>57</v>
      </c>
      <c r="AA2" s="10" t="s">
        <v>58</v>
      </c>
      <c r="AB2" s="10" t="s">
        <v>59</v>
      </c>
      <c r="AC2" s="10" t="s">
        <v>33</v>
      </c>
      <c r="AD2" s="10" t="s">
        <v>60</v>
      </c>
      <c r="AE2" s="11" t="s">
        <v>91</v>
      </c>
      <c r="AF2" s="11" t="s">
        <v>88</v>
      </c>
      <c r="AG2" s="11" t="s">
        <v>89</v>
      </c>
      <c r="AH2" s="12" t="s">
        <v>90</v>
      </c>
      <c r="AI2" s="12"/>
      <c r="AJ2" s="12"/>
      <c r="AK2" s="138"/>
    </row>
    <row r="3" spans="1:37">
      <c r="A3" s="13" t="s">
        <v>1</v>
      </c>
      <c r="B3" s="13" t="s">
        <v>2</v>
      </c>
      <c r="C3" s="13" t="s">
        <v>3</v>
      </c>
      <c r="D3" s="13" t="s">
        <v>63</v>
      </c>
      <c r="E3" s="14">
        <v>2</v>
      </c>
      <c r="F3" s="14">
        <v>1</v>
      </c>
      <c r="G3" s="14">
        <v>1</v>
      </c>
      <c r="H3" s="14">
        <v>2</v>
      </c>
      <c r="I3" s="14">
        <v>1</v>
      </c>
      <c r="J3" s="14">
        <v>2</v>
      </c>
      <c r="K3" s="14">
        <v>1</v>
      </c>
      <c r="L3" s="15">
        <v>3</v>
      </c>
      <c r="M3" s="15">
        <v>1</v>
      </c>
      <c r="N3" s="15">
        <v>2</v>
      </c>
      <c r="O3" s="15">
        <v>1</v>
      </c>
      <c r="P3" s="15">
        <v>3</v>
      </c>
      <c r="Q3" s="15">
        <v>3</v>
      </c>
      <c r="R3" s="16">
        <v>3</v>
      </c>
      <c r="S3" s="16">
        <v>3</v>
      </c>
      <c r="T3" s="16">
        <v>3</v>
      </c>
      <c r="U3" s="17">
        <v>2</v>
      </c>
      <c r="V3" s="17">
        <v>2</v>
      </c>
      <c r="W3" s="17">
        <v>2</v>
      </c>
      <c r="X3" s="17">
        <v>1</v>
      </c>
      <c r="Y3" s="17">
        <v>2</v>
      </c>
      <c r="Z3" s="18">
        <v>3</v>
      </c>
      <c r="AA3" s="18">
        <v>2</v>
      </c>
      <c r="AB3" s="18">
        <v>1</v>
      </c>
      <c r="AC3" s="18">
        <v>2</v>
      </c>
      <c r="AD3" s="18">
        <v>1</v>
      </c>
      <c r="AE3" s="19">
        <v>3</v>
      </c>
      <c r="AF3" s="19">
        <v>2</v>
      </c>
      <c r="AG3" s="19">
        <v>3</v>
      </c>
      <c r="AH3" s="20">
        <v>2</v>
      </c>
      <c r="AI3" s="20">
        <v>2</v>
      </c>
      <c r="AJ3" s="20">
        <v>1</v>
      </c>
      <c r="AK3" s="139"/>
    </row>
    <row r="4" spans="1:37">
      <c r="A4" s="30">
        <v>1</v>
      </c>
      <c r="B4" s="30" t="s">
        <v>15</v>
      </c>
      <c r="C4" s="22">
        <v>46266</v>
      </c>
      <c r="D4" s="30" t="s">
        <v>62</v>
      </c>
      <c r="E4" s="62" t="s">
        <v>12</v>
      </c>
      <c r="F4" s="62" t="s">
        <v>12</v>
      </c>
      <c r="G4" s="62" t="s">
        <v>12</v>
      </c>
      <c r="H4" s="62" t="s">
        <v>12</v>
      </c>
      <c r="I4" s="62"/>
      <c r="J4" s="62"/>
      <c r="K4" s="62"/>
      <c r="L4" s="63" t="s">
        <v>12</v>
      </c>
      <c r="M4" s="63" t="s">
        <v>12</v>
      </c>
      <c r="N4" s="63" t="s">
        <v>12</v>
      </c>
      <c r="O4" s="63" t="s">
        <v>12</v>
      </c>
      <c r="P4" s="63"/>
      <c r="Q4" s="63"/>
      <c r="R4" s="24"/>
      <c r="S4" s="24"/>
      <c r="T4" s="24"/>
      <c r="U4" s="64"/>
      <c r="V4" s="64"/>
      <c r="W4" s="64"/>
      <c r="X4" s="64"/>
      <c r="Y4" s="64"/>
      <c r="Z4" s="65" t="s">
        <v>12</v>
      </c>
      <c r="AA4" s="65"/>
      <c r="AB4" s="65"/>
      <c r="AC4" s="65" t="s">
        <v>12</v>
      </c>
      <c r="AD4" s="65" t="s">
        <v>12</v>
      </c>
      <c r="AE4" s="66"/>
      <c r="AF4" s="66"/>
      <c r="AG4" s="66"/>
      <c r="AH4" s="67"/>
      <c r="AI4" s="67"/>
      <c r="AJ4" s="67"/>
      <c r="AK4" s="25">
        <f t="shared" ref="AK4:AK33" si="0">SUMIF(E4:AJ4,"&lt;&gt;",$E$3:$AJ$3)</f>
        <v>19</v>
      </c>
    </row>
    <row r="5" spans="1:37">
      <c r="A5" s="30">
        <v>2</v>
      </c>
      <c r="B5" s="30" t="s">
        <v>16</v>
      </c>
      <c r="C5" s="22">
        <v>46267</v>
      </c>
      <c r="D5" s="30" t="s">
        <v>87</v>
      </c>
      <c r="E5" s="62"/>
      <c r="F5" s="62"/>
      <c r="G5" s="62"/>
      <c r="H5" s="62"/>
      <c r="I5" s="62"/>
      <c r="J5" s="62"/>
      <c r="K5" s="62"/>
      <c r="L5" s="63"/>
      <c r="M5" s="63" t="s">
        <v>12</v>
      </c>
      <c r="N5" s="63"/>
      <c r="O5" s="63" t="s">
        <v>12</v>
      </c>
      <c r="P5" s="63"/>
      <c r="Q5" s="63"/>
      <c r="R5" s="24"/>
      <c r="S5" s="24"/>
      <c r="T5" s="24"/>
      <c r="U5" s="64"/>
      <c r="V5" s="64"/>
      <c r="W5" s="64"/>
      <c r="X5" s="64"/>
      <c r="Y5" s="64"/>
      <c r="Z5" s="65"/>
      <c r="AA5" s="65"/>
      <c r="AB5" s="65"/>
      <c r="AC5" s="65"/>
      <c r="AD5" s="65" t="s">
        <v>12</v>
      </c>
      <c r="AE5" s="66"/>
      <c r="AF5" s="66"/>
      <c r="AG5" s="66"/>
      <c r="AH5" s="67"/>
      <c r="AI5" s="67"/>
      <c r="AJ5" s="67"/>
      <c r="AK5" s="25">
        <f t="shared" si="0"/>
        <v>3</v>
      </c>
    </row>
    <row r="6" spans="1:37">
      <c r="A6" s="30">
        <v>3</v>
      </c>
      <c r="B6" s="30" t="s">
        <v>17</v>
      </c>
      <c r="C6" s="22">
        <v>46268</v>
      </c>
      <c r="D6" s="30" t="s">
        <v>62</v>
      </c>
      <c r="E6" s="62"/>
      <c r="F6" s="62"/>
      <c r="G6" s="62" t="s">
        <v>12</v>
      </c>
      <c r="H6" s="62"/>
      <c r="I6" s="62"/>
      <c r="J6" s="62"/>
      <c r="K6" s="62"/>
      <c r="L6" s="63" t="s">
        <v>12</v>
      </c>
      <c r="M6" s="63" t="s">
        <v>12</v>
      </c>
      <c r="N6" s="63" t="s">
        <v>12</v>
      </c>
      <c r="O6" s="63"/>
      <c r="P6" s="63" t="s">
        <v>12</v>
      </c>
      <c r="Q6" s="63"/>
      <c r="R6" s="24"/>
      <c r="S6" s="24"/>
      <c r="T6" s="24"/>
      <c r="U6" s="64"/>
      <c r="V6" s="64"/>
      <c r="W6" s="64"/>
      <c r="X6" s="64"/>
      <c r="Y6" s="64"/>
      <c r="Z6" s="65"/>
      <c r="AA6" s="65"/>
      <c r="AB6" s="65"/>
      <c r="AC6" s="65"/>
      <c r="AD6" s="65" t="s">
        <v>12</v>
      </c>
      <c r="AE6" s="66"/>
      <c r="AF6" s="66"/>
      <c r="AG6" s="66"/>
      <c r="AH6" s="67" t="s">
        <v>12</v>
      </c>
      <c r="AI6" s="67"/>
      <c r="AJ6" s="67"/>
      <c r="AK6" s="25">
        <f t="shared" si="0"/>
        <v>13</v>
      </c>
    </row>
    <row r="7" spans="1:37">
      <c r="A7" s="30">
        <v>4</v>
      </c>
      <c r="B7" s="30" t="s">
        <v>18</v>
      </c>
      <c r="C7" s="22">
        <v>46269</v>
      </c>
      <c r="D7" s="30" t="s">
        <v>62</v>
      </c>
      <c r="E7" s="62"/>
      <c r="F7" s="62"/>
      <c r="G7" s="62"/>
      <c r="H7" s="62"/>
      <c r="I7" s="62"/>
      <c r="J7" s="62"/>
      <c r="K7" s="62"/>
      <c r="L7" s="63" t="s">
        <v>12</v>
      </c>
      <c r="M7" s="63" t="s">
        <v>12</v>
      </c>
      <c r="N7" s="63" t="s">
        <v>12</v>
      </c>
      <c r="O7" s="63" t="s">
        <v>12</v>
      </c>
      <c r="P7" s="63" t="s">
        <v>12</v>
      </c>
      <c r="Q7" s="63"/>
      <c r="R7" s="24"/>
      <c r="S7" s="24"/>
      <c r="T7" s="24"/>
      <c r="U7" s="64"/>
      <c r="V7" s="64"/>
      <c r="W7" s="64"/>
      <c r="X7" s="64"/>
      <c r="Y7" s="64"/>
      <c r="Z7" s="65"/>
      <c r="AA7" s="65"/>
      <c r="AB7" s="65"/>
      <c r="AC7" s="65" t="s">
        <v>12</v>
      </c>
      <c r="AD7" s="65" t="s">
        <v>12</v>
      </c>
      <c r="AE7" s="66"/>
      <c r="AF7" s="66" t="s">
        <v>12</v>
      </c>
      <c r="AG7" s="66"/>
      <c r="AH7" s="67"/>
      <c r="AI7" s="67"/>
      <c r="AJ7" s="67"/>
      <c r="AK7" s="25">
        <f t="shared" si="0"/>
        <v>15</v>
      </c>
    </row>
    <row r="8" spans="1:37">
      <c r="A8" s="30">
        <v>5</v>
      </c>
      <c r="B8" s="110" t="s">
        <v>11</v>
      </c>
      <c r="C8" s="22">
        <v>46270</v>
      </c>
      <c r="D8" s="30" t="s">
        <v>62</v>
      </c>
      <c r="E8" s="62"/>
      <c r="F8" s="62"/>
      <c r="G8" s="62" t="s">
        <v>12</v>
      </c>
      <c r="H8" s="62"/>
      <c r="I8" s="62" t="s">
        <v>12</v>
      </c>
      <c r="J8" s="62" t="s">
        <v>12</v>
      </c>
      <c r="K8" s="62"/>
      <c r="L8" s="63"/>
      <c r="M8" s="63"/>
      <c r="N8" s="63"/>
      <c r="O8" s="63"/>
      <c r="P8" s="63"/>
      <c r="Q8" s="63"/>
      <c r="R8" s="24"/>
      <c r="S8" s="24"/>
      <c r="T8" s="24"/>
      <c r="U8" s="64"/>
      <c r="V8" s="64"/>
      <c r="W8" s="64"/>
      <c r="X8" s="64"/>
      <c r="Y8" s="64"/>
      <c r="Z8" s="65" t="s">
        <v>12</v>
      </c>
      <c r="AA8" s="65"/>
      <c r="AB8" s="65"/>
      <c r="AC8" s="65" t="s">
        <v>12</v>
      </c>
      <c r="AD8" s="65" t="s">
        <v>12</v>
      </c>
      <c r="AE8" s="66"/>
      <c r="AF8" s="66"/>
      <c r="AG8" s="66"/>
      <c r="AH8" s="67" t="s">
        <v>12</v>
      </c>
      <c r="AI8" s="67"/>
      <c r="AJ8" s="67"/>
      <c r="AK8" s="25">
        <f t="shared" si="0"/>
        <v>12</v>
      </c>
    </row>
    <row r="9" spans="1:37">
      <c r="A9" s="69">
        <v>6</v>
      </c>
      <c r="B9" s="111" t="s">
        <v>13</v>
      </c>
      <c r="C9" s="112">
        <v>46271</v>
      </c>
      <c r="D9" s="69" t="s">
        <v>62</v>
      </c>
      <c r="E9" s="70"/>
      <c r="F9" s="70"/>
      <c r="G9" s="70" t="s">
        <v>12</v>
      </c>
      <c r="H9" s="70"/>
      <c r="I9" s="70" t="s">
        <v>12</v>
      </c>
      <c r="J9" s="70" t="s">
        <v>12</v>
      </c>
      <c r="K9" s="70" t="s">
        <v>12</v>
      </c>
      <c r="L9" s="71"/>
      <c r="M9" s="71"/>
      <c r="N9" s="71"/>
      <c r="O9" s="71"/>
      <c r="P9" s="71"/>
      <c r="Q9" s="71"/>
      <c r="R9" s="113"/>
      <c r="S9" s="113"/>
      <c r="T9" s="113"/>
      <c r="U9" s="73"/>
      <c r="V9" s="73"/>
      <c r="W9" s="73"/>
      <c r="X9" s="73"/>
      <c r="Y9" s="73"/>
      <c r="Z9" s="74"/>
      <c r="AA9" s="74" t="s">
        <v>12</v>
      </c>
      <c r="AB9" s="74"/>
      <c r="AC9" s="74" t="s">
        <v>12</v>
      </c>
      <c r="AD9" s="74" t="s">
        <v>12</v>
      </c>
      <c r="AE9" s="75"/>
      <c r="AF9" s="75"/>
      <c r="AG9" s="75"/>
      <c r="AH9" s="76" t="s">
        <v>12</v>
      </c>
      <c r="AI9" s="76" t="s">
        <v>12</v>
      </c>
      <c r="AJ9" s="76"/>
      <c r="AK9" s="93">
        <f t="shared" si="0"/>
        <v>14</v>
      </c>
    </row>
    <row r="10" spans="1:37">
      <c r="A10" s="30">
        <v>7</v>
      </c>
      <c r="B10" s="30" t="s">
        <v>14</v>
      </c>
      <c r="C10" s="22">
        <v>46272</v>
      </c>
      <c r="D10" s="30" t="s">
        <v>62</v>
      </c>
      <c r="E10" s="62"/>
      <c r="F10" s="62"/>
      <c r="G10" s="62" t="s">
        <v>12</v>
      </c>
      <c r="H10" s="62"/>
      <c r="I10" s="62"/>
      <c r="J10" s="62"/>
      <c r="K10" s="62"/>
      <c r="L10" s="63" t="s">
        <v>12</v>
      </c>
      <c r="M10" s="63" t="s">
        <v>12</v>
      </c>
      <c r="N10" s="63" t="s">
        <v>12</v>
      </c>
      <c r="O10" s="63" t="s">
        <v>12</v>
      </c>
      <c r="P10" s="63"/>
      <c r="Q10" s="63"/>
      <c r="R10" s="27"/>
      <c r="S10" s="27"/>
      <c r="T10" s="27"/>
      <c r="U10" s="64"/>
      <c r="V10" s="64"/>
      <c r="W10" s="64"/>
      <c r="X10" s="64"/>
      <c r="Y10" s="64"/>
      <c r="Z10" s="65"/>
      <c r="AA10" s="65"/>
      <c r="AB10" s="65" t="s">
        <v>12</v>
      </c>
      <c r="AC10" s="65"/>
      <c r="AD10" s="65"/>
      <c r="AE10" s="66"/>
      <c r="AF10" s="66" t="s">
        <v>12</v>
      </c>
      <c r="AG10" s="66"/>
      <c r="AH10" s="67"/>
      <c r="AI10" s="67"/>
      <c r="AJ10" s="67"/>
      <c r="AK10" s="25">
        <f t="shared" si="0"/>
        <v>11</v>
      </c>
    </row>
    <row r="11" spans="1:37">
      <c r="A11" s="84">
        <v>8</v>
      </c>
      <c r="B11" s="84" t="s">
        <v>15</v>
      </c>
      <c r="C11" s="114">
        <v>46273</v>
      </c>
      <c r="D11" s="84" t="s">
        <v>62</v>
      </c>
      <c r="E11" s="77"/>
      <c r="F11" s="77"/>
      <c r="G11" s="77" t="s">
        <v>12</v>
      </c>
      <c r="H11" s="77"/>
      <c r="I11" s="77"/>
      <c r="J11" s="77"/>
      <c r="K11" s="77"/>
      <c r="L11" s="78" t="s">
        <v>12</v>
      </c>
      <c r="M11" s="78"/>
      <c r="N11" s="78" t="s">
        <v>12</v>
      </c>
      <c r="O11" s="78"/>
      <c r="P11" s="78" t="s">
        <v>12</v>
      </c>
      <c r="Q11" s="78"/>
      <c r="R11" s="79"/>
      <c r="S11" s="79"/>
      <c r="T11" s="79"/>
      <c r="U11" s="80"/>
      <c r="V11" s="80"/>
      <c r="W11" s="80"/>
      <c r="X11" s="80"/>
      <c r="Y11" s="80"/>
      <c r="Z11" s="81"/>
      <c r="AA11" s="81"/>
      <c r="AB11" s="81"/>
      <c r="AC11" s="81"/>
      <c r="AD11" s="81" t="s">
        <v>12</v>
      </c>
      <c r="AE11" s="82"/>
      <c r="AF11" s="82"/>
      <c r="AG11" s="82"/>
      <c r="AH11" s="83"/>
      <c r="AI11" s="83"/>
      <c r="AJ11" s="83"/>
      <c r="AK11" s="94">
        <f t="shared" si="0"/>
        <v>10</v>
      </c>
    </row>
    <row r="12" spans="1:37">
      <c r="A12" s="30">
        <v>9</v>
      </c>
      <c r="B12" s="30" t="s">
        <v>16</v>
      </c>
      <c r="C12" s="22">
        <v>46274</v>
      </c>
      <c r="D12" s="30" t="s">
        <v>62</v>
      </c>
      <c r="E12" s="62"/>
      <c r="F12" s="62"/>
      <c r="G12" s="62"/>
      <c r="H12" s="62"/>
      <c r="I12" s="62" t="s">
        <v>12</v>
      </c>
      <c r="J12" s="62"/>
      <c r="K12" s="62"/>
      <c r="L12" s="63" t="s">
        <v>12</v>
      </c>
      <c r="M12" s="63"/>
      <c r="N12" s="63" t="s">
        <v>12</v>
      </c>
      <c r="O12" s="63"/>
      <c r="P12" s="63" t="s">
        <v>12</v>
      </c>
      <c r="Q12" s="63"/>
      <c r="R12" s="28"/>
      <c r="S12" s="28"/>
      <c r="T12" s="28"/>
      <c r="U12" s="64" t="s">
        <v>12</v>
      </c>
      <c r="V12" s="64"/>
      <c r="W12" s="64"/>
      <c r="X12" s="64" t="s">
        <v>12</v>
      </c>
      <c r="Y12" s="64"/>
      <c r="Z12" s="65"/>
      <c r="AA12" s="65"/>
      <c r="AB12" s="65"/>
      <c r="AC12" s="65" t="s">
        <v>12</v>
      </c>
      <c r="AD12" s="65"/>
      <c r="AE12" s="66"/>
      <c r="AF12" s="66"/>
      <c r="AG12" s="66"/>
      <c r="AH12" s="67"/>
      <c r="AI12" s="67"/>
      <c r="AJ12" s="67"/>
      <c r="AK12" s="25">
        <f t="shared" si="0"/>
        <v>14</v>
      </c>
    </row>
    <row r="13" spans="1:37">
      <c r="A13" s="30">
        <v>10</v>
      </c>
      <c r="B13" s="30" t="s">
        <v>17</v>
      </c>
      <c r="C13" s="22">
        <v>46275</v>
      </c>
      <c r="D13" s="30" t="s">
        <v>62</v>
      </c>
      <c r="E13" s="62"/>
      <c r="F13" s="62"/>
      <c r="G13" s="62"/>
      <c r="H13" s="62"/>
      <c r="I13" s="62"/>
      <c r="J13" s="62"/>
      <c r="K13" s="62"/>
      <c r="L13" s="63"/>
      <c r="M13" s="63" t="s">
        <v>12</v>
      </c>
      <c r="N13" s="63" t="s">
        <v>12</v>
      </c>
      <c r="O13" s="63"/>
      <c r="P13" s="63" t="s">
        <v>12</v>
      </c>
      <c r="Q13" s="63"/>
      <c r="R13" s="29"/>
      <c r="S13" s="29"/>
      <c r="T13" s="29"/>
      <c r="U13" s="64"/>
      <c r="V13" s="64"/>
      <c r="W13" s="64"/>
      <c r="X13" s="64"/>
      <c r="Y13" s="64"/>
      <c r="Z13" s="65"/>
      <c r="AA13" s="65"/>
      <c r="AB13" s="65"/>
      <c r="AC13" s="65"/>
      <c r="AD13" s="65"/>
      <c r="AE13" s="66"/>
      <c r="AF13" s="66"/>
      <c r="AG13" s="66"/>
      <c r="AH13" s="67"/>
      <c r="AI13" s="67"/>
      <c r="AJ13" s="67"/>
      <c r="AK13" s="25">
        <f t="shared" si="0"/>
        <v>6</v>
      </c>
    </row>
    <row r="14" spans="1:37">
      <c r="A14" s="30">
        <v>11</v>
      </c>
      <c r="B14" s="30" t="s">
        <v>18</v>
      </c>
      <c r="C14" s="22">
        <v>46276</v>
      </c>
      <c r="D14" s="30" t="s">
        <v>62</v>
      </c>
      <c r="E14" s="62"/>
      <c r="F14" s="62"/>
      <c r="G14" s="62"/>
      <c r="H14" s="62"/>
      <c r="I14" s="62"/>
      <c r="J14" s="62"/>
      <c r="K14" s="62"/>
      <c r="L14" s="63"/>
      <c r="M14" s="63" t="s">
        <v>12</v>
      </c>
      <c r="N14" s="63" t="s">
        <v>12</v>
      </c>
      <c r="O14" s="63" t="s">
        <v>12</v>
      </c>
      <c r="P14" s="63" t="s">
        <v>12</v>
      </c>
      <c r="Q14" s="63"/>
      <c r="R14" s="29"/>
      <c r="S14" s="29"/>
      <c r="T14" s="29"/>
      <c r="U14" s="64"/>
      <c r="V14" s="64"/>
      <c r="W14" s="64"/>
      <c r="X14" s="64"/>
      <c r="Y14" s="64"/>
      <c r="Z14" s="65" t="s">
        <v>12</v>
      </c>
      <c r="AA14" s="65"/>
      <c r="AB14" s="65" t="s">
        <v>12</v>
      </c>
      <c r="AC14" s="65"/>
      <c r="AD14" s="65" t="s">
        <v>12</v>
      </c>
      <c r="AE14" s="66"/>
      <c r="AF14" s="66"/>
      <c r="AG14" s="66"/>
      <c r="AH14" s="67"/>
      <c r="AI14" s="67"/>
      <c r="AJ14" s="67"/>
      <c r="AK14" s="25">
        <f t="shared" si="0"/>
        <v>12</v>
      </c>
    </row>
    <row r="15" spans="1:37">
      <c r="A15" s="30">
        <v>12</v>
      </c>
      <c r="B15" s="110" t="s">
        <v>11</v>
      </c>
      <c r="C15" s="22">
        <v>46277</v>
      </c>
      <c r="D15" s="30" t="s">
        <v>62</v>
      </c>
      <c r="E15" s="62"/>
      <c r="F15" s="62"/>
      <c r="G15" s="62" t="s">
        <v>12</v>
      </c>
      <c r="H15" s="62"/>
      <c r="I15" s="62"/>
      <c r="J15" s="62"/>
      <c r="K15" s="62"/>
      <c r="L15" s="63"/>
      <c r="M15" s="63"/>
      <c r="N15" s="63"/>
      <c r="O15" s="63"/>
      <c r="P15" s="63"/>
      <c r="Q15" s="63"/>
      <c r="R15" s="29"/>
      <c r="S15" s="29"/>
      <c r="T15" s="29"/>
      <c r="U15" s="64"/>
      <c r="V15" s="64"/>
      <c r="W15" s="64"/>
      <c r="X15" s="64"/>
      <c r="Y15" s="64"/>
      <c r="Z15" s="65"/>
      <c r="AA15" s="65"/>
      <c r="AB15" s="65"/>
      <c r="AC15" s="65" t="s">
        <v>12</v>
      </c>
      <c r="AD15" s="65" t="s">
        <v>12</v>
      </c>
      <c r="AE15" s="66"/>
      <c r="AF15" s="66"/>
      <c r="AG15" s="66"/>
      <c r="AH15" s="67"/>
      <c r="AI15" s="67"/>
      <c r="AJ15" s="67"/>
      <c r="AK15" s="25">
        <f t="shared" si="0"/>
        <v>4</v>
      </c>
    </row>
    <row r="16" spans="1:37">
      <c r="A16" s="30">
        <v>13</v>
      </c>
      <c r="B16" s="110" t="s">
        <v>13</v>
      </c>
      <c r="C16" s="22">
        <v>46278</v>
      </c>
      <c r="D16" s="69" t="s">
        <v>62</v>
      </c>
      <c r="E16" s="70"/>
      <c r="F16" s="70"/>
      <c r="G16" s="70"/>
      <c r="H16" s="70"/>
      <c r="I16" s="70"/>
      <c r="J16" s="70"/>
      <c r="K16" s="70"/>
      <c r="L16" s="71"/>
      <c r="M16" s="71"/>
      <c r="N16" s="71"/>
      <c r="O16" s="71"/>
      <c r="P16" s="71"/>
      <c r="Q16" s="71"/>
      <c r="R16" s="72"/>
      <c r="S16" s="72"/>
      <c r="T16" s="72"/>
      <c r="U16" s="73"/>
      <c r="V16" s="73"/>
      <c r="W16" s="73"/>
      <c r="X16" s="73"/>
      <c r="Y16" s="73"/>
      <c r="Z16" s="74"/>
      <c r="AA16" s="74"/>
      <c r="AB16" s="74"/>
      <c r="AC16" s="74"/>
      <c r="AD16" s="74" t="s">
        <v>12</v>
      </c>
      <c r="AE16" s="75"/>
      <c r="AF16" s="75"/>
      <c r="AG16" s="75"/>
      <c r="AH16" s="76"/>
      <c r="AI16" s="76" t="s">
        <v>12</v>
      </c>
      <c r="AJ16" s="76"/>
      <c r="AK16" s="25">
        <f t="shared" si="0"/>
        <v>3</v>
      </c>
    </row>
    <row r="17" spans="1:37">
      <c r="A17" s="30">
        <v>14</v>
      </c>
      <c r="B17" s="30" t="s">
        <v>14</v>
      </c>
      <c r="C17" s="22">
        <v>46279</v>
      </c>
      <c r="D17" s="69" t="s">
        <v>62</v>
      </c>
      <c r="E17" s="70"/>
      <c r="F17" s="70"/>
      <c r="G17" s="70"/>
      <c r="H17" s="70"/>
      <c r="I17" s="70"/>
      <c r="J17" s="70"/>
      <c r="K17" s="70"/>
      <c r="L17" s="71" t="s">
        <v>12</v>
      </c>
      <c r="M17" s="71" t="s">
        <v>12</v>
      </c>
      <c r="N17" s="71" t="s">
        <v>12</v>
      </c>
      <c r="O17" s="71"/>
      <c r="P17" s="71"/>
      <c r="Q17" s="71"/>
      <c r="R17" s="72"/>
      <c r="S17" s="72"/>
      <c r="T17" s="72"/>
      <c r="U17" s="73"/>
      <c r="V17" s="73"/>
      <c r="W17" s="73"/>
      <c r="X17" s="73" t="s">
        <v>12</v>
      </c>
      <c r="Y17" s="73"/>
      <c r="Z17" s="74"/>
      <c r="AA17" s="74"/>
      <c r="AB17" s="74"/>
      <c r="AC17" s="74"/>
      <c r="AD17" s="74" t="s">
        <v>12</v>
      </c>
      <c r="AE17" s="75"/>
      <c r="AF17" s="75"/>
      <c r="AG17" s="75"/>
      <c r="AH17" s="76" t="s">
        <v>12</v>
      </c>
      <c r="AI17" s="76"/>
      <c r="AJ17" s="76"/>
      <c r="AK17" s="68">
        <f t="shared" si="0"/>
        <v>10</v>
      </c>
    </row>
    <row r="18" spans="1:37">
      <c r="A18" s="30">
        <v>15</v>
      </c>
      <c r="B18" s="30" t="s">
        <v>15</v>
      </c>
      <c r="C18" s="22">
        <v>46280</v>
      </c>
      <c r="D18" s="30" t="s">
        <v>62</v>
      </c>
      <c r="E18" s="62"/>
      <c r="F18" s="62"/>
      <c r="G18" s="62" t="s">
        <v>12</v>
      </c>
      <c r="H18" s="62"/>
      <c r="I18" s="62"/>
      <c r="J18" s="62"/>
      <c r="K18" s="62"/>
      <c r="L18" s="63" t="s">
        <v>12</v>
      </c>
      <c r="M18" s="63" t="s">
        <v>12</v>
      </c>
      <c r="N18" s="63" t="s">
        <v>12</v>
      </c>
      <c r="O18" s="63"/>
      <c r="P18" s="63"/>
      <c r="Q18" s="63"/>
      <c r="R18" s="29"/>
      <c r="S18" s="29"/>
      <c r="T18" s="29"/>
      <c r="U18" s="64" t="s">
        <v>12</v>
      </c>
      <c r="V18" s="64"/>
      <c r="W18" s="64"/>
      <c r="X18" s="64"/>
      <c r="Y18" s="64"/>
      <c r="Z18" s="65"/>
      <c r="AA18" s="65"/>
      <c r="AB18" s="65"/>
      <c r="AC18" s="65"/>
      <c r="AD18" s="65"/>
      <c r="AE18" s="66"/>
      <c r="AF18" s="66"/>
      <c r="AG18" s="66"/>
      <c r="AH18" s="67" t="s">
        <v>12</v>
      </c>
      <c r="AI18" s="67"/>
      <c r="AJ18" s="67"/>
      <c r="AK18" s="68">
        <f t="shared" si="0"/>
        <v>11</v>
      </c>
    </row>
    <row r="19" spans="1:37">
      <c r="A19" s="69">
        <v>16</v>
      </c>
      <c r="B19" s="30" t="s">
        <v>16</v>
      </c>
      <c r="C19" s="22">
        <v>46281</v>
      </c>
      <c r="D19" s="85" t="s">
        <v>62</v>
      </c>
      <c r="E19" s="86"/>
      <c r="F19" s="86"/>
      <c r="G19" s="86"/>
      <c r="H19" s="86"/>
      <c r="I19" s="86"/>
      <c r="J19" s="86"/>
      <c r="K19" s="86"/>
      <c r="L19" s="87" t="s">
        <v>12</v>
      </c>
      <c r="M19" s="87" t="s">
        <v>12</v>
      </c>
      <c r="N19" s="87" t="s">
        <v>12</v>
      </c>
      <c r="O19" s="87"/>
      <c r="P19" s="87"/>
      <c r="Q19" s="87"/>
      <c r="R19" s="88"/>
      <c r="S19" s="88"/>
      <c r="T19" s="88"/>
      <c r="U19" s="89"/>
      <c r="V19" s="89"/>
      <c r="W19" s="89"/>
      <c r="X19" s="89" t="s">
        <v>12</v>
      </c>
      <c r="Y19" s="89"/>
      <c r="Z19" s="90"/>
      <c r="AA19" s="90" t="s">
        <v>12</v>
      </c>
      <c r="AB19" s="90"/>
      <c r="AC19" s="90"/>
      <c r="AD19" s="90"/>
      <c r="AE19" s="91"/>
      <c r="AF19" s="91"/>
      <c r="AG19" s="91"/>
      <c r="AH19" s="92" t="s">
        <v>12</v>
      </c>
      <c r="AI19" s="92"/>
      <c r="AJ19" s="92"/>
      <c r="AK19" s="93">
        <f t="shared" si="0"/>
        <v>11</v>
      </c>
    </row>
    <row r="20" spans="1:37">
      <c r="A20" s="69">
        <v>17</v>
      </c>
      <c r="B20" s="30" t="s">
        <v>17</v>
      </c>
      <c r="C20" s="22">
        <v>46282</v>
      </c>
      <c r="D20" s="69" t="s">
        <v>62</v>
      </c>
      <c r="E20" s="70"/>
      <c r="F20" s="70"/>
      <c r="G20" s="70" t="s">
        <v>12</v>
      </c>
      <c r="H20" s="70" t="s">
        <v>12</v>
      </c>
      <c r="I20" s="70" t="s">
        <v>12</v>
      </c>
      <c r="J20" s="70"/>
      <c r="K20" s="70"/>
      <c r="L20" s="71" t="s">
        <v>12</v>
      </c>
      <c r="M20" s="71" t="s">
        <v>12</v>
      </c>
      <c r="N20" s="71" t="s">
        <v>12</v>
      </c>
      <c r="O20" s="71"/>
      <c r="P20" s="71"/>
      <c r="Q20" s="71"/>
      <c r="R20" s="72"/>
      <c r="S20" s="72"/>
      <c r="T20" s="72"/>
      <c r="U20" s="73"/>
      <c r="V20" s="73"/>
      <c r="W20" s="73"/>
      <c r="X20" s="73" t="s">
        <v>12</v>
      </c>
      <c r="Y20" s="73"/>
      <c r="Z20" s="74"/>
      <c r="AA20" s="74"/>
      <c r="AB20" s="74"/>
      <c r="AC20" s="74" t="s">
        <v>12</v>
      </c>
      <c r="AD20" s="74" t="s">
        <v>12</v>
      </c>
      <c r="AE20" s="75"/>
      <c r="AF20" s="75"/>
      <c r="AG20" s="75"/>
      <c r="AH20" s="76" t="s">
        <v>12</v>
      </c>
      <c r="AI20" s="76"/>
      <c r="AJ20" s="76"/>
      <c r="AK20" s="93">
        <f t="shared" si="0"/>
        <v>16</v>
      </c>
    </row>
    <row r="21" spans="1:37">
      <c r="A21" s="69">
        <v>18</v>
      </c>
      <c r="B21" s="30" t="s">
        <v>18</v>
      </c>
      <c r="C21" s="22">
        <v>46283</v>
      </c>
      <c r="D21" s="69" t="s">
        <v>62</v>
      </c>
      <c r="E21" s="70" t="s">
        <v>12</v>
      </c>
      <c r="F21" s="70" t="s">
        <v>12</v>
      </c>
      <c r="G21" s="70" t="s">
        <v>12</v>
      </c>
      <c r="H21" s="70" t="s">
        <v>12</v>
      </c>
      <c r="I21" s="70"/>
      <c r="J21" s="70"/>
      <c r="K21" s="70"/>
      <c r="L21" s="71"/>
      <c r="M21" s="71" t="s">
        <v>12</v>
      </c>
      <c r="N21" s="71" t="s">
        <v>12</v>
      </c>
      <c r="O21" s="71" t="s">
        <v>12</v>
      </c>
      <c r="P21" s="71"/>
      <c r="Q21" s="71"/>
      <c r="R21" s="72"/>
      <c r="S21" s="72"/>
      <c r="T21" s="72"/>
      <c r="U21" s="73"/>
      <c r="V21" s="73"/>
      <c r="W21" s="73"/>
      <c r="X21" s="73" t="s">
        <v>12</v>
      </c>
      <c r="Y21" s="73"/>
      <c r="Z21" s="74"/>
      <c r="AA21" s="74"/>
      <c r="AB21" s="74"/>
      <c r="AC21" s="74" t="s">
        <v>12</v>
      </c>
      <c r="AD21" s="74" t="s">
        <v>12</v>
      </c>
      <c r="AE21" s="75"/>
      <c r="AF21" s="75"/>
      <c r="AG21" s="75"/>
      <c r="AH21" s="76"/>
      <c r="AI21" s="76"/>
      <c r="AJ21" s="76"/>
      <c r="AK21" s="93">
        <f t="shared" si="0"/>
        <v>14</v>
      </c>
    </row>
    <row r="22" spans="1:37">
      <c r="A22" s="30">
        <v>19</v>
      </c>
      <c r="B22" s="110" t="s">
        <v>11</v>
      </c>
      <c r="C22" s="22">
        <v>46284</v>
      </c>
      <c r="D22" s="30" t="s">
        <v>62</v>
      </c>
      <c r="E22" s="62"/>
      <c r="F22" s="62"/>
      <c r="G22" s="62" t="s">
        <v>12</v>
      </c>
      <c r="H22" s="62" t="s">
        <v>12</v>
      </c>
      <c r="I22" s="62" t="s">
        <v>12</v>
      </c>
      <c r="J22" s="62" t="s">
        <v>12</v>
      </c>
      <c r="K22" s="62"/>
      <c r="L22" s="63"/>
      <c r="M22" s="63"/>
      <c r="N22" s="63"/>
      <c r="O22" s="63"/>
      <c r="P22" s="63"/>
      <c r="Q22" s="63"/>
      <c r="R22" s="29"/>
      <c r="S22" s="29"/>
      <c r="T22" s="29"/>
      <c r="U22" s="64"/>
      <c r="V22" s="64"/>
      <c r="W22" s="64"/>
      <c r="X22" s="64" t="s">
        <v>12</v>
      </c>
      <c r="Y22" s="64"/>
      <c r="Z22" s="65"/>
      <c r="AA22" s="65"/>
      <c r="AB22" s="65"/>
      <c r="AC22" s="65" t="s">
        <v>12</v>
      </c>
      <c r="AD22" s="65"/>
      <c r="AE22" s="66"/>
      <c r="AF22" s="66"/>
      <c r="AG22" s="66"/>
      <c r="AH22" s="67"/>
      <c r="AI22" s="67" t="s">
        <v>12</v>
      </c>
      <c r="AJ22" s="67"/>
      <c r="AK22" s="25">
        <f t="shared" si="0"/>
        <v>11</v>
      </c>
    </row>
    <row r="23" spans="1:37">
      <c r="A23" s="84">
        <v>20</v>
      </c>
      <c r="B23" s="110" t="s">
        <v>13</v>
      </c>
      <c r="C23" s="22">
        <v>46285</v>
      </c>
      <c r="D23" s="85" t="s">
        <v>62</v>
      </c>
      <c r="E23" s="86"/>
      <c r="F23" s="86"/>
      <c r="G23" s="86"/>
      <c r="H23" s="86"/>
      <c r="I23" s="86"/>
      <c r="J23" s="86"/>
      <c r="K23" s="86"/>
      <c r="L23" s="87"/>
      <c r="M23" s="87"/>
      <c r="N23" s="87" t="s">
        <v>12</v>
      </c>
      <c r="O23" s="87"/>
      <c r="P23" s="87"/>
      <c r="Q23" s="87"/>
      <c r="R23" s="88"/>
      <c r="S23" s="88"/>
      <c r="T23" s="88"/>
      <c r="U23" s="89"/>
      <c r="V23" s="89"/>
      <c r="W23" s="89"/>
      <c r="X23" s="89" t="s">
        <v>12</v>
      </c>
      <c r="Y23" s="89"/>
      <c r="Z23" s="90"/>
      <c r="AA23" s="90"/>
      <c r="AB23" s="90"/>
      <c r="AC23" s="90" t="s">
        <v>12</v>
      </c>
      <c r="AD23" s="90"/>
      <c r="AE23" s="91"/>
      <c r="AF23" s="91"/>
      <c r="AG23" s="91"/>
      <c r="AH23" s="92"/>
      <c r="AI23" s="92" t="s">
        <v>12</v>
      </c>
      <c r="AJ23" s="92" t="s">
        <v>12</v>
      </c>
      <c r="AK23" s="95">
        <f t="shared" si="0"/>
        <v>8</v>
      </c>
    </row>
    <row r="24" spans="1:37">
      <c r="A24" s="30">
        <v>21</v>
      </c>
      <c r="B24" s="30" t="s">
        <v>14</v>
      </c>
      <c r="C24" s="22">
        <v>46286</v>
      </c>
      <c r="D24" s="96" t="s">
        <v>62</v>
      </c>
      <c r="E24" s="97"/>
      <c r="F24" s="97"/>
      <c r="G24" s="97"/>
      <c r="H24" s="97"/>
      <c r="I24" s="97"/>
      <c r="J24" s="97"/>
      <c r="K24" s="97"/>
      <c r="L24" s="98"/>
      <c r="M24" s="98"/>
      <c r="N24" s="98"/>
      <c r="O24" s="98"/>
      <c r="P24" s="98"/>
      <c r="Q24" s="98"/>
      <c r="R24" s="99"/>
      <c r="S24" s="99"/>
      <c r="T24" s="99"/>
      <c r="U24" s="100"/>
      <c r="V24" s="100"/>
      <c r="W24" s="100"/>
      <c r="X24" s="100"/>
      <c r="Y24" s="100"/>
      <c r="Z24" s="101"/>
      <c r="AA24" s="101"/>
      <c r="AB24" s="101"/>
      <c r="AC24" s="101"/>
      <c r="AD24" s="101"/>
      <c r="AE24" s="102"/>
      <c r="AF24" s="102"/>
      <c r="AG24" s="102"/>
      <c r="AH24" s="103"/>
      <c r="AI24" s="103"/>
      <c r="AJ24" s="103"/>
      <c r="AK24" s="104">
        <f t="shared" si="0"/>
        <v>0</v>
      </c>
    </row>
    <row r="25" spans="1:37">
      <c r="A25" s="30">
        <v>22</v>
      </c>
      <c r="B25" s="30" t="s">
        <v>15</v>
      </c>
      <c r="C25" s="22">
        <v>46287</v>
      </c>
      <c r="D25" s="69" t="s">
        <v>62</v>
      </c>
      <c r="E25" s="70"/>
      <c r="F25" s="70"/>
      <c r="G25" s="70"/>
      <c r="H25" s="70"/>
      <c r="I25" s="70"/>
      <c r="J25" s="70"/>
      <c r="K25" s="70"/>
      <c r="L25" s="71"/>
      <c r="M25" s="71" t="s">
        <v>12</v>
      </c>
      <c r="N25" s="71" t="s">
        <v>12</v>
      </c>
      <c r="O25" s="71"/>
      <c r="P25" s="71"/>
      <c r="Q25" s="71"/>
      <c r="R25" s="72"/>
      <c r="S25" s="72"/>
      <c r="T25" s="72"/>
      <c r="U25" s="73" t="s">
        <v>12</v>
      </c>
      <c r="V25" s="73"/>
      <c r="W25" s="73"/>
      <c r="X25" s="73"/>
      <c r="Y25" s="73"/>
      <c r="Z25" s="74"/>
      <c r="AA25" s="74"/>
      <c r="AB25" s="74"/>
      <c r="AC25" s="74"/>
      <c r="AD25" s="74"/>
      <c r="AE25" s="75"/>
      <c r="AF25" s="75"/>
      <c r="AG25" s="75"/>
      <c r="AH25" s="76"/>
      <c r="AI25" s="76"/>
      <c r="AJ25" s="76"/>
      <c r="AK25" s="93">
        <f t="shared" si="0"/>
        <v>5</v>
      </c>
    </row>
    <row r="26" spans="1:37">
      <c r="A26" s="69">
        <v>23</v>
      </c>
      <c r="B26" s="30" t="s">
        <v>16</v>
      </c>
      <c r="C26" s="22">
        <v>46288</v>
      </c>
      <c r="D26" s="69" t="s">
        <v>62</v>
      </c>
      <c r="E26" s="70"/>
      <c r="F26" s="70"/>
      <c r="G26" s="70"/>
      <c r="H26" s="70"/>
      <c r="I26" s="70"/>
      <c r="J26" s="70"/>
      <c r="K26" s="70"/>
      <c r="L26" s="71"/>
      <c r="M26" s="71" t="s">
        <v>12</v>
      </c>
      <c r="N26" s="71" t="s">
        <v>12</v>
      </c>
      <c r="O26" s="71"/>
      <c r="P26" s="71"/>
      <c r="Q26" s="71"/>
      <c r="R26" s="72"/>
      <c r="S26" s="72"/>
      <c r="T26" s="72"/>
      <c r="U26" s="73"/>
      <c r="V26" s="73"/>
      <c r="W26" s="73"/>
      <c r="X26" s="73"/>
      <c r="Y26" s="73"/>
      <c r="Z26" s="74"/>
      <c r="AA26" s="74"/>
      <c r="AB26" s="74"/>
      <c r="AC26" s="74"/>
      <c r="AD26" s="74"/>
      <c r="AE26" s="75"/>
      <c r="AF26" s="75"/>
      <c r="AG26" s="75"/>
      <c r="AH26" s="76"/>
      <c r="AI26" s="76"/>
      <c r="AJ26" s="76"/>
      <c r="AK26" s="93">
        <f t="shared" si="0"/>
        <v>3</v>
      </c>
    </row>
    <row r="27" spans="1:37">
      <c r="A27" s="69">
        <v>24</v>
      </c>
      <c r="B27" s="30" t="s">
        <v>17</v>
      </c>
      <c r="C27" s="22">
        <v>46289</v>
      </c>
      <c r="D27" s="69"/>
      <c r="E27" s="70"/>
      <c r="F27" s="70"/>
      <c r="G27" s="70"/>
      <c r="H27" s="70"/>
      <c r="I27" s="70"/>
      <c r="J27" s="70"/>
      <c r="K27" s="70"/>
      <c r="L27" s="71"/>
      <c r="M27" s="71"/>
      <c r="N27" s="71"/>
      <c r="O27" s="71"/>
      <c r="P27" s="71"/>
      <c r="Q27" s="71"/>
      <c r="R27" s="72"/>
      <c r="S27" s="72"/>
      <c r="T27" s="72"/>
      <c r="U27" s="73"/>
      <c r="V27" s="73"/>
      <c r="W27" s="73"/>
      <c r="X27" s="73"/>
      <c r="Y27" s="73"/>
      <c r="Z27" s="74"/>
      <c r="AA27" s="74"/>
      <c r="AB27" s="74"/>
      <c r="AC27" s="74"/>
      <c r="AD27" s="74"/>
      <c r="AE27" s="75"/>
      <c r="AF27" s="75"/>
      <c r="AG27" s="75"/>
      <c r="AH27" s="76"/>
      <c r="AI27" s="76"/>
      <c r="AJ27" s="76"/>
      <c r="AK27" s="93">
        <f t="shared" si="0"/>
        <v>0</v>
      </c>
    </row>
    <row r="28" spans="1:37">
      <c r="A28" s="69">
        <v>25</v>
      </c>
      <c r="B28" s="30" t="s">
        <v>18</v>
      </c>
      <c r="C28" s="22">
        <v>46290</v>
      </c>
      <c r="D28" s="69"/>
      <c r="E28" s="70"/>
      <c r="F28" s="70"/>
      <c r="G28" s="70"/>
      <c r="H28" s="70"/>
      <c r="I28" s="70"/>
      <c r="J28" s="70"/>
      <c r="K28" s="70"/>
      <c r="L28" s="71"/>
      <c r="M28" s="71"/>
      <c r="N28" s="71"/>
      <c r="O28" s="71"/>
      <c r="P28" s="71"/>
      <c r="Q28" s="71"/>
      <c r="R28" s="72"/>
      <c r="S28" s="72"/>
      <c r="T28" s="72"/>
      <c r="U28" s="73"/>
      <c r="V28" s="73"/>
      <c r="W28" s="73"/>
      <c r="X28" s="73"/>
      <c r="Y28" s="73"/>
      <c r="Z28" s="74"/>
      <c r="AA28" s="74"/>
      <c r="AB28" s="74"/>
      <c r="AC28" s="74"/>
      <c r="AD28" s="74"/>
      <c r="AE28" s="75"/>
      <c r="AF28" s="75"/>
      <c r="AG28" s="75"/>
      <c r="AH28" s="76"/>
      <c r="AI28" s="76"/>
      <c r="AJ28" s="76"/>
      <c r="AK28" s="93">
        <f t="shared" si="0"/>
        <v>0</v>
      </c>
    </row>
    <row r="29" spans="1:37">
      <c r="A29" s="30">
        <v>26</v>
      </c>
      <c r="B29" s="110" t="s">
        <v>11</v>
      </c>
      <c r="C29" s="22">
        <v>46291</v>
      </c>
      <c r="D29" s="69"/>
      <c r="E29" s="70"/>
      <c r="F29" s="70"/>
      <c r="G29" s="70"/>
      <c r="H29" s="70"/>
      <c r="I29" s="70"/>
      <c r="J29" s="70"/>
      <c r="K29" s="70"/>
      <c r="L29" s="71"/>
      <c r="M29" s="71"/>
      <c r="N29" s="71"/>
      <c r="O29" s="71"/>
      <c r="P29" s="71"/>
      <c r="Q29" s="71"/>
      <c r="R29" s="72"/>
      <c r="S29" s="72"/>
      <c r="T29" s="72"/>
      <c r="U29" s="73"/>
      <c r="V29" s="73"/>
      <c r="W29" s="73"/>
      <c r="X29" s="73"/>
      <c r="Y29" s="73"/>
      <c r="Z29" s="74"/>
      <c r="AA29" s="74"/>
      <c r="AB29" s="74"/>
      <c r="AC29" s="74"/>
      <c r="AD29" s="74"/>
      <c r="AE29" s="75"/>
      <c r="AF29" s="75"/>
      <c r="AG29" s="75"/>
      <c r="AH29" s="76"/>
      <c r="AI29" s="76"/>
      <c r="AJ29" s="76"/>
      <c r="AK29" s="93">
        <f t="shared" si="0"/>
        <v>0</v>
      </c>
    </row>
    <row r="30" spans="1:37">
      <c r="A30" s="84">
        <v>27</v>
      </c>
      <c r="B30" s="110" t="s">
        <v>13</v>
      </c>
      <c r="C30" s="22">
        <v>46292</v>
      </c>
      <c r="D30" s="30"/>
      <c r="E30" s="62"/>
      <c r="F30" s="62"/>
      <c r="G30" s="62"/>
      <c r="H30" s="62"/>
      <c r="I30" s="62"/>
      <c r="J30" s="62"/>
      <c r="K30" s="62"/>
      <c r="L30" s="63"/>
      <c r="M30" s="63"/>
      <c r="N30" s="63"/>
      <c r="O30" s="63"/>
      <c r="P30" s="63"/>
      <c r="Q30" s="63"/>
      <c r="R30" s="29"/>
      <c r="S30" s="29"/>
      <c r="T30" s="29"/>
      <c r="U30" s="64"/>
      <c r="V30" s="64"/>
      <c r="W30" s="64"/>
      <c r="X30" s="64"/>
      <c r="Y30" s="64"/>
      <c r="Z30" s="65"/>
      <c r="AA30" s="65"/>
      <c r="AB30" s="65"/>
      <c r="AC30" s="65"/>
      <c r="AD30" s="65"/>
      <c r="AE30" s="66"/>
      <c r="AF30" s="66"/>
      <c r="AG30" s="66"/>
      <c r="AH30" s="67"/>
      <c r="AI30" s="67"/>
      <c r="AJ30" s="67"/>
      <c r="AK30" s="25">
        <f t="shared" si="0"/>
        <v>0</v>
      </c>
    </row>
    <row r="31" spans="1:37">
      <c r="A31" s="30">
        <v>28</v>
      </c>
      <c r="B31" s="30" t="s">
        <v>14</v>
      </c>
      <c r="C31" s="22">
        <v>46293</v>
      </c>
      <c r="D31" s="84"/>
      <c r="E31" s="77"/>
      <c r="F31" s="77"/>
      <c r="G31" s="77"/>
      <c r="H31" s="77"/>
      <c r="I31" s="77"/>
      <c r="J31" s="77"/>
      <c r="K31" s="77"/>
      <c r="L31" s="78"/>
      <c r="M31" s="78"/>
      <c r="N31" s="78"/>
      <c r="O31" s="78"/>
      <c r="P31" s="78"/>
      <c r="Q31" s="78"/>
      <c r="R31" s="79"/>
      <c r="S31" s="79"/>
      <c r="T31" s="79"/>
      <c r="U31" s="80"/>
      <c r="V31" s="80"/>
      <c r="W31" s="80"/>
      <c r="X31" s="80"/>
      <c r="Y31" s="80"/>
      <c r="Z31" s="81"/>
      <c r="AA31" s="81"/>
      <c r="AB31" s="81"/>
      <c r="AC31" s="81"/>
      <c r="AD31" s="81"/>
      <c r="AE31" s="82"/>
      <c r="AF31" s="82"/>
      <c r="AG31" s="82"/>
      <c r="AH31" s="83"/>
      <c r="AI31" s="83"/>
      <c r="AJ31" s="83"/>
      <c r="AK31" s="94">
        <f t="shared" si="0"/>
        <v>0</v>
      </c>
    </row>
    <row r="32" spans="1:37">
      <c r="A32" s="30">
        <v>29</v>
      </c>
      <c r="B32" s="30" t="s">
        <v>15</v>
      </c>
      <c r="C32" s="22">
        <v>46294</v>
      </c>
      <c r="D32" s="30"/>
      <c r="E32" s="62"/>
      <c r="F32" s="62"/>
      <c r="G32" s="62"/>
      <c r="H32" s="62"/>
      <c r="I32" s="62"/>
      <c r="J32" s="62"/>
      <c r="K32" s="62"/>
      <c r="L32" s="63"/>
      <c r="M32" s="63"/>
      <c r="N32" s="63"/>
      <c r="O32" s="63"/>
      <c r="P32" s="63"/>
      <c r="Q32" s="63"/>
      <c r="R32" s="29"/>
      <c r="S32" s="29"/>
      <c r="T32" s="29"/>
      <c r="U32" s="64"/>
      <c r="V32" s="64"/>
      <c r="W32" s="64"/>
      <c r="X32" s="64"/>
      <c r="Y32" s="64"/>
      <c r="Z32" s="65"/>
      <c r="AA32" s="65"/>
      <c r="AB32" s="65"/>
      <c r="AC32" s="65"/>
      <c r="AD32" s="65"/>
      <c r="AE32" s="66"/>
      <c r="AF32" s="66"/>
      <c r="AG32" s="66"/>
      <c r="AH32" s="67"/>
      <c r="AI32" s="67"/>
      <c r="AJ32" s="67"/>
      <c r="AK32" s="25">
        <f t="shared" si="0"/>
        <v>0</v>
      </c>
    </row>
    <row r="33" spans="1:37">
      <c r="A33" s="30">
        <v>30</v>
      </c>
      <c r="B33" s="30" t="s">
        <v>16</v>
      </c>
      <c r="C33" s="22">
        <v>46295</v>
      </c>
      <c r="D33" s="30"/>
      <c r="E33" s="62"/>
      <c r="F33" s="62"/>
      <c r="G33" s="62"/>
      <c r="H33" s="62"/>
      <c r="I33" s="62"/>
      <c r="J33" s="62"/>
      <c r="K33" s="62"/>
      <c r="L33" s="63"/>
      <c r="M33" s="63"/>
      <c r="N33" s="63"/>
      <c r="O33" s="63"/>
      <c r="P33" s="63"/>
      <c r="Q33" s="63"/>
      <c r="R33" s="29"/>
      <c r="S33" s="29"/>
      <c r="T33" s="29"/>
      <c r="U33" s="64"/>
      <c r="V33" s="64"/>
      <c r="W33" s="64"/>
      <c r="X33" s="64"/>
      <c r="Y33" s="64"/>
      <c r="Z33" s="65"/>
      <c r="AA33" s="65"/>
      <c r="AB33" s="65"/>
      <c r="AC33" s="65"/>
      <c r="AD33" s="65"/>
      <c r="AE33" s="66"/>
      <c r="AF33" s="66"/>
      <c r="AG33" s="66"/>
      <c r="AH33" s="67"/>
      <c r="AI33" s="67"/>
      <c r="AJ33" s="67"/>
      <c r="AK33" s="25">
        <f t="shared" si="0"/>
        <v>0</v>
      </c>
    </row>
    <row r="34" spans="1:37" ht="30" customHeight="1">
      <c r="A34" s="132" t="s">
        <v>77</v>
      </c>
      <c r="B34" s="133"/>
      <c r="C34" s="133"/>
      <c r="D34" s="134"/>
      <c r="E34" s="106">
        <f t="shared" ref="E34:AJ34" si="1">COUNTA(E4:E33)</f>
        <v>2</v>
      </c>
      <c r="F34" s="106">
        <f t="shared" si="1"/>
        <v>2</v>
      </c>
      <c r="G34" s="106">
        <f t="shared" si="1"/>
        <v>11</v>
      </c>
      <c r="H34" s="106">
        <f t="shared" si="1"/>
        <v>4</v>
      </c>
      <c r="I34" s="106">
        <f t="shared" si="1"/>
        <v>5</v>
      </c>
      <c r="J34" s="106">
        <f t="shared" si="1"/>
        <v>3</v>
      </c>
      <c r="K34" s="106">
        <f t="shared" si="1"/>
        <v>1</v>
      </c>
      <c r="L34" s="63">
        <f t="shared" si="1"/>
        <v>10</v>
      </c>
      <c r="M34" s="63">
        <f t="shared" si="1"/>
        <v>14</v>
      </c>
      <c r="N34" s="63">
        <f t="shared" si="1"/>
        <v>16</v>
      </c>
      <c r="O34" s="63">
        <f t="shared" si="1"/>
        <v>6</v>
      </c>
      <c r="P34" s="63">
        <f t="shared" si="1"/>
        <v>6</v>
      </c>
      <c r="Q34" s="63">
        <f t="shared" si="1"/>
        <v>0</v>
      </c>
      <c r="R34" s="29">
        <f t="shared" si="1"/>
        <v>0</v>
      </c>
      <c r="S34" s="29">
        <f t="shared" si="1"/>
        <v>0</v>
      </c>
      <c r="T34" s="29">
        <f t="shared" si="1"/>
        <v>0</v>
      </c>
      <c r="U34" s="64">
        <f t="shared" si="1"/>
        <v>3</v>
      </c>
      <c r="V34" s="64">
        <f t="shared" si="1"/>
        <v>0</v>
      </c>
      <c r="W34" s="64">
        <f t="shared" si="1"/>
        <v>0</v>
      </c>
      <c r="X34" s="64">
        <f t="shared" si="1"/>
        <v>7</v>
      </c>
      <c r="Y34" s="64">
        <f t="shared" si="1"/>
        <v>0</v>
      </c>
      <c r="Z34" s="65">
        <f t="shared" si="1"/>
        <v>3</v>
      </c>
      <c r="AA34" s="65">
        <f t="shared" si="1"/>
        <v>2</v>
      </c>
      <c r="AB34" s="65">
        <f t="shared" si="1"/>
        <v>2</v>
      </c>
      <c r="AC34" s="65">
        <f t="shared" si="1"/>
        <v>10</v>
      </c>
      <c r="AD34" s="65">
        <f t="shared" si="1"/>
        <v>13</v>
      </c>
      <c r="AE34" s="66">
        <f t="shared" si="1"/>
        <v>0</v>
      </c>
      <c r="AF34" s="66">
        <f t="shared" si="1"/>
        <v>2</v>
      </c>
      <c r="AG34" s="66">
        <f t="shared" si="1"/>
        <v>0</v>
      </c>
      <c r="AH34" s="67">
        <f t="shared" si="1"/>
        <v>7</v>
      </c>
      <c r="AI34" s="67">
        <f t="shared" si="1"/>
        <v>4</v>
      </c>
      <c r="AJ34" s="67">
        <f t="shared" si="1"/>
        <v>1</v>
      </c>
      <c r="AK34" s="25"/>
    </row>
    <row r="35" spans="1:37" ht="30" customHeight="1">
      <c r="AG35" s="129" t="s">
        <v>78</v>
      </c>
      <c r="AH35" s="130"/>
      <c r="AI35" s="130"/>
      <c r="AJ35" s="131"/>
      <c r="AK35" s="107">
        <f>ROUND(AVERAGE(AK4:AK33),0)</f>
        <v>8</v>
      </c>
    </row>
    <row r="36" spans="1:37" ht="30" customHeight="1">
      <c r="AG36" s="129" t="s">
        <v>79</v>
      </c>
      <c r="AH36" s="130"/>
      <c r="AI36" s="130"/>
      <c r="AJ36" s="131"/>
      <c r="AK36" s="107">
        <f>MAX(AK4:AK33)</f>
        <v>19</v>
      </c>
    </row>
    <row r="37" spans="1:37" ht="30" customHeight="1">
      <c r="AG37" s="129" t="s">
        <v>80</v>
      </c>
      <c r="AH37" s="130"/>
      <c r="AI37" s="130"/>
      <c r="AJ37" s="131"/>
      <c r="AK37" s="107">
        <f>MIN(AK4:AK33)</f>
        <v>0</v>
      </c>
    </row>
    <row r="38" spans="1:37" ht="30" customHeight="1">
      <c r="AG38" s="129" t="s">
        <v>81</v>
      </c>
      <c r="AH38" s="130"/>
      <c r="AI38" s="130"/>
      <c r="AJ38" s="131"/>
      <c r="AK38" s="107">
        <f>COUNTIF(AK4:AK33, "&gt;"&amp;AK35)</f>
        <v>15</v>
      </c>
    </row>
    <row r="39" spans="1:37" ht="30" customHeight="1">
      <c r="AG39" s="129" t="s">
        <v>82</v>
      </c>
      <c r="AH39" s="130"/>
      <c r="AI39" s="130"/>
      <c r="AJ39" s="131"/>
      <c r="AK39" s="107">
        <f>COUNTIF(AK4:AK33, "&lt;"&amp;AK35)</f>
        <v>14</v>
      </c>
    </row>
    <row r="40" spans="1:37" ht="30" customHeight="1">
      <c r="AG40" s="129" t="s">
        <v>83</v>
      </c>
      <c r="AH40" s="130"/>
      <c r="AI40" s="130"/>
      <c r="AJ40" s="131"/>
      <c r="AK40" s="107">
        <f>COUNTIF(AK4:AK33, "&gt;"&amp;20)</f>
        <v>0</v>
      </c>
    </row>
    <row r="41" spans="1:37" ht="30" customHeight="1">
      <c r="AG41" s="129" t="s">
        <v>84</v>
      </c>
      <c r="AH41" s="130"/>
      <c r="AI41" s="130"/>
      <c r="AJ41" s="131"/>
      <c r="AK41" s="107">
        <f>COUNTIF(AK4:AK33, "&lt;"&amp;20)</f>
        <v>30</v>
      </c>
    </row>
    <row r="42" spans="1:37" ht="30" customHeight="1"/>
    <row r="43" spans="1:37" ht="30" customHeight="1"/>
    <row r="44" spans="1:37" ht="30" customHeight="1"/>
  </sheetData>
  <mergeCells count="17">
    <mergeCell ref="AE1:AG1"/>
    <mergeCell ref="AH1:AJ1"/>
    <mergeCell ref="AG40:AJ40"/>
    <mergeCell ref="AG41:AJ41"/>
    <mergeCell ref="AK1:AK3"/>
    <mergeCell ref="A34:D34"/>
    <mergeCell ref="AG37:AJ37"/>
    <mergeCell ref="AG38:AJ38"/>
    <mergeCell ref="AG39:AJ39"/>
    <mergeCell ref="AG35:AJ35"/>
    <mergeCell ref="AG36:AJ36"/>
    <mergeCell ref="A1:C2"/>
    <mergeCell ref="E1:K1"/>
    <mergeCell ref="L1:Q1"/>
    <mergeCell ref="U1:Y1"/>
    <mergeCell ref="Z1:AD1"/>
    <mergeCell ref="R1:T1"/>
  </mergeCells>
  <conditionalFormatting sqref="E4:AJ33 L34:Q34">
    <cfRule type="expression" dxfId="6" priority="7">
      <formula>E4="+"</formula>
    </cfRule>
  </conditionalFormatting>
  <conditionalFormatting sqref="R34:T34">
    <cfRule type="expression" dxfId="5" priority="5">
      <formula>R34="+"</formula>
    </cfRule>
  </conditionalFormatting>
  <conditionalFormatting sqref="U34:Y34">
    <cfRule type="expression" dxfId="4" priority="4">
      <formula>U34="+"</formula>
    </cfRule>
  </conditionalFormatting>
  <conditionalFormatting sqref="Z34:AD34">
    <cfRule type="expression" dxfId="3" priority="3">
      <formula>Z34="+"</formula>
    </cfRule>
  </conditionalFormatting>
  <conditionalFormatting sqref="AE34:AG34">
    <cfRule type="expression" dxfId="2" priority="2">
      <formula>AE34="+"</formula>
    </cfRule>
  </conditionalFormatting>
  <conditionalFormatting sqref="AH34:AJ34">
    <cfRule type="expression" dxfId="1" priority="1">
      <formula>AH34="+"</formula>
    </cfRule>
  </conditionalFormatting>
  <pageMargins left="0.75" right="0.75" top="1" bottom="1" header="0.5" footer="0.5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27"/>
  <sheetViews>
    <sheetView tabSelected="1" zoomScale="80" zoomScaleNormal="80" workbookViewId="0">
      <pane xSplit="4" ySplit="16" topLeftCell="O17" activePane="bottomRight" state="frozen"/>
      <selection pane="topRight" activeCell="E1" sqref="E1"/>
      <selection pane="bottomLeft" activeCell="A35" sqref="A35"/>
      <selection pane="bottomRight" activeCell="AI8" sqref="AI8"/>
    </sheetView>
  </sheetViews>
  <sheetFormatPr defaultColWidth="9" defaultRowHeight="15"/>
  <cols>
    <col min="1" max="3" width="15.7109375" style="3" customWidth="1"/>
    <col min="4" max="4" width="26" style="3" customWidth="1"/>
    <col min="5" max="6" width="15.7109375" style="3" customWidth="1"/>
    <col min="7" max="7" width="21.140625" style="3" customWidth="1"/>
    <col min="8" max="11" width="15.7109375" style="3" customWidth="1"/>
    <col min="12" max="12" width="20.28515625" style="3" customWidth="1"/>
    <col min="13" max="13" width="20.42578125" style="3" customWidth="1"/>
    <col min="14" max="14" width="38.7109375" style="3" customWidth="1"/>
    <col min="15" max="15" width="17.28515625" style="3" customWidth="1"/>
    <col min="16" max="16" width="32.28515625" style="3" customWidth="1"/>
    <col min="17" max="17" width="21.140625" style="3" customWidth="1"/>
    <col min="18" max="20" width="15.7109375" style="3" customWidth="1"/>
    <col min="21" max="21" width="23.7109375" style="3" customWidth="1"/>
    <col min="22" max="22" width="21.5703125" style="3" customWidth="1"/>
    <col min="23" max="25" width="15.7109375" style="3" customWidth="1"/>
    <col min="26" max="26" width="16.7109375" style="3" customWidth="1"/>
    <col min="27" max="28" width="15.7109375" style="3" customWidth="1"/>
    <col min="29" max="29" width="17.140625" style="3" customWidth="1"/>
    <col min="30" max="30" width="24.42578125" style="3" customWidth="1"/>
    <col min="31" max="31" width="14.5703125" style="3" customWidth="1"/>
    <col min="32" max="32" width="20" style="3" customWidth="1"/>
    <col min="33" max="33" width="17" style="3" customWidth="1"/>
    <col min="34" max="35" width="15.7109375" style="3" customWidth="1"/>
    <col min="36" max="36" width="26.28515625" style="3" customWidth="1"/>
    <col min="37" max="37" width="24.5703125" style="3" customWidth="1"/>
    <col min="38" max="38" width="20.7109375" style="3" customWidth="1"/>
    <col min="39" max="16384" width="9" style="3"/>
  </cols>
  <sheetData>
    <row r="1" spans="1:37" s="1" customFormat="1" ht="30" customHeight="1">
      <c r="A1" s="140"/>
      <c r="B1" s="141"/>
      <c r="C1" s="142"/>
      <c r="D1" s="4" t="s">
        <v>36</v>
      </c>
      <c r="E1" s="146" t="s">
        <v>37</v>
      </c>
      <c r="F1" s="146"/>
      <c r="G1" s="146"/>
      <c r="H1" s="146"/>
      <c r="I1" s="146"/>
      <c r="J1" s="146"/>
      <c r="K1" s="146"/>
      <c r="L1" s="147" t="s">
        <v>38</v>
      </c>
      <c r="M1" s="147"/>
      <c r="N1" s="147"/>
      <c r="O1" s="147"/>
      <c r="P1" s="147"/>
      <c r="Q1" s="147"/>
      <c r="R1" s="156" t="s">
        <v>39</v>
      </c>
      <c r="S1" s="157"/>
      <c r="T1" s="158"/>
      <c r="U1" s="149" t="s">
        <v>40</v>
      </c>
      <c r="V1" s="150"/>
      <c r="W1" s="150"/>
      <c r="X1" s="150"/>
      <c r="Y1" s="151"/>
      <c r="Z1" s="152" t="s">
        <v>41</v>
      </c>
      <c r="AA1" s="152"/>
      <c r="AB1" s="152"/>
      <c r="AC1" s="152"/>
      <c r="AD1" s="159" t="s">
        <v>93</v>
      </c>
      <c r="AE1" s="160"/>
      <c r="AF1" s="160"/>
      <c r="AG1" s="160"/>
      <c r="AH1" s="160"/>
      <c r="AI1" s="160"/>
      <c r="AJ1" s="161"/>
      <c r="AK1" s="137" t="s">
        <v>35</v>
      </c>
    </row>
    <row r="2" spans="1:37" s="2" customFormat="1" ht="70.5" customHeight="1">
      <c r="A2" s="143"/>
      <c r="B2" s="144"/>
      <c r="C2" s="145"/>
      <c r="D2" s="5" t="s">
        <v>44</v>
      </c>
      <c r="E2" s="6" t="s">
        <v>92</v>
      </c>
      <c r="F2" s="6" t="s">
        <v>46</v>
      </c>
      <c r="G2" s="6" t="s">
        <v>22</v>
      </c>
      <c r="H2" s="6" t="s">
        <v>4</v>
      </c>
      <c r="I2" s="6" t="s">
        <v>24</v>
      </c>
      <c r="J2" s="6" t="s">
        <v>25</v>
      </c>
      <c r="K2" s="6" t="s">
        <v>23</v>
      </c>
      <c r="L2" s="7" t="s">
        <v>26</v>
      </c>
      <c r="M2" s="7" t="s">
        <v>47</v>
      </c>
      <c r="N2" s="7" t="s">
        <v>94</v>
      </c>
      <c r="O2" s="7" t="s">
        <v>29</v>
      </c>
      <c r="P2" s="7" t="s">
        <v>85</v>
      </c>
      <c r="Q2" s="7" t="s">
        <v>51</v>
      </c>
      <c r="R2" s="119" t="s">
        <v>52</v>
      </c>
      <c r="S2" s="118" t="s">
        <v>7</v>
      </c>
      <c r="T2" s="118" t="s">
        <v>95</v>
      </c>
      <c r="U2" s="9" t="s">
        <v>53</v>
      </c>
      <c r="V2" s="9" t="s">
        <v>54</v>
      </c>
      <c r="W2" s="9" t="s">
        <v>4</v>
      </c>
      <c r="X2" s="9" t="s">
        <v>55</v>
      </c>
      <c r="Y2" s="9" t="s">
        <v>56</v>
      </c>
      <c r="Z2" s="10" t="s">
        <v>57</v>
      </c>
      <c r="AA2" s="10" t="s">
        <v>58</v>
      </c>
      <c r="AB2" s="10" t="s">
        <v>33</v>
      </c>
      <c r="AC2" s="10" t="s">
        <v>60</v>
      </c>
      <c r="AD2" s="11" t="s">
        <v>96</v>
      </c>
      <c r="AE2" s="11" t="s">
        <v>97</v>
      </c>
      <c r="AF2" s="11" t="s">
        <v>88</v>
      </c>
      <c r="AG2" s="11" t="s">
        <v>89</v>
      </c>
      <c r="AH2" s="11" t="s">
        <v>98</v>
      </c>
      <c r="AI2" s="11" t="s">
        <v>99</v>
      </c>
      <c r="AJ2" s="11" t="s">
        <v>100</v>
      </c>
      <c r="AK2" s="138"/>
    </row>
    <row r="3" spans="1:37">
      <c r="A3" s="13" t="s">
        <v>1</v>
      </c>
      <c r="B3" s="13" t="s">
        <v>2</v>
      </c>
      <c r="C3" s="13" t="s">
        <v>3</v>
      </c>
      <c r="D3" s="13" t="s">
        <v>63</v>
      </c>
      <c r="E3" s="14">
        <v>1</v>
      </c>
      <c r="F3" s="14">
        <v>1</v>
      </c>
      <c r="G3" s="14">
        <v>1</v>
      </c>
      <c r="H3" s="14">
        <v>1</v>
      </c>
      <c r="I3" s="14">
        <v>1</v>
      </c>
      <c r="J3" s="14">
        <v>1</v>
      </c>
      <c r="K3" s="14">
        <v>1</v>
      </c>
      <c r="L3" s="15">
        <v>1</v>
      </c>
      <c r="M3" s="15">
        <v>1</v>
      </c>
      <c r="N3" s="15">
        <v>1</v>
      </c>
      <c r="O3" s="15">
        <v>1</v>
      </c>
      <c r="P3" s="15">
        <v>1</v>
      </c>
      <c r="Q3" s="15">
        <v>1</v>
      </c>
      <c r="R3" s="16">
        <v>1</v>
      </c>
      <c r="S3" s="16">
        <v>1</v>
      </c>
      <c r="T3" s="16">
        <v>1</v>
      </c>
      <c r="U3" s="17">
        <v>1</v>
      </c>
      <c r="V3" s="17">
        <v>1</v>
      </c>
      <c r="W3" s="17">
        <v>1</v>
      </c>
      <c r="X3" s="17">
        <v>1</v>
      </c>
      <c r="Y3" s="17">
        <v>1</v>
      </c>
      <c r="Z3" s="18">
        <v>1</v>
      </c>
      <c r="AA3" s="18">
        <v>1</v>
      </c>
      <c r="AB3" s="18">
        <v>1</v>
      </c>
      <c r="AC3" s="18">
        <v>1</v>
      </c>
      <c r="AD3" s="19">
        <v>1</v>
      </c>
      <c r="AE3" s="19">
        <v>1</v>
      </c>
      <c r="AF3" s="19">
        <v>1</v>
      </c>
      <c r="AG3" s="19">
        <v>1</v>
      </c>
      <c r="AH3" s="19">
        <v>1</v>
      </c>
      <c r="AI3" s="19">
        <v>1</v>
      </c>
      <c r="AJ3" s="19">
        <v>1</v>
      </c>
      <c r="AK3" s="139"/>
    </row>
    <row r="4" spans="1:37">
      <c r="A4" s="30">
        <v>1</v>
      </c>
      <c r="B4" s="115" t="s">
        <v>14</v>
      </c>
      <c r="C4" s="22">
        <v>46314</v>
      </c>
      <c r="D4" s="30" t="s">
        <v>62</v>
      </c>
      <c r="E4" s="62" t="s">
        <v>12</v>
      </c>
      <c r="F4" s="62"/>
      <c r="G4" s="62"/>
      <c r="H4" s="62"/>
      <c r="I4" s="62" t="s">
        <v>12</v>
      </c>
      <c r="J4" s="62" t="s">
        <v>12</v>
      </c>
      <c r="K4" s="62"/>
      <c r="L4" s="63"/>
      <c r="M4" s="63" t="s">
        <v>12</v>
      </c>
      <c r="N4" s="63"/>
      <c r="O4" s="63"/>
      <c r="P4" s="63"/>
      <c r="Q4" s="63"/>
      <c r="R4" s="24"/>
      <c r="S4" s="24"/>
      <c r="T4" s="24"/>
      <c r="U4" s="64"/>
      <c r="V4" s="64"/>
      <c r="W4" s="64"/>
      <c r="X4" s="64"/>
      <c r="Y4" s="64"/>
      <c r="Z4" s="65" t="s">
        <v>12</v>
      </c>
      <c r="AA4" s="65"/>
      <c r="AB4" s="65"/>
      <c r="AC4" s="65"/>
      <c r="AD4" s="66" t="s">
        <v>12</v>
      </c>
      <c r="AE4" s="66"/>
      <c r="AF4" s="66"/>
      <c r="AG4" s="66"/>
      <c r="AH4" s="66"/>
      <c r="AI4" s="66"/>
      <c r="AJ4" s="66"/>
      <c r="AK4" s="25">
        <f t="shared" ref="AK4:AK16" si="0">SUMIF(E4:AJ4,"&lt;&gt;",$E$3:$AJ$3)</f>
        <v>6</v>
      </c>
    </row>
    <row r="5" spans="1:37">
      <c r="A5" s="30">
        <v>2</v>
      </c>
      <c r="B5" s="115" t="s">
        <v>15</v>
      </c>
      <c r="C5" s="22">
        <v>46315</v>
      </c>
      <c r="D5" s="30" t="s">
        <v>62</v>
      </c>
      <c r="E5" s="62"/>
      <c r="F5" s="62"/>
      <c r="G5" s="62" t="s">
        <v>12</v>
      </c>
      <c r="H5" s="62"/>
      <c r="I5" s="62" t="s">
        <v>12</v>
      </c>
      <c r="J5" s="62" t="s">
        <v>12</v>
      </c>
      <c r="K5" s="62"/>
      <c r="L5" s="63" t="s">
        <v>12</v>
      </c>
      <c r="M5" s="63" t="s">
        <v>12</v>
      </c>
      <c r="N5" s="63"/>
      <c r="O5" s="63"/>
      <c r="P5" s="63"/>
      <c r="Q5" s="63"/>
      <c r="R5" s="24"/>
      <c r="S5" s="24"/>
      <c r="T5" s="24"/>
      <c r="U5" s="64"/>
      <c r="V5" s="64"/>
      <c r="W5" s="64" t="s">
        <v>12</v>
      </c>
      <c r="X5" s="64" t="s">
        <v>12</v>
      </c>
      <c r="Y5" s="64"/>
      <c r="Z5" s="65"/>
      <c r="AA5" s="65"/>
      <c r="AB5" s="65"/>
      <c r="AC5" s="65" t="s">
        <v>12</v>
      </c>
      <c r="AD5" s="66" t="s">
        <v>12</v>
      </c>
      <c r="AE5" s="66" t="s">
        <v>12</v>
      </c>
      <c r="AF5" s="66"/>
      <c r="AG5" s="66"/>
      <c r="AH5" s="66"/>
      <c r="AI5" s="66"/>
      <c r="AJ5" s="66"/>
      <c r="AK5" s="25">
        <f t="shared" si="0"/>
        <v>10</v>
      </c>
    </row>
    <row r="6" spans="1:37">
      <c r="A6" s="30">
        <v>3</v>
      </c>
      <c r="B6" s="115" t="s">
        <v>16</v>
      </c>
      <c r="C6" s="22">
        <v>46316</v>
      </c>
      <c r="D6" s="30" t="s">
        <v>62</v>
      </c>
      <c r="E6" s="62"/>
      <c r="F6" s="62" t="s">
        <v>12</v>
      </c>
      <c r="G6" s="62" t="s">
        <v>12</v>
      </c>
      <c r="H6" s="62"/>
      <c r="I6" s="62" t="s">
        <v>12</v>
      </c>
      <c r="J6" s="62" t="s">
        <v>12</v>
      </c>
      <c r="K6" s="62"/>
      <c r="L6" s="63"/>
      <c r="M6" s="63" t="s">
        <v>12</v>
      </c>
      <c r="N6" s="63"/>
      <c r="O6" s="63"/>
      <c r="P6" s="63"/>
      <c r="Q6" s="63"/>
      <c r="R6" s="24"/>
      <c r="S6" s="24"/>
      <c r="T6" s="24"/>
      <c r="U6" s="64"/>
      <c r="V6" s="64"/>
      <c r="W6" s="64"/>
      <c r="X6" s="64"/>
      <c r="Y6" s="64"/>
      <c r="Z6" s="65"/>
      <c r="AA6" s="65"/>
      <c r="AB6" s="65" t="s">
        <v>12</v>
      </c>
      <c r="AC6" s="65" t="s">
        <v>12</v>
      </c>
      <c r="AD6" s="66" t="s">
        <v>12</v>
      </c>
      <c r="AE6" s="66" t="s">
        <v>12</v>
      </c>
      <c r="AF6" s="66"/>
      <c r="AG6" s="66"/>
      <c r="AH6" s="66"/>
      <c r="AI6" s="66"/>
      <c r="AJ6" s="66"/>
      <c r="AK6" s="25">
        <f t="shared" si="0"/>
        <v>9</v>
      </c>
    </row>
    <row r="7" spans="1:37">
      <c r="A7" s="30">
        <v>4</v>
      </c>
      <c r="B7" s="115" t="s">
        <v>17</v>
      </c>
      <c r="C7" s="22">
        <v>46317</v>
      </c>
      <c r="D7" s="30" t="s">
        <v>62</v>
      </c>
      <c r="E7" s="62" t="s">
        <v>12</v>
      </c>
      <c r="F7" s="62" t="s">
        <v>12</v>
      </c>
      <c r="G7" s="62" t="s">
        <v>12</v>
      </c>
      <c r="H7" s="62"/>
      <c r="I7" s="62" t="s">
        <v>12</v>
      </c>
      <c r="J7" s="62" t="s">
        <v>12</v>
      </c>
      <c r="K7" s="62"/>
      <c r="L7" s="63" t="s">
        <v>12</v>
      </c>
      <c r="M7" s="63" t="s">
        <v>12</v>
      </c>
      <c r="N7" s="63"/>
      <c r="O7" s="63"/>
      <c r="P7" s="63"/>
      <c r="Q7" s="63"/>
      <c r="R7" s="24"/>
      <c r="S7" s="24"/>
      <c r="T7" s="24"/>
      <c r="U7" s="64"/>
      <c r="V7" s="64"/>
      <c r="W7" s="64"/>
      <c r="X7" s="64"/>
      <c r="Y7" s="64"/>
      <c r="Z7" s="65"/>
      <c r="AA7" s="65"/>
      <c r="AB7" s="65" t="s">
        <v>12</v>
      </c>
      <c r="AC7" s="65"/>
      <c r="AD7" s="66" t="s">
        <v>12</v>
      </c>
      <c r="AE7" s="66" t="s">
        <v>12</v>
      </c>
      <c r="AF7" s="66"/>
      <c r="AG7" s="66"/>
      <c r="AH7" s="66" t="s">
        <v>12</v>
      </c>
      <c r="AI7" s="66" t="s">
        <v>12</v>
      </c>
      <c r="AJ7" s="66"/>
      <c r="AK7" s="25">
        <f t="shared" si="0"/>
        <v>12</v>
      </c>
    </row>
    <row r="8" spans="1:37">
      <c r="A8" s="30">
        <v>5</v>
      </c>
      <c r="B8" s="115" t="s">
        <v>18</v>
      </c>
      <c r="C8" s="22">
        <v>46318</v>
      </c>
      <c r="D8" s="30" t="s">
        <v>62</v>
      </c>
      <c r="E8" s="62"/>
      <c r="F8" s="62"/>
      <c r="G8" s="62"/>
      <c r="H8" s="62"/>
      <c r="I8" s="62"/>
      <c r="J8" s="62"/>
      <c r="K8" s="62"/>
      <c r="L8" s="63"/>
      <c r="M8" s="63"/>
      <c r="N8" s="63"/>
      <c r="O8" s="63"/>
      <c r="P8" s="63"/>
      <c r="Q8" s="63"/>
      <c r="R8" s="24"/>
      <c r="S8" s="24"/>
      <c r="T8" s="24"/>
      <c r="U8" s="64"/>
      <c r="V8" s="64"/>
      <c r="W8" s="64"/>
      <c r="X8" s="64"/>
      <c r="Y8" s="64"/>
      <c r="Z8" s="65"/>
      <c r="AA8" s="65"/>
      <c r="AB8" s="65"/>
      <c r="AC8" s="65"/>
      <c r="AD8" s="66"/>
      <c r="AE8" s="66"/>
      <c r="AF8" s="66"/>
      <c r="AG8" s="66"/>
      <c r="AH8" s="66"/>
      <c r="AI8" s="66"/>
      <c r="AJ8" s="66"/>
      <c r="AK8" s="25">
        <f t="shared" si="0"/>
        <v>0</v>
      </c>
    </row>
    <row r="9" spans="1:37">
      <c r="A9" s="69">
        <v>6</v>
      </c>
      <c r="B9" s="116" t="s">
        <v>11</v>
      </c>
      <c r="C9" s="22">
        <v>46319</v>
      </c>
      <c r="D9" s="69" t="s">
        <v>62</v>
      </c>
      <c r="E9" s="70"/>
      <c r="F9" s="70"/>
      <c r="G9" s="70"/>
      <c r="H9" s="70"/>
      <c r="I9" s="70"/>
      <c r="J9" s="70"/>
      <c r="K9" s="70"/>
      <c r="L9" s="71"/>
      <c r="M9" s="71"/>
      <c r="N9" s="71"/>
      <c r="O9" s="71"/>
      <c r="P9" s="71"/>
      <c r="Q9" s="71"/>
      <c r="R9" s="113"/>
      <c r="S9" s="113"/>
      <c r="T9" s="113"/>
      <c r="U9" s="73"/>
      <c r="V9" s="73"/>
      <c r="W9" s="73"/>
      <c r="X9" s="73"/>
      <c r="Y9" s="73"/>
      <c r="Z9" s="74"/>
      <c r="AA9" s="74"/>
      <c r="AB9" s="74"/>
      <c r="AC9" s="74"/>
      <c r="AD9" s="75"/>
      <c r="AE9" s="75"/>
      <c r="AF9" s="75"/>
      <c r="AG9" s="75"/>
      <c r="AH9" s="75"/>
      <c r="AI9" s="75"/>
      <c r="AJ9" s="75"/>
      <c r="AK9" s="93">
        <f t="shared" si="0"/>
        <v>0</v>
      </c>
    </row>
    <row r="10" spans="1:37">
      <c r="A10" s="30">
        <v>7</v>
      </c>
      <c r="B10" s="115" t="s">
        <v>13</v>
      </c>
      <c r="C10" s="22">
        <v>46320</v>
      </c>
      <c r="D10" s="30" t="s">
        <v>62</v>
      </c>
      <c r="E10" s="62"/>
      <c r="F10" s="62"/>
      <c r="G10" s="62"/>
      <c r="H10" s="62"/>
      <c r="I10" s="62"/>
      <c r="J10" s="62"/>
      <c r="K10" s="62"/>
      <c r="L10" s="63"/>
      <c r="M10" s="63"/>
      <c r="N10" s="63"/>
      <c r="O10" s="63"/>
      <c r="P10" s="63"/>
      <c r="Q10" s="63"/>
      <c r="R10" s="27"/>
      <c r="S10" s="27"/>
      <c r="T10" s="27"/>
      <c r="U10" s="64"/>
      <c r="V10" s="64"/>
      <c r="W10" s="64"/>
      <c r="X10" s="64"/>
      <c r="Y10" s="64"/>
      <c r="Z10" s="65"/>
      <c r="AA10" s="65"/>
      <c r="AB10" s="65"/>
      <c r="AC10" s="65"/>
      <c r="AD10" s="66"/>
      <c r="AE10" s="66"/>
      <c r="AF10" s="66"/>
      <c r="AG10" s="66"/>
      <c r="AH10" s="66"/>
      <c r="AI10" s="66"/>
      <c r="AJ10" s="66"/>
      <c r="AK10" s="25">
        <f t="shared" si="0"/>
        <v>0</v>
      </c>
    </row>
    <row r="11" spans="1:37">
      <c r="A11" s="84">
        <v>8</v>
      </c>
      <c r="B11" s="117" t="s">
        <v>14</v>
      </c>
      <c r="C11" s="22">
        <v>46321</v>
      </c>
      <c r="D11" s="84" t="s">
        <v>62</v>
      </c>
      <c r="E11" s="77"/>
      <c r="F11" s="77"/>
      <c r="G11" s="77"/>
      <c r="H11" s="77"/>
      <c r="I11" s="77"/>
      <c r="J11" s="77"/>
      <c r="K11" s="77"/>
      <c r="L11" s="78"/>
      <c r="M11" s="78"/>
      <c r="N11" s="78"/>
      <c r="O11" s="78"/>
      <c r="P11" s="78"/>
      <c r="Q11" s="78"/>
      <c r="R11" s="79"/>
      <c r="S11" s="79"/>
      <c r="T11" s="79"/>
      <c r="U11" s="80"/>
      <c r="V11" s="80"/>
      <c r="W11" s="80"/>
      <c r="X11" s="80"/>
      <c r="Y11" s="80"/>
      <c r="Z11" s="81"/>
      <c r="AA11" s="81"/>
      <c r="AB11" s="81"/>
      <c r="AC11" s="81"/>
      <c r="AD11" s="82"/>
      <c r="AE11" s="82"/>
      <c r="AF11" s="82"/>
      <c r="AG11" s="82"/>
      <c r="AH11" s="82"/>
      <c r="AI11" s="82"/>
      <c r="AJ11" s="82"/>
      <c r="AK11" s="94">
        <f t="shared" si="0"/>
        <v>0</v>
      </c>
    </row>
    <row r="12" spans="1:37">
      <c r="A12" s="30">
        <v>9</v>
      </c>
      <c r="B12" s="115" t="s">
        <v>15</v>
      </c>
      <c r="C12" s="22">
        <v>46322</v>
      </c>
      <c r="D12" s="30" t="s">
        <v>62</v>
      </c>
      <c r="E12" s="62"/>
      <c r="F12" s="62"/>
      <c r="G12" s="62"/>
      <c r="H12" s="62"/>
      <c r="I12" s="62"/>
      <c r="J12" s="62"/>
      <c r="K12" s="62"/>
      <c r="L12" s="63"/>
      <c r="M12" s="63"/>
      <c r="N12" s="63"/>
      <c r="O12" s="63"/>
      <c r="P12" s="63"/>
      <c r="Q12" s="63"/>
      <c r="R12" s="28"/>
      <c r="S12" s="28"/>
      <c r="T12" s="28"/>
      <c r="U12" s="64"/>
      <c r="V12" s="64"/>
      <c r="W12" s="64"/>
      <c r="X12" s="64"/>
      <c r="Y12" s="64"/>
      <c r="Z12" s="65"/>
      <c r="AA12" s="65"/>
      <c r="AB12" s="65"/>
      <c r="AC12" s="65"/>
      <c r="AD12" s="66"/>
      <c r="AE12" s="66"/>
      <c r="AF12" s="66"/>
      <c r="AG12" s="66"/>
      <c r="AH12" s="66"/>
      <c r="AI12" s="66"/>
      <c r="AJ12" s="66"/>
      <c r="AK12" s="25">
        <f t="shared" si="0"/>
        <v>0</v>
      </c>
    </row>
    <row r="13" spans="1:37">
      <c r="A13" s="30">
        <v>10</v>
      </c>
      <c r="B13" s="115" t="s">
        <v>16</v>
      </c>
      <c r="C13" s="22">
        <v>46323</v>
      </c>
      <c r="D13" s="30" t="s">
        <v>62</v>
      </c>
      <c r="E13" s="62"/>
      <c r="F13" s="62"/>
      <c r="G13" s="62"/>
      <c r="H13" s="62"/>
      <c r="I13" s="62"/>
      <c r="J13" s="62"/>
      <c r="K13" s="62"/>
      <c r="L13" s="63"/>
      <c r="M13" s="63"/>
      <c r="N13" s="63"/>
      <c r="O13" s="63"/>
      <c r="P13" s="63"/>
      <c r="Q13" s="63"/>
      <c r="R13" s="29"/>
      <c r="S13" s="29"/>
      <c r="T13" s="29"/>
      <c r="U13" s="64"/>
      <c r="V13" s="64"/>
      <c r="W13" s="64"/>
      <c r="X13" s="64"/>
      <c r="Y13" s="64"/>
      <c r="Z13" s="65"/>
      <c r="AA13" s="65"/>
      <c r="AB13" s="65"/>
      <c r="AC13" s="65"/>
      <c r="AD13" s="66"/>
      <c r="AE13" s="66"/>
      <c r="AF13" s="66"/>
      <c r="AG13" s="66"/>
      <c r="AH13" s="66"/>
      <c r="AI13" s="66"/>
      <c r="AJ13" s="66"/>
      <c r="AK13" s="25">
        <f t="shared" si="0"/>
        <v>0</v>
      </c>
    </row>
    <row r="14" spans="1:37">
      <c r="A14" s="30">
        <v>11</v>
      </c>
      <c r="B14" s="115" t="s">
        <v>17</v>
      </c>
      <c r="C14" s="22">
        <v>46324</v>
      </c>
      <c r="D14" s="30" t="s">
        <v>62</v>
      </c>
      <c r="E14" s="62"/>
      <c r="F14" s="62"/>
      <c r="G14" s="62"/>
      <c r="H14" s="62"/>
      <c r="I14" s="62"/>
      <c r="J14" s="62"/>
      <c r="K14" s="62"/>
      <c r="L14" s="63"/>
      <c r="M14" s="63"/>
      <c r="N14" s="63"/>
      <c r="O14" s="63"/>
      <c r="P14" s="63"/>
      <c r="Q14" s="63"/>
      <c r="R14" s="29"/>
      <c r="S14" s="29"/>
      <c r="T14" s="29"/>
      <c r="U14" s="64"/>
      <c r="V14" s="64"/>
      <c r="W14" s="64"/>
      <c r="X14" s="64"/>
      <c r="Y14" s="64"/>
      <c r="Z14" s="65"/>
      <c r="AA14" s="65"/>
      <c r="AB14" s="65"/>
      <c r="AC14" s="65"/>
      <c r="AD14" s="66"/>
      <c r="AE14" s="66"/>
      <c r="AF14" s="66"/>
      <c r="AG14" s="66"/>
      <c r="AH14" s="66"/>
      <c r="AI14" s="66"/>
      <c r="AJ14" s="66"/>
      <c r="AK14" s="25">
        <f t="shared" si="0"/>
        <v>0</v>
      </c>
    </row>
    <row r="15" spans="1:37">
      <c r="A15" s="30">
        <v>12</v>
      </c>
      <c r="B15" s="115" t="s">
        <v>18</v>
      </c>
      <c r="C15" s="22">
        <v>46325</v>
      </c>
      <c r="D15" s="30" t="s">
        <v>62</v>
      </c>
      <c r="E15" s="62"/>
      <c r="F15" s="62"/>
      <c r="G15" s="62"/>
      <c r="H15" s="62"/>
      <c r="I15" s="62"/>
      <c r="J15" s="62"/>
      <c r="K15" s="62"/>
      <c r="L15" s="63"/>
      <c r="M15" s="63"/>
      <c r="N15" s="63"/>
      <c r="O15" s="63"/>
      <c r="P15" s="63"/>
      <c r="Q15" s="63"/>
      <c r="R15" s="29"/>
      <c r="S15" s="29"/>
      <c r="T15" s="29"/>
      <c r="U15" s="64"/>
      <c r="V15" s="64"/>
      <c r="W15" s="64"/>
      <c r="X15" s="64"/>
      <c r="Y15" s="64"/>
      <c r="Z15" s="65"/>
      <c r="AA15" s="65"/>
      <c r="AB15" s="65"/>
      <c r="AC15" s="65"/>
      <c r="AD15" s="66"/>
      <c r="AE15" s="66"/>
      <c r="AF15" s="66"/>
      <c r="AG15" s="66"/>
      <c r="AH15" s="66"/>
      <c r="AI15" s="66"/>
      <c r="AJ15" s="66"/>
      <c r="AK15" s="25">
        <f t="shared" si="0"/>
        <v>0</v>
      </c>
    </row>
    <row r="16" spans="1:37">
      <c r="A16" s="30">
        <v>13</v>
      </c>
      <c r="B16" s="115" t="s">
        <v>11</v>
      </c>
      <c r="C16" s="22">
        <v>46326</v>
      </c>
      <c r="D16" s="69" t="s">
        <v>62</v>
      </c>
      <c r="E16" s="70"/>
      <c r="F16" s="70"/>
      <c r="G16" s="70"/>
      <c r="H16" s="70"/>
      <c r="I16" s="70"/>
      <c r="J16" s="70"/>
      <c r="K16" s="70"/>
      <c r="L16" s="71"/>
      <c r="M16" s="71"/>
      <c r="N16" s="71"/>
      <c r="O16" s="71"/>
      <c r="P16" s="71"/>
      <c r="Q16" s="71"/>
      <c r="R16" s="72"/>
      <c r="S16" s="72"/>
      <c r="T16" s="72"/>
      <c r="U16" s="73"/>
      <c r="V16" s="73"/>
      <c r="W16" s="73"/>
      <c r="X16" s="73"/>
      <c r="Y16" s="73"/>
      <c r="Z16" s="74"/>
      <c r="AA16" s="74"/>
      <c r="AB16" s="74"/>
      <c r="AC16" s="74"/>
      <c r="AD16" s="75"/>
      <c r="AE16" s="75"/>
      <c r="AF16" s="75"/>
      <c r="AG16" s="75"/>
      <c r="AH16" s="75"/>
      <c r="AI16" s="75"/>
      <c r="AJ16" s="75"/>
      <c r="AK16" s="25">
        <f t="shared" si="0"/>
        <v>0</v>
      </c>
    </row>
    <row r="17" spans="1:37" ht="30" customHeight="1">
      <c r="A17" s="132" t="s">
        <v>77</v>
      </c>
      <c r="B17" s="133"/>
      <c r="C17" s="133"/>
      <c r="D17" s="134"/>
      <c r="E17" s="106">
        <f t="shared" ref="E17:AJ17" si="1">COUNTA(E4:E16)</f>
        <v>2</v>
      </c>
      <c r="F17" s="106">
        <f t="shared" si="1"/>
        <v>2</v>
      </c>
      <c r="G17" s="106">
        <f t="shared" si="1"/>
        <v>3</v>
      </c>
      <c r="H17" s="106">
        <f t="shared" si="1"/>
        <v>0</v>
      </c>
      <c r="I17" s="106">
        <f t="shared" si="1"/>
        <v>4</v>
      </c>
      <c r="J17" s="106">
        <f t="shared" si="1"/>
        <v>4</v>
      </c>
      <c r="K17" s="106">
        <f t="shared" si="1"/>
        <v>0</v>
      </c>
      <c r="L17" s="63">
        <f t="shared" si="1"/>
        <v>2</v>
      </c>
      <c r="M17" s="63">
        <f t="shared" si="1"/>
        <v>4</v>
      </c>
      <c r="N17" s="63">
        <f t="shared" si="1"/>
        <v>0</v>
      </c>
      <c r="O17" s="63">
        <f t="shared" si="1"/>
        <v>0</v>
      </c>
      <c r="P17" s="63">
        <f t="shared" si="1"/>
        <v>0</v>
      </c>
      <c r="Q17" s="63">
        <f t="shared" si="1"/>
        <v>0</v>
      </c>
      <c r="R17" s="29">
        <f t="shared" si="1"/>
        <v>0</v>
      </c>
      <c r="S17" s="29">
        <f t="shared" si="1"/>
        <v>0</v>
      </c>
      <c r="T17" s="29">
        <f t="shared" si="1"/>
        <v>0</v>
      </c>
      <c r="U17" s="64">
        <f t="shared" si="1"/>
        <v>0</v>
      </c>
      <c r="V17" s="64">
        <f t="shared" si="1"/>
        <v>0</v>
      </c>
      <c r="W17" s="64">
        <f t="shared" si="1"/>
        <v>1</v>
      </c>
      <c r="X17" s="64">
        <f t="shared" si="1"/>
        <v>1</v>
      </c>
      <c r="Y17" s="64">
        <f t="shared" si="1"/>
        <v>0</v>
      </c>
      <c r="Z17" s="65">
        <f t="shared" si="1"/>
        <v>1</v>
      </c>
      <c r="AA17" s="65">
        <f t="shared" si="1"/>
        <v>0</v>
      </c>
      <c r="AB17" s="65">
        <f t="shared" si="1"/>
        <v>2</v>
      </c>
      <c r="AC17" s="65">
        <f t="shared" si="1"/>
        <v>2</v>
      </c>
      <c r="AD17" s="66">
        <f t="shared" si="1"/>
        <v>4</v>
      </c>
      <c r="AE17" s="66">
        <f t="shared" si="1"/>
        <v>3</v>
      </c>
      <c r="AF17" s="66">
        <f t="shared" si="1"/>
        <v>0</v>
      </c>
      <c r="AG17" s="66">
        <f t="shared" si="1"/>
        <v>0</v>
      </c>
      <c r="AH17" s="66">
        <f t="shared" si="1"/>
        <v>1</v>
      </c>
      <c r="AI17" s="66">
        <f t="shared" si="1"/>
        <v>1</v>
      </c>
      <c r="AJ17" s="66">
        <f t="shared" si="1"/>
        <v>0</v>
      </c>
      <c r="AK17" s="25"/>
    </row>
    <row r="18" spans="1:37" ht="30" customHeight="1">
      <c r="AG18" s="129" t="s">
        <v>78</v>
      </c>
      <c r="AH18" s="130"/>
      <c r="AI18" s="130"/>
      <c r="AJ18" s="131"/>
      <c r="AK18" s="107">
        <f>ROUND(AVERAGE(AK4:AK16),0)</f>
        <v>3</v>
      </c>
    </row>
    <row r="19" spans="1:37" ht="30" customHeight="1">
      <c r="AG19" s="129" t="s">
        <v>79</v>
      </c>
      <c r="AH19" s="130"/>
      <c r="AI19" s="130"/>
      <c r="AJ19" s="131"/>
      <c r="AK19" s="107">
        <f>MAX(AK4:AK16)</f>
        <v>12</v>
      </c>
    </row>
    <row r="20" spans="1:37" ht="30" customHeight="1">
      <c r="AG20" s="129" t="s">
        <v>80</v>
      </c>
      <c r="AH20" s="130"/>
      <c r="AI20" s="130"/>
      <c r="AJ20" s="131"/>
      <c r="AK20" s="107">
        <f>MIN(AK4:AK16)</f>
        <v>0</v>
      </c>
    </row>
    <row r="21" spans="1:37" ht="30" customHeight="1">
      <c r="AG21" s="129" t="s">
        <v>81</v>
      </c>
      <c r="AH21" s="130"/>
      <c r="AI21" s="130"/>
      <c r="AJ21" s="131"/>
      <c r="AK21" s="107">
        <f>COUNTIF(AK4:AK16, "&gt;"&amp;AK18)</f>
        <v>4</v>
      </c>
    </row>
    <row r="22" spans="1:37" ht="30" customHeight="1">
      <c r="AG22" s="129" t="s">
        <v>82</v>
      </c>
      <c r="AH22" s="130"/>
      <c r="AI22" s="130"/>
      <c r="AJ22" s="131"/>
      <c r="AK22" s="107">
        <f>COUNTIF(AK4:AK16, "&lt;"&amp;AK18)</f>
        <v>9</v>
      </c>
    </row>
    <row r="23" spans="1:37" ht="30" customHeight="1">
      <c r="AG23" s="129" t="s">
        <v>83</v>
      </c>
      <c r="AH23" s="130"/>
      <c r="AI23" s="130"/>
      <c r="AJ23" s="131"/>
      <c r="AK23" s="107">
        <f>COUNTIF(AK4:AK16, "&gt;"&amp;20)</f>
        <v>0</v>
      </c>
    </row>
    <row r="24" spans="1:37" ht="30" customHeight="1">
      <c r="AG24" s="129" t="s">
        <v>84</v>
      </c>
      <c r="AH24" s="130"/>
      <c r="AI24" s="130"/>
      <c r="AJ24" s="131"/>
      <c r="AK24" s="107">
        <f>COUNTIF(AK4:AK16, "&lt;"&amp;20)</f>
        <v>13</v>
      </c>
    </row>
    <row r="25" spans="1:37" ht="30" customHeight="1"/>
    <row r="26" spans="1:37" ht="30" customHeight="1"/>
    <row r="27" spans="1:37" ht="30" customHeight="1"/>
  </sheetData>
  <mergeCells count="16">
    <mergeCell ref="AG22:AJ22"/>
    <mergeCell ref="AG23:AJ23"/>
    <mergeCell ref="AG24:AJ24"/>
    <mergeCell ref="AK1:AK3"/>
    <mergeCell ref="A17:D17"/>
    <mergeCell ref="AG18:AJ18"/>
    <mergeCell ref="AG20:AJ20"/>
    <mergeCell ref="AG21:AJ21"/>
    <mergeCell ref="AG19:AJ19"/>
    <mergeCell ref="A1:C2"/>
    <mergeCell ref="E1:K1"/>
    <mergeCell ref="L1:Q1"/>
    <mergeCell ref="R1:T1"/>
    <mergeCell ref="U1:Y1"/>
    <mergeCell ref="Z1:AC1"/>
    <mergeCell ref="AD1:AJ1"/>
  </mergeCells>
  <conditionalFormatting sqref="E4:AJ16 L17:AJ17 AH4:AJ17">
    <cfRule type="expression" dxfId="0" priority="7">
      <formula>E4="+"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Июнь</vt:lpstr>
      <vt:lpstr>Июль</vt:lpstr>
      <vt:lpstr>Август</vt:lpstr>
      <vt:lpstr>Сентябрь</vt:lpstr>
      <vt:lpstr>Октябрь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Собянин Евгений Андреевич (new)</cp:lastModifiedBy>
  <dcterms:created xsi:type="dcterms:W3CDTF">2006-09-28T05:33:00Z</dcterms:created>
  <dcterms:modified xsi:type="dcterms:W3CDTF">2026-10-22T15:15:45Z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BC8F425CFE974C4A9DFFCB8633E46B6C_12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