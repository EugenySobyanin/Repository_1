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" i="7"/>
  <c r="AJ17"/>
  <c r="AI17"/>
  <c r="AH17"/>
  <c r="AG17"/>
  <c r="AF17"/>
  <c r="AE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3"/>
  <c r="AK12"/>
  <c r="AK23" s="1"/>
  <c r="AK11"/>
  <c r="AK10"/>
  <c r="AK9"/>
  <c r="AK8"/>
  <c r="AK7"/>
  <c r="AK6"/>
  <c r="AK5"/>
  <c r="AK4"/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24" i="7" l="1"/>
  <c r="AK18"/>
  <c r="AK22" s="1"/>
  <c r="AK20"/>
  <c r="AK19"/>
  <c r="AK42" i="5"/>
  <c r="AK40" i="6"/>
  <c r="AK41" i="5"/>
  <c r="AK36"/>
  <c r="AK40" s="1"/>
  <c r="AK36" i="6"/>
  <c r="AK35"/>
  <c r="AK38" s="1"/>
  <c r="AK37"/>
  <c r="AK38" i="5"/>
  <c r="AK37"/>
  <c r="AK21" i="7" l="1"/>
  <c r="AK39" i="5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color indexed="81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color indexed="81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color indexed="81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<sst xmlns="http://schemas.openxmlformats.org/spreadsheetml/2006/main" count="937" uniqueCount="101">
  <si>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</si>
  <si>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</si>
  <si>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</si>
  <si>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</si>
  <si>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</si>
  <si>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</si>
  <si>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</si>
  <si>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</si>
  <si>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</si>
  <si>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</si>
  <si>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</si>
  <si>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</si>
  <si>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</si>
  <si>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</si>
  <si>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</si>
  <si>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</si>
  <si>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</si>
  <si>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</si>
  <si>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</si>
  <si>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</si>
  <si>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</si>
  <si>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</si>
  <si>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</si>
  <si>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</si>
  <si>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</si>
  <si>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</si>
  <si>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</si>
  <si>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</si>
  <si>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</si>
  <si>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</si>
  <si>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</si>
  <si>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</si>
  <si>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</si>
  <si>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</si>
  <si>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</si>
  <si>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</si>
  <si>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</si>
  <si>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</si>
  <si>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</si>
  <si>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</si>
  <si>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</si>
  <si>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</si>
  <si>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</si>
  <si>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</si>
  <si>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</si>
  <si>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</si>
  <si>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</si>
  <si>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</si>
  <si>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</si>
  <si>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</si>
  <si>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</si>
  <si>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</si>
  <si>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</si>
  <si>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</si>
  <si>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</si>
  <si>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</si>
  <si>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</si>
  <si>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</si>
  <si>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</si>
  <si>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</si>
  <si>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</si>
  <si>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</si>
  <si>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</si>
  <si>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</si>
  <si>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</si>
  <si>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</si>
  <si>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</si>
  <si>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</si>
  <si>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</si>
  <si>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</si>
  <si>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</si>
  <si>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</si>
  <si>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</si>
  <si>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</si>
  <si>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</si>
  <si>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</si>
  <si>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</si>
  <si>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</si>
  <si>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</si>
  <si>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</si>
  <si>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</si>
  <si>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</si>
  <si>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</si>
  <si>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</si>
  <si>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</si>
  <si>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</si>
  <si>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</si>
  <si>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</si>
  <si>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</si>
  <si>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</si>
  <si>
    <t>Таблица Шульте (с 14.09)</t>
  </si>
  <si>
    <t>Заявление в суд и в МТС</t>
  </si>
  <si>
    <t>Встать до 6:30</t>
  </si>
  <si>
    <t>Формирование других привычек</t>
  </si>
  <si>
    <r>
      <t xml:space="preserve">Выполнить срочные/важные задачи
</t>
    </r>
    <r>
      <rPr>
        <i/>
        <sz val="8"/>
        <color theme="1"/>
        <rFont val="Tw Cen MT Condensed Extra Bold"/>
        <family val="2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</si>
  <si>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</si>
  <si>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</si>
  <si>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</si>
  <si>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</si>
  <si>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t xml:space="preserve">Принятие себя
</t>
    </r>
    <r>
      <rPr>
        <i/>
        <sz val="11"/>
        <color theme="1"/>
        <rFont val="Tw Cen MT Condensed Extra Bold"/>
        <family val="2"/>
      </rPr>
      <t>чтение материалов</t>
    </r>
  </si>
  <si>
    <t>Конспектирование прочитанных произведений</t>
  </si>
</sst>
</file>

<file path=xl/styles.xml><?xml version="1.0" encoding="utf-8"?>
<styleSheet xmlns="http://schemas.openxmlformats.org/spreadsheetml/2006/main">
  <numFmts count="1">
    <numFmt numFmtId="164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8"/>
      <color theme="1"/>
      <name val="Tw Cen MT Condensed Extra Bold"/>
      <family val="2"/>
    </font>
    <font>
      <b/>
      <sz val="11"/>
      <color rgb="FFBD07B4"/>
      <name val="Tw Cen MT Condensed Extra Bold"/>
      <family val="2"/>
    </font>
    <font>
      <b/>
      <sz val="14"/>
      <color rgb="FFBD07B4"/>
      <name val="Tw Cen MT Condensed Extra Bold"/>
      <family val="2"/>
    </font>
    <font>
      <i/>
      <sz val="11"/>
      <color theme="1"/>
      <name val="Tw Cen MT Condensed Extra 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26" borderId="14" xfId="0" applyFont="1" applyFill="1" applyBorder="1" applyAlignment="1">
      <alignment horizontal="center" vertical="center"/>
    </xf>
    <xf numFmtId="0" fontId="1" fillId="26" borderId="25" xfId="0" applyFont="1" applyFill="1" applyBorder="1" applyAlignment="1">
      <alignment horizontal="center" vertical="center"/>
    </xf>
    <xf numFmtId="0" fontId="1" fillId="26" borderId="26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 wrapText="1"/>
    </xf>
    <xf numFmtId="0" fontId="38" fillId="5" borderId="4" xfId="0" applyFont="1" applyFill="1" applyBorder="1" applyAlignment="1">
      <alignment horizontal="center" vertical="center" wrapText="1"/>
    </xf>
    <xf numFmtId="0" fontId="39" fillId="5" borderId="5" xfId="0" applyFont="1" applyFill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24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8" t="s">
        <v>0</v>
      </c>
      <c r="I9" s="119"/>
      <c r="J9" s="119"/>
      <c r="K9" s="119"/>
      <c r="L9" s="119"/>
      <c r="M9" s="119"/>
      <c r="N9" s="119"/>
      <c r="O9" s="119"/>
      <c r="P9" s="119"/>
      <c r="Q9" s="120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21" t="s">
        <v>19</v>
      </c>
      <c r="I22" s="122"/>
      <c r="J22" s="123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23" priority="1">
      <formula>Q22="+"</formula>
    </cfRule>
  </conditionalFormatting>
  <conditionalFormatting sqref="K11:Q21">
    <cfRule type="expression" dxfId="22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4" t="s">
        <v>0</v>
      </c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5"/>
      <c r="AL9" s="125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6" t="s">
        <v>19</v>
      </c>
      <c r="I42" s="126"/>
      <c r="J42" s="126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1" priority="10">
      <formula>AU42="+"</formula>
    </cfRule>
  </conditionalFormatting>
  <conditionalFormatting sqref="K11:AK41">
    <cfRule type="expression" dxfId="20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2"/>
      <c r="B1" s="133"/>
      <c r="C1" s="134"/>
      <c r="D1" s="4" t="s">
        <v>36</v>
      </c>
      <c r="E1" s="138" t="s">
        <v>37</v>
      </c>
      <c r="F1" s="138"/>
      <c r="G1" s="138"/>
      <c r="H1" s="138"/>
      <c r="I1" s="138"/>
      <c r="J1" s="138"/>
      <c r="K1" s="138"/>
      <c r="L1" s="139" t="s">
        <v>38</v>
      </c>
      <c r="M1" s="139"/>
      <c r="N1" s="139"/>
      <c r="O1" s="139"/>
      <c r="P1" s="139"/>
      <c r="Q1" s="139"/>
      <c r="R1" s="139"/>
      <c r="S1" s="140" t="s">
        <v>39</v>
      </c>
      <c r="T1" s="140"/>
      <c r="U1" s="141" t="s">
        <v>40</v>
      </c>
      <c r="V1" s="142"/>
      <c r="W1" s="142"/>
      <c r="X1" s="142"/>
      <c r="Y1" s="143"/>
      <c r="Z1" s="144" t="s">
        <v>41</v>
      </c>
      <c r="AA1" s="144"/>
      <c r="AB1" s="144"/>
      <c r="AC1" s="144"/>
      <c r="AD1" s="144"/>
      <c r="AE1" s="127" t="s">
        <v>42</v>
      </c>
      <c r="AF1" s="127"/>
      <c r="AG1" s="127"/>
      <c r="AH1" s="128" t="s">
        <v>43</v>
      </c>
      <c r="AI1" s="128"/>
      <c r="AJ1" s="128"/>
      <c r="AK1" s="129" t="s">
        <v>35</v>
      </c>
    </row>
    <row r="2" spans="1:37" s="2" customFormat="1" ht="30" customHeight="1">
      <c r="A2" s="135"/>
      <c r="B2" s="136"/>
      <c r="C2" s="137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1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48" t="s">
        <v>77</v>
      </c>
      <c r="B35" s="149"/>
      <c r="C35" s="149"/>
      <c r="D35" s="150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45" t="s">
        <v>78</v>
      </c>
      <c r="AH36" s="146"/>
      <c r="AI36" s="146"/>
      <c r="AJ36" s="147"/>
      <c r="AK36" s="107">
        <f>ROUND(AVERAGE(AK4:AK34),0)</f>
        <v>16</v>
      </c>
    </row>
    <row r="37" spans="1:37" ht="30" customHeight="1">
      <c r="AG37" s="145" t="s">
        <v>79</v>
      </c>
      <c r="AH37" s="146"/>
      <c r="AI37" s="146"/>
      <c r="AJ37" s="147"/>
      <c r="AK37" s="107">
        <f>MAX(AK4:AK34)</f>
        <v>30</v>
      </c>
    </row>
    <row r="38" spans="1:37" ht="30" customHeight="1">
      <c r="AG38" s="145" t="s">
        <v>80</v>
      </c>
      <c r="AH38" s="146"/>
      <c r="AI38" s="146"/>
      <c r="AJ38" s="147"/>
      <c r="AK38" s="107">
        <f>MIN(AK4:AK34)</f>
        <v>3</v>
      </c>
    </row>
    <row r="39" spans="1:37" ht="30" customHeight="1">
      <c r="AG39" s="145" t="s">
        <v>81</v>
      </c>
      <c r="AH39" s="146"/>
      <c r="AI39" s="146"/>
      <c r="AJ39" s="147"/>
      <c r="AK39" s="107">
        <f>COUNTIF(AK4:AK34, "&gt;"&amp;AK36)</f>
        <v>12</v>
      </c>
    </row>
    <row r="40" spans="1:37" ht="30" customHeight="1">
      <c r="AG40" s="145" t="s">
        <v>82</v>
      </c>
      <c r="AH40" s="146"/>
      <c r="AI40" s="146"/>
      <c r="AJ40" s="147"/>
      <c r="AK40" s="107">
        <f>COUNTIF(AK4:AK34, "&lt;"&amp;AK36)</f>
        <v>18</v>
      </c>
    </row>
    <row r="41" spans="1:37" ht="30" customHeight="1">
      <c r="AG41" s="145" t="s">
        <v>83</v>
      </c>
      <c r="AH41" s="146"/>
      <c r="AI41" s="146"/>
      <c r="AJ41" s="147"/>
      <c r="AK41" s="107">
        <f>COUNTIF(AK4:AK34, "&gt;"&amp;20)</f>
        <v>9</v>
      </c>
    </row>
    <row r="42" spans="1:37" ht="30" customHeight="1">
      <c r="AG42" s="145" t="s">
        <v>84</v>
      </c>
      <c r="AH42" s="146"/>
      <c r="AI42" s="146"/>
      <c r="AJ42" s="147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0:AJ40"/>
    <mergeCell ref="AG41:AJ41"/>
    <mergeCell ref="AG42:AJ42"/>
    <mergeCell ref="A35:D35"/>
    <mergeCell ref="AG36:AJ36"/>
    <mergeCell ref="AG37:AJ37"/>
    <mergeCell ref="AG38:AJ38"/>
    <mergeCell ref="AG39:AJ39"/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19" priority="7">
      <formula>E4="+"</formula>
    </cfRule>
  </conditionalFormatting>
  <conditionalFormatting sqref="L35:R35">
    <cfRule type="expression" dxfId="18" priority="6">
      <formula>L35="+"</formula>
    </cfRule>
  </conditionalFormatting>
  <conditionalFormatting sqref="S35:T35">
    <cfRule type="expression" dxfId="17" priority="5">
      <formula>S35="+"</formula>
    </cfRule>
  </conditionalFormatting>
  <conditionalFormatting sqref="U35:Y35">
    <cfRule type="expression" dxfId="16" priority="4">
      <formula>U35="+"</formula>
    </cfRule>
  </conditionalFormatting>
  <conditionalFormatting sqref="Z35:AD35">
    <cfRule type="expression" dxfId="15" priority="3">
      <formula>Z35="+"</formula>
    </cfRule>
  </conditionalFormatting>
  <conditionalFormatting sqref="AE35:AG35">
    <cfRule type="expression" dxfId="14" priority="2">
      <formula>AE35="+"</formula>
    </cfRule>
  </conditionalFormatting>
  <conditionalFormatting sqref="AH35:AJ35">
    <cfRule type="expression" dxfId="13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2"/>
      <c r="B1" s="133"/>
      <c r="C1" s="134"/>
      <c r="D1" s="4" t="s">
        <v>36</v>
      </c>
      <c r="E1" s="138" t="s">
        <v>37</v>
      </c>
      <c r="F1" s="138"/>
      <c r="G1" s="138"/>
      <c r="H1" s="138"/>
      <c r="I1" s="138"/>
      <c r="J1" s="138"/>
      <c r="K1" s="138"/>
      <c r="L1" s="139" t="s">
        <v>38</v>
      </c>
      <c r="M1" s="139"/>
      <c r="N1" s="139"/>
      <c r="O1" s="139"/>
      <c r="P1" s="139"/>
      <c r="Q1" s="139"/>
      <c r="R1" s="151" t="s">
        <v>39</v>
      </c>
      <c r="S1" s="152"/>
      <c r="T1" s="153"/>
      <c r="U1" s="141" t="s">
        <v>40</v>
      </c>
      <c r="V1" s="142"/>
      <c r="W1" s="142"/>
      <c r="X1" s="142"/>
      <c r="Y1" s="143"/>
      <c r="Z1" s="144" t="s">
        <v>41</v>
      </c>
      <c r="AA1" s="144"/>
      <c r="AB1" s="144"/>
      <c r="AC1" s="144"/>
      <c r="AD1" s="144"/>
      <c r="AE1" s="127" t="s">
        <v>42</v>
      </c>
      <c r="AF1" s="127"/>
      <c r="AG1" s="127"/>
      <c r="AH1" s="128" t="s">
        <v>43</v>
      </c>
      <c r="AI1" s="128"/>
      <c r="AJ1" s="128"/>
      <c r="AK1" s="129" t="s">
        <v>35</v>
      </c>
    </row>
    <row r="2" spans="1:37" s="2" customFormat="1" ht="45" customHeight="1">
      <c r="A2" s="135"/>
      <c r="B2" s="136"/>
      <c r="C2" s="137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3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1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 t="s">
        <v>12</v>
      </c>
      <c r="N14" s="63" t="s">
        <v>12</v>
      </c>
      <c r="O14" s="63" t="s">
        <v>12</v>
      </c>
      <c r="P14" s="63" t="s">
        <v>12</v>
      </c>
      <c r="Q14" s="63"/>
      <c r="R14" s="29"/>
      <c r="S14" s="29"/>
      <c r="T14" s="29"/>
      <c r="U14" s="64"/>
      <c r="V14" s="64"/>
      <c r="W14" s="64"/>
      <c r="X14" s="64"/>
      <c r="Y14" s="64"/>
      <c r="Z14" s="65" t="s">
        <v>12</v>
      </c>
      <c r="AA14" s="65"/>
      <c r="AB14" s="65" t="s">
        <v>12</v>
      </c>
      <c r="AC14" s="65"/>
      <c r="AD14" s="65" t="s">
        <v>12</v>
      </c>
      <c r="AE14" s="66"/>
      <c r="AF14" s="66"/>
      <c r="AG14" s="66"/>
      <c r="AH14" s="67"/>
      <c r="AI14" s="67"/>
      <c r="AJ14" s="67"/>
      <c r="AK14" s="25">
        <f t="shared" si="0"/>
        <v>12</v>
      </c>
    </row>
    <row r="15" spans="1:37">
      <c r="A15" s="30">
        <v>12</v>
      </c>
      <c r="B15" s="110" t="s">
        <v>11</v>
      </c>
      <c r="C15" s="22">
        <v>46277</v>
      </c>
      <c r="D15" s="30" t="s">
        <v>62</v>
      </c>
      <c r="E15" s="62"/>
      <c r="F15" s="62"/>
      <c r="G15" s="62" t="s">
        <v>12</v>
      </c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 t="s">
        <v>12</v>
      </c>
      <c r="AD15" s="65" t="s">
        <v>12</v>
      </c>
      <c r="AE15" s="66"/>
      <c r="AF15" s="66"/>
      <c r="AG15" s="66"/>
      <c r="AH15" s="67"/>
      <c r="AI15" s="67"/>
      <c r="AJ15" s="67"/>
      <c r="AK15" s="25">
        <f t="shared" si="0"/>
        <v>4</v>
      </c>
    </row>
    <row r="16" spans="1:37">
      <c r="A16" s="30">
        <v>13</v>
      </c>
      <c r="B16" s="110" t="s">
        <v>13</v>
      </c>
      <c r="C16" s="22">
        <v>46278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 t="s">
        <v>12</v>
      </c>
      <c r="AE16" s="75"/>
      <c r="AF16" s="75"/>
      <c r="AG16" s="75"/>
      <c r="AH16" s="76"/>
      <c r="AI16" s="76" t="s">
        <v>12</v>
      </c>
      <c r="AJ16" s="76"/>
      <c r="AK16" s="25">
        <f t="shared" si="0"/>
        <v>3</v>
      </c>
    </row>
    <row r="17" spans="1:37">
      <c r="A17" s="30">
        <v>14</v>
      </c>
      <c r="B17" s="30" t="s">
        <v>14</v>
      </c>
      <c r="C17" s="22">
        <v>46279</v>
      </c>
      <c r="D17" s="69" t="s">
        <v>62</v>
      </c>
      <c r="E17" s="70"/>
      <c r="F17" s="70"/>
      <c r="G17" s="70"/>
      <c r="H17" s="70"/>
      <c r="I17" s="70"/>
      <c r="J17" s="70"/>
      <c r="K17" s="70"/>
      <c r="L17" s="71" t="s">
        <v>12</v>
      </c>
      <c r="M17" s="71" t="s">
        <v>12</v>
      </c>
      <c r="N17" s="71" t="s">
        <v>12</v>
      </c>
      <c r="O17" s="71"/>
      <c r="P17" s="71"/>
      <c r="Q17" s="71"/>
      <c r="R17" s="72"/>
      <c r="S17" s="72"/>
      <c r="T17" s="72"/>
      <c r="U17" s="73"/>
      <c r="V17" s="73"/>
      <c r="W17" s="73"/>
      <c r="X17" s="73" t="s">
        <v>12</v>
      </c>
      <c r="Y17" s="73"/>
      <c r="Z17" s="74"/>
      <c r="AA17" s="74"/>
      <c r="AB17" s="74"/>
      <c r="AC17" s="74"/>
      <c r="AD17" s="74" t="s">
        <v>12</v>
      </c>
      <c r="AE17" s="75"/>
      <c r="AF17" s="75"/>
      <c r="AG17" s="75"/>
      <c r="AH17" s="76" t="s">
        <v>12</v>
      </c>
      <c r="AI17" s="76"/>
      <c r="AJ17" s="76"/>
      <c r="AK17" s="68">
        <f t="shared" si="0"/>
        <v>10</v>
      </c>
    </row>
    <row r="18" spans="1:37">
      <c r="A18" s="30">
        <v>15</v>
      </c>
      <c r="B18" s="30" t="s">
        <v>15</v>
      </c>
      <c r="C18" s="22">
        <v>46280</v>
      </c>
      <c r="D18" s="30" t="s">
        <v>62</v>
      </c>
      <c r="E18" s="62"/>
      <c r="F18" s="62"/>
      <c r="G18" s="62" t="s">
        <v>12</v>
      </c>
      <c r="H18" s="62"/>
      <c r="I18" s="62"/>
      <c r="J18" s="62"/>
      <c r="K18" s="62"/>
      <c r="L18" s="63" t="s">
        <v>12</v>
      </c>
      <c r="M18" s="63" t="s">
        <v>12</v>
      </c>
      <c r="N18" s="63" t="s">
        <v>12</v>
      </c>
      <c r="O18" s="63"/>
      <c r="P18" s="63"/>
      <c r="Q18" s="63"/>
      <c r="R18" s="29"/>
      <c r="S18" s="29"/>
      <c r="T18" s="29"/>
      <c r="U18" s="64" t="s">
        <v>12</v>
      </c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 t="s">
        <v>12</v>
      </c>
      <c r="AI18" s="67"/>
      <c r="AJ18" s="67"/>
      <c r="AK18" s="68">
        <f t="shared" si="0"/>
        <v>11</v>
      </c>
    </row>
    <row r="19" spans="1:37">
      <c r="A19" s="69">
        <v>16</v>
      </c>
      <c r="B19" s="30" t="s">
        <v>16</v>
      </c>
      <c r="C19" s="22">
        <v>46281</v>
      </c>
      <c r="D19" s="85" t="s">
        <v>62</v>
      </c>
      <c r="E19" s="86"/>
      <c r="F19" s="86"/>
      <c r="G19" s="86"/>
      <c r="H19" s="86"/>
      <c r="I19" s="86"/>
      <c r="J19" s="86"/>
      <c r="K19" s="86"/>
      <c r="L19" s="87" t="s">
        <v>12</v>
      </c>
      <c r="M19" s="87" t="s">
        <v>12</v>
      </c>
      <c r="N19" s="87" t="s">
        <v>12</v>
      </c>
      <c r="O19" s="87"/>
      <c r="P19" s="87"/>
      <c r="Q19" s="87"/>
      <c r="R19" s="88"/>
      <c r="S19" s="88"/>
      <c r="T19" s="88"/>
      <c r="U19" s="89"/>
      <c r="V19" s="89"/>
      <c r="W19" s="89"/>
      <c r="X19" s="89" t="s">
        <v>12</v>
      </c>
      <c r="Y19" s="89"/>
      <c r="Z19" s="90"/>
      <c r="AA19" s="90" t="s">
        <v>12</v>
      </c>
      <c r="AB19" s="90"/>
      <c r="AC19" s="90"/>
      <c r="AD19" s="90"/>
      <c r="AE19" s="91"/>
      <c r="AF19" s="91"/>
      <c r="AG19" s="91"/>
      <c r="AH19" s="92" t="s">
        <v>12</v>
      </c>
      <c r="AI19" s="92"/>
      <c r="AJ19" s="92"/>
      <c r="AK19" s="93">
        <f t="shared" si="0"/>
        <v>11</v>
      </c>
    </row>
    <row r="20" spans="1:37">
      <c r="A20" s="69">
        <v>17</v>
      </c>
      <c r="B20" s="30" t="s">
        <v>17</v>
      </c>
      <c r="C20" s="22">
        <v>46282</v>
      </c>
      <c r="D20" s="69" t="s">
        <v>62</v>
      </c>
      <c r="E20" s="70"/>
      <c r="F20" s="70"/>
      <c r="G20" s="70" t="s">
        <v>12</v>
      </c>
      <c r="H20" s="70" t="s">
        <v>12</v>
      </c>
      <c r="I20" s="70" t="s">
        <v>12</v>
      </c>
      <c r="J20" s="70"/>
      <c r="K20" s="70"/>
      <c r="L20" s="71" t="s">
        <v>12</v>
      </c>
      <c r="M20" s="71" t="s">
        <v>12</v>
      </c>
      <c r="N20" s="71" t="s">
        <v>12</v>
      </c>
      <c r="O20" s="71"/>
      <c r="P20" s="71"/>
      <c r="Q20" s="71"/>
      <c r="R20" s="72"/>
      <c r="S20" s="72"/>
      <c r="T20" s="72"/>
      <c r="U20" s="73"/>
      <c r="V20" s="73"/>
      <c r="W20" s="73"/>
      <c r="X20" s="73" t="s">
        <v>12</v>
      </c>
      <c r="Y20" s="73"/>
      <c r="Z20" s="74"/>
      <c r="AA20" s="74"/>
      <c r="AB20" s="74"/>
      <c r="AC20" s="74" t="s">
        <v>12</v>
      </c>
      <c r="AD20" s="74" t="s">
        <v>12</v>
      </c>
      <c r="AE20" s="75"/>
      <c r="AF20" s="75"/>
      <c r="AG20" s="75"/>
      <c r="AH20" s="76" t="s">
        <v>12</v>
      </c>
      <c r="AI20" s="76"/>
      <c r="AJ20" s="76"/>
      <c r="AK20" s="93">
        <f t="shared" si="0"/>
        <v>16</v>
      </c>
    </row>
    <row r="21" spans="1:37">
      <c r="A21" s="69">
        <v>18</v>
      </c>
      <c r="B21" s="30" t="s">
        <v>18</v>
      </c>
      <c r="C21" s="22">
        <v>46283</v>
      </c>
      <c r="D21" s="69" t="s">
        <v>62</v>
      </c>
      <c r="E21" s="70" t="s">
        <v>12</v>
      </c>
      <c r="F21" s="70" t="s">
        <v>12</v>
      </c>
      <c r="G21" s="70" t="s">
        <v>12</v>
      </c>
      <c r="H21" s="70" t="s">
        <v>12</v>
      </c>
      <c r="I21" s="70"/>
      <c r="J21" s="70"/>
      <c r="K21" s="70"/>
      <c r="L21" s="71"/>
      <c r="M21" s="71" t="s">
        <v>12</v>
      </c>
      <c r="N21" s="71" t="s">
        <v>12</v>
      </c>
      <c r="O21" s="71" t="s">
        <v>12</v>
      </c>
      <c r="P21" s="71"/>
      <c r="Q21" s="71"/>
      <c r="R21" s="72"/>
      <c r="S21" s="72"/>
      <c r="T21" s="72"/>
      <c r="U21" s="73"/>
      <c r="V21" s="73"/>
      <c r="W21" s="73"/>
      <c r="X21" s="73" t="s">
        <v>12</v>
      </c>
      <c r="Y21" s="73"/>
      <c r="Z21" s="74"/>
      <c r="AA21" s="74"/>
      <c r="AB21" s="74"/>
      <c r="AC21" s="74" t="s">
        <v>12</v>
      </c>
      <c r="AD21" s="74" t="s">
        <v>12</v>
      </c>
      <c r="AE21" s="75"/>
      <c r="AF21" s="75"/>
      <c r="AG21" s="75"/>
      <c r="AH21" s="76"/>
      <c r="AI21" s="76"/>
      <c r="AJ21" s="76"/>
      <c r="AK21" s="93">
        <f t="shared" si="0"/>
        <v>14</v>
      </c>
    </row>
    <row r="22" spans="1:37">
      <c r="A22" s="30">
        <v>19</v>
      </c>
      <c r="B22" s="110" t="s">
        <v>11</v>
      </c>
      <c r="C22" s="22">
        <v>46284</v>
      </c>
      <c r="D22" s="30" t="s">
        <v>62</v>
      </c>
      <c r="E22" s="62"/>
      <c r="F22" s="62"/>
      <c r="G22" s="62" t="s">
        <v>12</v>
      </c>
      <c r="H22" s="62" t="s">
        <v>12</v>
      </c>
      <c r="I22" s="62" t="s">
        <v>12</v>
      </c>
      <c r="J22" s="62" t="s">
        <v>12</v>
      </c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 t="s">
        <v>12</v>
      </c>
      <c r="Y22" s="64"/>
      <c r="Z22" s="65"/>
      <c r="AA22" s="65"/>
      <c r="AB22" s="65"/>
      <c r="AC22" s="65" t="s">
        <v>12</v>
      </c>
      <c r="AD22" s="65"/>
      <c r="AE22" s="66"/>
      <c r="AF22" s="66"/>
      <c r="AG22" s="66"/>
      <c r="AH22" s="67"/>
      <c r="AI22" s="67" t="s">
        <v>12</v>
      </c>
      <c r="AJ22" s="67"/>
      <c r="AK22" s="25">
        <f t="shared" si="0"/>
        <v>11</v>
      </c>
    </row>
    <row r="23" spans="1:37">
      <c r="A23" s="84">
        <v>20</v>
      </c>
      <c r="B23" s="110" t="s">
        <v>13</v>
      </c>
      <c r="C23" s="22">
        <v>46285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/>
      <c r="N23" s="87" t="s">
        <v>12</v>
      </c>
      <c r="O23" s="87"/>
      <c r="P23" s="87"/>
      <c r="Q23" s="87"/>
      <c r="R23" s="88"/>
      <c r="S23" s="88"/>
      <c r="T23" s="88"/>
      <c r="U23" s="89"/>
      <c r="V23" s="89"/>
      <c r="W23" s="89"/>
      <c r="X23" s="89" t="s">
        <v>12</v>
      </c>
      <c r="Y23" s="89"/>
      <c r="Z23" s="90"/>
      <c r="AA23" s="90"/>
      <c r="AB23" s="90"/>
      <c r="AC23" s="90" t="s">
        <v>12</v>
      </c>
      <c r="AD23" s="90"/>
      <c r="AE23" s="91"/>
      <c r="AF23" s="91"/>
      <c r="AG23" s="91"/>
      <c r="AH23" s="92"/>
      <c r="AI23" s="92" t="s">
        <v>12</v>
      </c>
      <c r="AJ23" s="92" t="s">
        <v>12</v>
      </c>
      <c r="AK23" s="95">
        <f t="shared" si="0"/>
        <v>8</v>
      </c>
    </row>
    <row r="24" spans="1:37">
      <c r="A24" s="30">
        <v>21</v>
      </c>
      <c r="B24" s="30" t="s">
        <v>14</v>
      </c>
      <c r="C24" s="22">
        <v>46286</v>
      </c>
      <c r="D24" s="96" t="s">
        <v>62</v>
      </c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 t="s">
        <v>62</v>
      </c>
      <c r="E25" s="70"/>
      <c r="F25" s="70"/>
      <c r="G25" s="70"/>
      <c r="H25" s="70"/>
      <c r="I25" s="70"/>
      <c r="J25" s="70"/>
      <c r="K25" s="70"/>
      <c r="L25" s="71"/>
      <c r="M25" s="71" t="s">
        <v>12</v>
      </c>
      <c r="N25" s="71" t="s">
        <v>12</v>
      </c>
      <c r="O25" s="71"/>
      <c r="P25" s="71"/>
      <c r="Q25" s="71"/>
      <c r="R25" s="72"/>
      <c r="S25" s="72"/>
      <c r="T25" s="72"/>
      <c r="U25" s="73" t="s">
        <v>12</v>
      </c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5</v>
      </c>
    </row>
    <row r="26" spans="1:37">
      <c r="A26" s="69">
        <v>23</v>
      </c>
      <c r="B26" s="30" t="s">
        <v>16</v>
      </c>
      <c r="C26" s="22">
        <v>46288</v>
      </c>
      <c r="D26" s="69" t="s">
        <v>62</v>
      </c>
      <c r="E26" s="70"/>
      <c r="F26" s="70"/>
      <c r="G26" s="70"/>
      <c r="H26" s="70"/>
      <c r="I26" s="70"/>
      <c r="J26" s="70"/>
      <c r="K26" s="70"/>
      <c r="L26" s="71"/>
      <c r="M26" s="71" t="s">
        <v>12</v>
      </c>
      <c r="N26" s="71" t="s">
        <v>12</v>
      </c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3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48" t="s">
        <v>77</v>
      </c>
      <c r="B34" s="149"/>
      <c r="C34" s="149"/>
      <c r="D34" s="150"/>
      <c r="E34" s="106">
        <f t="shared" ref="E34:AJ34" si="1">COUNTA(E4:E33)</f>
        <v>2</v>
      </c>
      <c r="F34" s="106">
        <f t="shared" si="1"/>
        <v>2</v>
      </c>
      <c r="G34" s="106">
        <f t="shared" si="1"/>
        <v>11</v>
      </c>
      <c r="H34" s="106">
        <f t="shared" si="1"/>
        <v>4</v>
      </c>
      <c r="I34" s="106">
        <f t="shared" si="1"/>
        <v>5</v>
      </c>
      <c r="J34" s="106">
        <f t="shared" si="1"/>
        <v>3</v>
      </c>
      <c r="K34" s="106">
        <f t="shared" si="1"/>
        <v>1</v>
      </c>
      <c r="L34" s="63">
        <f t="shared" si="1"/>
        <v>10</v>
      </c>
      <c r="M34" s="63">
        <f t="shared" si="1"/>
        <v>14</v>
      </c>
      <c r="N34" s="63">
        <f t="shared" si="1"/>
        <v>16</v>
      </c>
      <c r="O34" s="63">
        <f t="shared" si="1"/>
        <v>6</v>
      </c>
      <c r="P34" s="63">
        <f t="shared" si="1"/>
        <v>6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3</v>
      </c>
      <c r="V34" s="64">
        <f t="shared" si="1"/>
        <v>0</v>
      </c>
      <c r="W34" s="64">
        <f t="shared" si="1"/>
        <v>0</v>
      </c>
      <c r="X34" s="64">
        <f t="shared" si="1"/>
        <v>7</v>
      </c>
      <c r="Y34" s="64">
        <f t="shared" si="1"/>
        <v>0</v>
      </c>
      <c r="Z34" s="65">
        <f t="shared" si="1"/>
        <v>3</v>
      </c>
      <c r="AA34" s="65">
        <f t="shared" si="1"/>
        <v>2</v>
      </c>
      <c r="AB34" s="65">
        <f t="shared" si="1"/>
        <v>2</v>
      </c>
      <c r="AC34" s="65">
        <f t="shared" si="1"/>
        <v>10</v>
      </c>
      <c r="AD34" s="65">
        <f t="shared" si="1"/>
        <v>13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7</v>
      </c>
      <c r="AI34" s="67">
        <f t="shared" si="1"/>
        <v>4</v>
      </c>
      <c r="AJ34" s="67">
        <f t="shared" si="1"/>
        <v>1</v>
      </c>
      <c r="AK34" s="25"/>
    </row>
    <row r="35" spans="1:37" ht="30" customHeight="1">
      <c r="AG35" s="145" t="s">
        <v>78</v>
      </c>
      <c r="AH35" s="146"/>
      <c r="AI35" s="146"/>
      <c r="AJ35" s="147"/>
      <c r="AK35" s="107">
        <f>ROUND(AVERAGE(AK4:AK33),0)</f>
        <v>8</v>
      </c>
    </row>
    <row r="36" spans="1:37" ht="30" customHeight="1">
      <c r="AG36" s="145" t="s">
        <v>79</v>
      </c>
      <c r="AH36" s="146"/>
      <c r="AI36" s="146"/>
      <c r="AJ36" s="147"/>
      <c r="AK36" s="107">
        <f>MAX(AK4:AK33)</f>
        <v>19</v>
      </c>
    </row>
    <row r="37" spans="1:37" ht="30" customHeight="1">
      <c r="AG37" s="145" t="s">
        <v>80</v>
      </c>
      <c r="AH37" s="146"/>
      <c r="AI37" s="146"/>
      <c r="AJ37" s="147"/>
      <c r="AK37" s="107">
        <f>MIN(AK4:AK33)</f>
        <v>0</v>
      </c>
    </row>
    <row r="38" spans="1:37" ht="30" customHeight="1">
      <c r="AG38" s="145" t="s">
        <v>81</v>
      </c>
      <c r="AH38" s="146"/>
      <c r="AI38" s="146"/>
      <c r="AJ38" s="147"/>
      <c r="AK38" s="107">
        <f>COUNTIF(AK4:AK33, "&gt;"&amp;AK35)</f>
        <v>15</v>
      </c>
    </row>
    <row r="39" spans="1:37" ht="30" customHeight="1">
      <c r="AG39" s="145" t="s">
        <v>82</v>
      </c>
      <c r="AH39" s="146"/>
      <c r="AI39" s="146"/>
      <c r="AJ39" s="147"/>
      <c r="AK39" s="107">
        <f>COUNTIF(AK4:AK33, "&lt;"&amp;AK35)</f>
        <v>14</v>
      </c>
    </row>
    <row r="40" spans="1:37" ht="30" customHeight="1">
      <c r="AG40" s="145" t="s">
        <v>83</v>
      </c>
      <c r="AH40" s="146"/>
      <c r="AI40" s="146"/>
      <c r="AJ40" s="147"/>
      <c r="AK40" s="107">
        <f>COUNTIF(AK4:AK33, "&gt;"&amp;20)</f>
        <v>0</v>
      </c>
    </row>
    <row r="41" spans="1:37" ht="30" customHeight="1">
      <c r="AG41" s="145" t="s">
        <v>84</v>
      </c>
      <c r="AH41" s="146"/>
      <c r="AI41" s="146"/>
      <c r="AJ41" s="147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1:C2"/>
    <mergeCell ref="E1:K1"/>
    <mergeCell ref="L1:Q1"/>
    <mergeCell ref="U1:Y1"/>
    <mergeCell ref="Z1:AD1"/>
    <mergeCell ref="R1:T1"/>
    <mergeCell ref="A34:D34"/>
    <mergeCell ref="AG37:AJ37"/>
    <mergeCell ref="AG38:AJ38"/>
    <mergeCell ref="AG39:AJ39"/>
    <mergeCell ref="AG35:AJ35"/>
    <mergeCell ref="AG36:AJ36"/>
    <mergeCell ref="AE1:AG1"/>
    <mergeCell ref="AH1:AJ1"/>
    <mergeCell ref="AG40:AJ40"/>
    <mergeCell ref="AG41:AJ41"/>
    <mergeCell ref="AK1:AK3"/>
  </mergeCells>
  <conditionalFormatting sqref="E4:AJ33 L34:Q34">
    <cfRule type="expression" dxfId="12" priority="7">
      <formula>E4="+"</formula>
    </cfRule>
  </conditionalFormatting>
  <conditionalFormatting sqref="R34:T34">
    <cfRule type="expression" dxfId="11" priority="5">
      <formula>R34="+"</formula>
    </cfRule>
  </conditionalFormatting>
  <conditionalFormatting sqref="U34:Y34">
    <cfRule type="expression" dxfId="10" priority="4">
      <formula>U34="+"</formula>
    </cfRule>
  </conditionalFormatting>
  <conditionalFormatting sqref="Z34:AD34">
    <cfRule type="expression" dxfId="9" priority="3">
      <formula>Z34="+"</formula>
    </cfRule>
  </conditionalFormatting>
  <conditionalFormatting sqref="AE34:AG34">
    <cfRule type="expression" dxfId="8" priority="2">
      <formula>AE34="+"</formula>
    </cfRule>
  </conditionalFormatting>
  <conditionalFormatting sqref="AH34:AJ34">
    <cfRule type="expression" dxfId="7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E17" activePane="bottomRight" state="frozen"/>
      <selection pane="topRight" activeCell="E1" sqref="E1"/>
      <selection pane="bottomLeft" activeCell="A35" sqref="A35"/>
      <selection pane="bottomRight" activeCell="A5" sqref="A5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2"/>
      <c r="B1" s="133"/>
      <c r="C1" s="134"/>
      <c r="D1" s="4" t="s">
        <v>36</v>
      </c>
      <c r="E1" s="138" t="s">
        <v>37</v>
      </c>
      <c r="F1" s="138"/>
      <c r="G1" s="138"/>
      <c r="H1" s="138"/>
      <c r="I1" s="138"/>
      <c r="J1" s="138"/>
      <c r="K1" s="138"/>
      <c r="L1" s="139" t="s">
        <v>38</v>
      </c>
      <c r="M1" s="139"/>
      <c r="N1" s="139"/>
      <c r="O1" s="139"/>
      <c r="P1" s="139"/>
      <c r="Q1" s="139"/>
      <c r="R1" s="156" t="s">
        <v>39</v>
      </c>
      <c r="S1" s="157"/>
      <c r="T1" s="158"/>
      <c r="U1" s="141" t="s">
        <v>40</v>
      </c>
      <c r="V1" s="142"/>
      <c r="W1" s="142"/>
      <c r="X1" s="142"/>
      <c r="Y1" s="143"/>
      <c r="Z1" s="144" t="s">
        <v>41</v>
      </c>
      <c r="AA1" s="144"/>
      <c r="AB1" s="144"/>
      <c r="AC1" s="144"/>
      <c r="AD1" s="159" t="s">
        <v>93</v>
      </c>
      <c r="AE1" s="160"/>
      <c r="AF1" s="160"/>
      <c r="AG1" s="160"/>
      <c r="AH1" s="160"/>
      <c r="AI1" s="160"/>
      <c r="AJ1" s="161"/>
      <c r="AK1" s="129" t="s">
        <v>35</v>
      </c>
    </row>
    <row r="2" spans="1:37" s="2" customFormat="1" ht="70.5" customHeight="1">
      <c r="A2" s="135"/>
      <c r="B2" s="136"/>
      <c r="C2" s="137"/>
      <c r="D2" s="5" t="s">
        <v>44</v>
      </c>
      <c r="E2" s="6" t="s">
        <v>92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155" t="s">
        <v>52</v>
      </c>
      <c r="S2" s="154" t="s">
        <v>7</v>
      </c>
      <c r="T2" s="154" t="s">
        <v>95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33</v>
      </c>
      <c r="AC2" s="10" t="s">
        <v>60</v>
      </c>
      <c r="AD2" s="11" t="s">
        <v>96</v>
      </c>
      <c r="AE2" s="11" t="s">
        <v>97</v>
      </c>
      <c r="AF2" s="11" t="s">
        <v>88</v>
      </c>
      <c r="AG2" s="11" t="s">
        <v>89</v>
      </c>
      <c r="AH2" s="11" t="s">
        <v>98</v>
      </c>
      <c r="AI2" s="11" t="s">
        <v>99</v>
      </c>
      <c r="AJ2" s="11" t="s">
        <v>100</v>
      </c>
      <c r="AK2" s="13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31"/>
    </row>
    <row r="4" spans="1:37">
      <c r="A4" s="30">
        <v>1</v>
      </c>
      <c r="B4" s="115" t="s">
        <v>14</v>
      </c>
      <c r="C4" s="22">
        <v>46314</v>
      </c>
      <c r="D4" s="30" t="s">
        <v>62</v>
      </c>
      <c r="E4" s="62" t="s">
        <v>12</v>
      </c>
      <c r="F4" s="62"/>
      <c r="G4" s="62"/>
      <c r="H4" s="62"/>
      <c r="I4" s="62" t="s">
        <v>12</v>
      </c>
      <c r="J4" s="62" t="s">
        <v>12</v>
      </c>
      <c r="K4" s="62"/>
      <c r="L4" s="63"/>
      <c r="M4" s="63" t="s">
        <v>12</v>
      </c>
      <c r="N4" s="63"/>
      <c r="O4" s="63"/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/>
      <c r="AD4" s="66" t="s">
        <v>12</v>
      </c>
      <c r="AE4" s="66"/>
      <c r="AF4" s="66"/>
      <c r="AG4" s="66"/>
      <c r="AH4" s="66"/>
      <c r="AI4" s="66"/>
      <c r="AJ4" s="66"/>
      <c r="AK4" s="25">
        <f>SUMIF(E4:AJ4,"&lt;&gt;",$E$3:$AJ$3)</f>
        <v>6</v>
      </c>
    </row>
    <row r="5" spans="1:37">
      <c r="A5" s="30">
        <v>2</v>
      </c>
      <c r="B5" s="115" t="s">
        <v>15</v>
      </c>
      <c r="C5" s="22">
        <v>46315</v>
      </c>
      <c r="D5" s="30" t="s">
        <v>62</v>
      </c>
      <c r="E5" s="62"/>
      <c r="F5" s="62"/>
      <c r="G5" s="62" t="s">
        <v>12</v>
      </c>
      <c r="H5" s="62"/>
      <c r="I5" s="62" t="s">
        <v>12</v>
      </c>
      <c r="J5" s="62" t="s">
        <v>12</v>
      </c>
      <c r="K5" s="62"/>
      <c r="L5" s="63" t="s">
        <v>12</v>
      </c>
      <c r="M5" s="63" t="s">
        <v>12</v>
      </c>
      <c r="N5" s="63"/>
      <c r="O5" s="63"/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6"/>
      <c r="AE5" s="66" t="s">
        <v>12</v>
      </c>
      <c r="AF5" s="66"/>
      <c r="AG5" s="66"/>
      <c r="AH5" s="66"/>
      <c r="AI5" s="66"/>
      <c r="AJ5" s="66"/>
      <c r="AK5" s="25">
        <f>SUMIF(E5:AJ5,"&lt;&gt;",$E$3:$AJ$3)</f>
        <v>6</v>
      </c>
    </row>
    <row r="6" spans="1:37">
      <c r="A6" s="30">
        <v>3</v>
      </c>
      <c r="B6" s="115" t="s">
        <v>16</v>
      </c>
      <c r="C6" s="22">
        <v>46316</v>
      </c>
      <c r="D6" s="30" t="s">
        <v>62</v>
      </c>
      <c r="E6" s="62"/>
      <c r="F6" s="62"/>
      <c r="G6" s="62"/>
      <c r="H6" s="62"/>
      <c r="I6" s="62"/>
      <c r="J6" s="62"/>
      <c r="K6" s="62"/>
      <c r="L6" s="63"/>
      <c r="M6" s="63"/>
      <c r="N6" s="63"/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6"/>
      <c r="AE6" s="66"/>
      <c r="AF6" s="66"/>
      <c r="AG6" s="66"/>
      <c r="AH6" s="66"/>
      <c r="AI6" s="66"/>
      <c r="AJ6" s="66"/>
      <c r="AK6" s="25">
        <f>SUMIF(E6:AJ6,"&lt;&gt;",$E$3:$AJ$3)</f>
        <v>0</v>
      </c>
    </row>
    <row r="7" spans="1:37">
      <c r="A7" s="30">
        <v>4</v>
      </c>
      <c r="B7" s="115" t="s">
        <v>17</v>
      </c>
      <c r="C7" s="22">
        <v>46317</v>
      </c>
      <c r="D7" s="30" t="s">
        <v>62</v>
      </c>
      <c r="E7" s="62"/>
      <c r="F7" s="62"/>
      <c r="G7" s="62"/>
      <c r="H7" s="62"/>
      <c r="I7" s="62"/>
      <c r="J7" s="62"/>
      <c r="K7" s="62"/>
      <c r="L7" s="63"/>
      <c r="M7" s="63"/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/>
      <c r="AD7" s="66"/>
      <c r="AE7" s="66"/>
      <c r="AF7" s="66"/>
      <c r="AG7" s="66"/>
      <c r="AH7" s="66"/>
      <c r="AI7" s="66"/>
      <c r="AJ7" s="66"/>
      <c r="AK7" s="25">
        <f>SUMIF(E7:AJ7,"&lt;&gt;",$E$3:$AJ$3)</f>
        <v>0</v>
      </c>
    </row>
    <row r="8" spans="1:37">
      <c r="A8" s="30">
        <v>5</v>
      </c>
      <c r="B8" s="115" t="s">
        <v>18</v>
      </c>
      <c r="C8" s="22">
        <v>46318</v>
      </c>
      <c r="D8" s="30" t="s">
        <v>62</v>
      </c>
      <c r="E8" s="62"/>
      <c r="F8" s="62"/>
      <c r="G8" s="62"/>
      <c r="H8" s="62"/>
      <c r="I8" s="62"/>
      <c r="J8" s="62"/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6"/>
      <c r="AE8" s="66"/>
      <c r="AF8" s="66"/>
      <c r="AG8" s="66"/>
      <c r="AH8" s="66"/>
      <c r="AI8" s="66"/>
      <c r="AJ8" s="66"/>
      <c r="AK8" s="25">
        <f>SUMIF(E8:AJ8,"&lt;&gt;",$E$3:$AJ$3)</f>
        <v>0</v>
      </c>
    </row>
    <row r="9" spans="1:37">
      <c r="A9" s="69">
        <v>6</v>
      </c>
      <c r="B9" s="116" t="s">
        <v>11</v>
      </c>
      <c r="C9" s="22">
        <v>46319</v>
      </c>
      <c r="D9" s="69" t="s">
        <v>62</v>
      </c>
      <c r="E9" s="70"/>
      <c r="F9" s="70"/>
      <c r="G9" s="70"/>
      <c r="H9" s="70"/>
      <c r="I9" s="70"/>
      <c r="J9" s="70"/>
      <c r="K9" s="70"/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/>
      <c r="AB9" s="74"/>
      <c r="AC9" s="74"/>
      <c r="AD9" s="75"/>
      <c r="AE9" s="75"/>
      <c r="AF9" s="75"/>
      <c r="AG9" s="75"/>
      <c r="AH9" s="75"/>
      <c r="AI9" s="75"/>
      <c r="AJ9" s="75"/>
      <c r="AK9" s="93">
        <f>SUMIF(E9:AJ9,"&lt;&gt;",$E$3:$AJ$3)</f>
        <v>0</v>
      </c>
    </row>
    <row r="10" spans="1:37">
      <c r="A10" s="30">
        <v>7</v>
      </c>
      <c r="B10" s="115" t="s">
        <v>13</v>
      </c>
      <c r="C10" s="22">
        <v>46320</v>
      </c>
      <c r="D10" s="30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6"/>
      <c r="AE10" s="66"/>
      <c r="AF10" s="66"/>
      <c r="AG10" s="66"/>
      <c r="AH10" s="66"/>
      <c r="AI10" s="66"/>
      <c r="AJ10" s="66"/>
      <c r="AK10" s="25">
        <f>SUMIF(E10:AJ10,"&lt;&gt;",$E$3:$AJ$3)</f>
        <v>0</v>
      </c>
    </row>
    <row r="11" spans="1:37">
      <c r="A11" s="84">
        <v>8</v>
      </c>
      <c r="B11" s="117" t="s">
        <v>14</v>
      </c>
      <c r="C11" s="22">
        <v>46321</v>
      </c>
      <c r="D11" s="84" t="s">
        <v>62</v>
      </c>
      <c r="E11" s="77"/>
      <c r="F11" s="77"/>
      <c r="G11" s="77"/>
      <c r="H11" s="77"/>
      <c r="I11" s="77"/>
      <c r="J11" s="77"/>
      <c r="K11" s="77"/>
      <c r="L11" s="78"/>
      <c r="M11" s="78"/>
      <c r="N11" s="78"/>
      <c r="O11" s="78"/>
      <c r="P11" s="78"/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2"/>
      <c r="AE11" s="82"/>
      <c r="AF11" s="82"/>
      <c r="AG11" s="82"/>
      <c r="AH11" s="82"/>
      <c r="AI11" s="82"/>
      <c r="AJ11" s="82"/>
      <c r="AK11" s="94">
        <f>SUMIF(E11:AJ11,"&lt;&gt;",$E$3:$AJ$3)</f>
        <v>0</v>
      </c>
    </row>
    <row r="12" spans="1:37">
      <c r="A12" s="30">
        <v>9</v>
      </c>
      <c r="B12" s="115" t="s">
        <v>15</v>
      </c>
      <c r="C12" s="22">
        <v>46322</v>
      </c>
      <c r="D12" s="30" t="s">
        <v>62</v>
      </c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6"/>
      <c r="AE12" s="66"/>
      <c r="AF12" s="66"/>
      <c r="AG12" s="66"/>
      <c r="AH12" s="66"/>
      <c r="AI12" s="66"/>
      <c r="AJ12" s="66"/>
      <c r="AK12" s="25">
        <f>SUMIF(E12:AJ12,"&lt;&gt;",$E$3:$AJ$3)</f>
        <v>0</v>
      </c>
    </row>
    <row r="13" spans="1:37">
      <c r="A13" s="30">
        <v>10</v>
      </c>
      <c r="B13" s="115" t="s">
        <v>16</v>
      </c>
      <c r="C13" s="22">
        <v>46323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6"/>
      <c r="AE13" s="66"/>
      <c r="AF13" s="66"/>
      <c r="AG13" s="66"/>
      <c r="AH13" s="66"/>
      <c r="AI13" s="66"/>
      <c r="AJ13" s="66"/>
      <c r="AK13" s="25">
        <f>SUMIF(E13:AJ13,"&lt;&gt;",$E$3:$AJ$3)</f>
        <v>0</v>
      </c>
    </row>
    <row r="14" spans="1:37">
      <c r="A14" s="30">
        <v>11</v>
      </c>
      <c r="B14" s="115" t="s">
        <v>17</v>
      </c>
      <c r="C14" s="22">
        <v>46324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6"/>
      <c r="AE14" s="66"/>
      <c r="AF14" s="66"/>
      <c r="AG14" s="66"/>
      <c r="AH14" s="66"/>
      <c r="AI14" s="66"/>
      <c r="AJ14" s="66"/>
      <c r="AK14" s="25">
        <f>SUMIF(E14:AJ14,"&lt;&gt;",$E$3:$AJ$3)</f>
        <v>0</v>
      </c>
    </row>
    <row r="15" spans="1:37">
      <c r="A15" s="30">
        <v>12</v>
      </c>
      <c r="B15" s="115" t="s">
        <v>18</v>
      </c>
      <c r="C15" s="22">
        <v>46325</v>
      </c>
      <c r="D15" s="30" t="s">
        <v>62</v>
      </c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6"/>
      <c r="AE15" s="66"/>
      <c r="AF15" s="66"/>
      <c r="AG15" s="66"/>
      <c r="AH15" s="66"/>
      <c r="AI15" s="66"/>
      <c r="AJ15" s="66"/>
      <c r="AK15" s="25">
        <f>SUMIF(E15:AJ15,"&lt;&gt;",$E$3:$AJ$3)</f>
        <v>0</v>
      </c>
    </row>
    <row r="16" spans="1:37">
      <c r="A16" s="30">
        <v>13</v>
      </c>
      <c r="B16" s="115" t="s">
        <v>11</v>
      </c>
      <c r="C16" s="22">
        <v>46326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5"/>
      <c r="AE16" s="75"/>
      <c r="AF16" s="75"/>
      <c r="AG16" s="75"/>
      <c r="AH16" s="75"/>
      <c r="AI16" s="75"/>
      <c r="AJ16" s="75"/>
      <c r="AK16" s="25">
        <f>SUMIF(E16:AJ16,"&lt;&gt;",$E$3:$AJ$3)</f>
        <v>0</v>
      </c>
    </row>
    <row r="17" spans="1:37" ht="30" customHeight="1">
      <c r="A17" s="148" t="s">
        <v>77</v>
      </c>
      <c r="B17" s="149"/>
      <c r="C17" s="149"/>
      <c r="D17" s="150"/>
      <c r="E17" s="106">
        <f t="shared" ref="E17:AJ17" si="0">COUNTA(E4:E16)</f>
        <v>1</v>
      </c>
      <c r="F17" s="106">
        <f t="shared" si="0"/>
        <v>0</v>
      </c>
      <c r="G17" s="106">
        <f t="shared" si="0"/>
        <v>1</v>
      </c>
      <c r="H17" s="106">
        <f t="shared" si="0"/>
        <v>0</v>
      </c>
      <c r="I17" s="106">
        <f t="shared" si="0"/>
        <v>2</v>
      </c>
      <c r="J17" s="106">
        <f t="shared" si="0"/>
        <v>2</v>
      </c>
      <c r="K17" s="106">
        <f t="shared" si="0"/>
        <v>0</v>
      </c>
      <c r="L17" s="63">
        <f t="shared" si="0"/>
        <v>1</v>
      </c>
      <c r="M17" s="63">
        <f t="shared" si="0"/>
        <v>2</v>
      </c>
      <c r="N17" s="63">
        <f t="shared" si="0"/>
        <v>0</v>
      </c>
      <c r="O17" s="63">
        <f t="shared" si="0"/>
        <v>0</v>
      </c>
      <c r="P17" s="63">
        <f t="shared" si="0"/>
        <v>0</v>
      </c>
      <c r="Q17" s="63">
        <f t="shared" si="0"/>
        <v>0</v>
      </c>
      <c r="R17" s="29">
        <f t="shared" si="0"/>
        <v>0</v>
      </c>
      <c r="S17" s="29">
        <f t="shared" si="0"/>
        <v>0</v>
      </c>
      <c r="T17" s="29">
        <f t="shared" si="0"/>
        <v>0</v>
      </c>
      <c r="U17" s="64">
        <f t="shared" si="0"/>
        <v>0</v>
      </c>
      <c r="V17" s="64">
        <f t="shared" si="0"/>
        <v>0</v>
      </c>
      <c r="W17" s="64">
        <f t="shared" si="0"/>
        <v>0</v>
      </c>
      <c r="X17" s="64">
        <f t="shared" si="0"/>
        <v>0</v>
      </c>
      <c r="Y17" s="64">
        <f t="shared" si="0"/>
        <v>0</v>
      </c>
      <c r="Z17" s="65">
        <f t="shared" si="0"/>
        <v>1</v>
      </c>
      <c r="AA17" s="65">
        <f t="shared" si="0"/>
        <v>0</v>
      </c>
      <c r="AB17" s="65">
        <f t="shared" si="0"/>
        <v>0</v>
      </c>
      <c r="AC17" s="65">
        <f t="shared" si="0"/>
        <v>0</v>
      </c>
      <c r="AD17" s="66">
        <f t="shared" si="0"/>
        <v>1</v>
      </c>
      <c r="AE17" s="66">
        <f t="shared" si="0"/>
        <v>1</v>
      </c>
      <c r="AF17" s="66">
        <f t="shared" si="0"/>
        <v>0</v>
      </c>
      <c r="AG17" s="66">
        <f t="shared" si="0"/>
        <v>0</v>
      </c>
      <c r="AH17" s="66">
        <f t="shared" si="0"/>
        <v>0</v>
      </c>
      <c r="AI17" s="66">
        <f t="shared" si="0"/>
        <v>0</v>
      </c>
      <c r="AJ17" s="66">
        <f t="shared" si="0"/>
        <v>0</v>
      </c>
      <c r="AK17" s="25"/>
    </row>
    <row r="18" spans="1:37" ht="30" customHeight="1">
      <c r="AG18" s="145" t="s">
        <v>78</v>
      </c>
      <c r="AH18" s="146"/>
      <c r="AI18" s="146"/>
      <c r="AJ18" s="147"/>
      <c r="AK18" s="107">
        <f>ROUND(AVERAGE(AK4:AK16),0)</f>
        <v>1</v>
      </c>
    </row>
    <row r="19" spans="1:37" ht="30" customHeight="1">
      <c r="AG19" s="145" t="s">
        <v>79</v>
      </c>
      <c r="AH19" s="146"/>
      <c r="AI19" s="146"/>
      <c r="AJ19" s="147"/>
      <c r="AK19" s="107">
        <f>MAX(AK4:AK16)</f>
        <v>6</v>
      </c>
    </row>
    <row r="20" spans="1:37" ht="30" customHeight="1">
      <c r="AG20" s="145" t="s">
        <v>80</v>
      </c>
      <c r="AH20" s="146"/>
      <c r="AI20" s="146"/>
      <c r="AJ20" s="147"/>
      <c r="AK20" s="107">
        <f>MIN(AK4:AK16)</f>
        <v>0</v>
      </c>
    </row>
    <row r="21" spans="1:37" ht="30" customHeight="1">
      <c r="AG21" s="145" t="s">
        <v>81</v>
      </c>
      <c r="AH21" s="146"/>
      <c r="AI21" s="146"/>
      <c r="AJ21" s="147"/>
      <c r="AK21" s="107">
        <f>COUNTIF(AK4:AK16, "&gt;"&amp;AK18)</f>
        <v>2</v>
      </c>
    </row>
    <row r="22" spans="1:37" ht="30" customHeight="1">
      <c r="AG22" s="145" t="s">
        <v>82</v>
      </c>
      <c r="AH22" s="146"/>
      <c r="AI22" s="146"/>
      <c r="AJ22" s="147"/>
      <c r="AK22" s="107">
        <f>COUNTIF(AK4:AK16, "&lt;"&amp;AK18)</f>
        <v>11</v>
      </c>
    </row>
    <row r="23" spans="1:37" ht="30" customHeight="1">
      <c r="AG23" s="145" t="s">
        <v>83</v>
      </c>
      <c r="AH23" s="146"/>
      <c r="AI23" s="146"/>
      <c r="AJ23" s="147"/>
      <c r="AK23" s="107">
        <f>COUNTIF(AK4:AK16, "&gt;"&amp;20)</f>
        <v>0</v>
      </c>
    </row>
    <row r="24" spans="1:37" ht="30" customHeight="1">
      <c r="AG24" s="145" t="s">
        <v>84</v>
      </c>
      <c r="AH24" s="146"/>
      <c r="AI24" s="146"/>
      <c r="AJ24" s="147"/>
      <c r="AK24" s="107">
        <f>COUNTIF(AK4:AK16, "&lt;"&amp;20)</f>
        <v>13</v>
      </c>
    </row>
    <row r="25" spans="1:37" ht="30" customHeight="1"/>
    <row r="26" spans="1:37" ht="30" customHeight="1"/>
    <row r="27" spans="1:37" ht="30" customHeight="1"/>
  </sheetData>
  <mergeCells count="16">
    <mergeCell ref="AG19:AJ19"/>
    <mergeCell ref="A1:C2"/>
    <mergeCell ref="E1:K1"/>
    <mergeCell ref="L1:Q1"/>
    <mergeCell ref="R1:T1"/>
    <mergeCell ref="U1:Y1"/>
    <mergeCell ref="Z1:AC1"/>
    <mergeCell ref="AD1:AJ1"/>
    <mergeCell ref="AK1:AK3"/>
    <mergeCell ref="A17:D17"/>
    <mergeCell ref="AG18:AJ18"/>
    <mergeCell ref="AG20:AJ20"/>
    <mergeCell ref="AG21:AJ21"/>
    <mergeCell ref="AG22:AJ22"/>
    <mergeCell ref="AG23:AJ23"/>
    <mergeCell ref="AG24:AJ24"/>
  </mergeCells>
  <conditionalFormatting sqref="E4:AJ16 L17:AJ17 AH4:AJ17">
    <cfRule type="expression" dxfId="4" priority="7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2026-10-20T12:33:05Z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