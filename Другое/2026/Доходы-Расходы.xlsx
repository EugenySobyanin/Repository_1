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Февраль 2026" sheetId="3" r:id="rId1"/>
    <sheet name="Март 2026" sheetId="1" r:id="rId2"/>
    <sheet name="Апрель 2026" sheetId="4" r:id="rId3"/>
    <sheet name="Лист1" sheetId="2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4" l="1"/>
  <c r="C4" i="4"/>
  <c r="H4" i="4"/>
  <c r="V4" i="4" l="1"/>
  <c r="Q3" i="4"/>
  <c r="S3" i="4"/>
  <c r="O19" i="4"/>
  <c r="I19" i="4"/>
  <c r="H19" i="4"/>
  <c r="F19" i="4"/>
  <c r="C19" i="4"/>
  <c r="W32" i="4" l="1"/>
  <c r="W33" i="4"/>
  <c r="W34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C35" i="4"/>
  <c r="X35" i="4"/>
  <c r="W31" i="4"/>
  <c r="W30" i="4"/>
  <c r="W29" i="4"/>
  <c r="W28" i="4"/>
  <c r="W27" i="4"/>
  <c r="W26" i="4"/>
  <c r="W25" i="4"/>
  <c r="W24" i="4"/>
  <c r="W23" i="4"/>
  <c r="W22" i="4"/>
  <c r="W21" i="4"/>
  <c r="W20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F28" i="1"/>
  <c r="N27" i="1"/>
  <c r="C27" i="1"/>
  <c r="N25" i="1"/>
  <c r="N23" i="1"/>
  <c r="F23" i="1"/>
  <c r="C23" i="1"/>
  <c r="C20" i="1"/>
  <c r="C19" i="1"/>
  <c r="R19" i="1"/>
  <c r="C18" i="1"/>
  <c r="N17" i="1"/>
  <c r="F16" i="1"/>
  <c r="F14" i="1"/>
  <c r="C13" i="1"/>
  <c r="N11" i="1"/>
  <c r="F11" i="1"/>
  <c r="G10" i="1"/>
  <c r="S10" i="1"/>
  <c r="F10" i="1"/>
  <c r="F9" i="1"/>
  <c r="C6" i="1"/>
  <c r="D32" i="1"/>
  <c r="E32" i="1"/>
  <c r="I32" i="1"/>
  <c r="J32" i="1"/>
  <c r="K32" i="1"/>
  <c r="L32" i="1"/>
  <c r="M32" i="1"/>
  <c r="O32" i="1"/>
  <c r="P32" i="1"/>
  <c r="Q32" i="1"/>
  <c r="T32" i="1"/>
  <c r="U32" i="1"/>
  <c r="V30" i="1"/>
  <c r="V31" i="1"/>
  <c r="Y19" i="4" l="1"/>
  <c r="W35" i="4"/>
  <c r="Y35" i="4" s="1"/>
  <c r="F32" i="1"/>
  <c r="R5" i="1"/>
  <c r="R32" i="1" s="1"/>
  <c r="G5" i="1"/>
  <c r="N4" i="1" l="1"/>
  <c r="S4" i="1"/>
  <c r="C3" i="1"/>
  <c r="V3" i="1" s="1"/>
  <c r="H32" i="1"/>
  <c r="N32" i="1"/>
  <c r="G32" i="1"/>
  <c r="S27" i="3"/>
  <c r="F28" i="3"/>
  <c r="V5" i="1"/>
  <c r="V6" i="1"/>
  <c r="V7" i="1"/>
  <c r="V8" i="1"/>
  <c r="V9" i="1"/>
  <c r="V10" i="1"/>
  <c r="V11" i="1"/>
  <c r="V12" i="1"/>
  <c r="V13" i="1"/>
  <c r="V14" i="1"/>
  <c r="V15" i="1"/>
  <c r="V16" i="1"/>
  <c r="V18" i="1"/>
  <c r="V19" i="1"/>
  <c r="V20" i="1"/>
  <c r="V21" i="1"/>
  <c r="V22" i="1"/>
  <c r="V23" i="1"/>
  <c r="V24" i="1"/>
  <c r="V25" i="1"/>
  <c r="V26" i="1"/>
  <c r="V27" i="1"/>
  <c r="V28" i="1"/>
  <c r="V29" i="1"/>
  <c r="V4" i="1" l="1"/>
  <c r="S32" i="1"/>
  <c r="C32" i="1"/>
  <c r="W32" i="1"/>
  <c r="F23" i="3"/>
  <c r="S23" i="3"/>
  <c r="N23" i="3"/>
  <c r="N24" i="3"/>
  <c r="U25" i="3"/>
  <c r="N25" i="3"/>
  <c r="N26" i="3"/>
  <c r="L26" i="3"/>
  <c r="F31" i="3"/>
  <c r="C20" i="3"/>
  <c r="G19" i="3"/>
  <c r="V17" i="1" l="1"/>
  <c r="V32" i="1" s="1"/>
  <c r="X32" i="1" s="1"/>
  <c r="V19" i="3"/>
  <c r="V20" i="3"/>
  <c r="V21" i="3"/>
  <c r="V22" i="3"/>
  <c r="V23" i="3"/>
  <c r="V24" i="3"/>
  <c r="V25" i="3"/>
  <c r="V26" i="3"/>
  <c r="V27" i="3"/>
  <c r="V28" i="3"/>
  <c r="V29" i="3"/>
  <c r="V30" i="3"/>
  <c r="V7" i="3"/>
  <c r="V8" i="3"/>
  <c r="V9" i="3"/>
  <c r="V10" i="3"/>
  <c r="V14" i="3"/>
  <c r="V15" i="3"/>
  <c r="V16" i="3"/>
  <c r="V17" i="3"/>
  <c r="E31" i="3"/>
  <c r="H31" i="3"/>
  <c r="I31" i="3"/>
  <c r="J31" i="3"/>
  <c r="K31" i="3"/>
  <c r="L31" i="3"/>
  <c r="M31" i="3"/>
  <c r="O31" i="3"/>
  <c r="Q31" i="3"/>
  <c r="R31" i="3"/>
  <c r="S31" i="3"/>
  <c r="T31" i="3"/>
  <c r="U31" i="3"/>
  <c r="N18" i="3"/>
  <c r="V18" i="3" s="1"/>
  <c r="W18" i="3"/>
  <c r="W31" i="3" s="1"/>
  <c r="C13" i="3"/>
  <c r="V13" i="3" s="1"/>
  <c r="P12" i="3"/>
  <c r="N12" i="3"/>
  <c r="D12" i="3"/>
  <c r="D31" i="3" s="1"/>
  <c r="C12" i="3"/>
  <c r="V12" i="3" s="1"/>
  <c r="P11" i="3"/>
  <c r="P31" i="3" s="1"/>
  <c r="G11" i="3"/>
  <c r="G31" i="3" s="1"/>
  <c r="C11" i="3"/>
  <c r="N6" i="3"/>
  <c r="V6" i="3" s="1"/>
  <c r="N5" i="3"/>
  <c r="V5" i="3" s="1"/>
  <c r="N4" i="3"/>
  <c r="C3" i="3"/>
  <c r="V3" i="3" s="1"/>
  <c r="K7" i="2"/>
  <c r="E22" i="2"/>
  <c r="E21" i="2"/>
  <c r="K5" i="2"/>
  <c r="K6" i="2"/>
  <c r="E20" i="2"/>
  <c r="E19" i="2"/>
  <c r="E18" i="2"/>
  <c r="E17" i="2"/>
  <c r="K4" i="2"/>
  <c r="K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23" i="2"/>
  <c r="E3" i="2"/>
  <c r="N31" i="3" l="1"/>
  <c r="C31" i="3"/>
  <c r="V11" i="3"/>
  <c r="K8" i="2"/>
  <c r="E24" i="2"/>
  <c r="V4" i="3"/>
  <c r="X30" i="3"/>
  <c r="V31" i="3" l="1"/>
  <c r="X17" i="3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Наташе на ДР</t>
        </r>
      </text>
    </comment>
    <comment ref="S22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Подарочные пакеты</t>
        </r>
      </text>
    </comment>
    <comment ref="S2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color indexed="81"/>
            <rFont val="Tahoma"/>
            <charset val="1"/>
          </rPr>
          <t>Автор
Пальто + Цветы</t>
        </r>
      </text>
    </comment>
    <comment ref="S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Белье + сотовая связь + яндекс плюс
</t>
        </r>
      </text>
    </comment>
    <comment ref="T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 + штрафы за парковку
</t>
        </r>
      </text>
    </comment>
    <comment ref="U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Проиграл маме в теннис</t>
        </r>
      </text>
    </comment>
    <comment ref="H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Брекфаст бенд и макдак</t>
        </r>
      </text>
    </comment>
    <comment ref="K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за УК Эталон</t>
        </r>
      </text>
    </comment>
    <comment ref="N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Уролог</t>
        </r>
      </text>
    </comment>
    <comment ref="Q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Сдек за пальто
</t>
        </r>
      </text>
    </comment>
    <comment ref="S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сотовую связь
</t>
        </r>
      </text>
    </comment>
    <comment ref="U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Плата за 2sub на 3 месяца
</t>
        </r>
      </text>
    </comment>
    <comment ref="V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кино</t>
        </r>
      </text>
    </comment>
    <comment ref="I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
</t>
        </r>
      </text>
    </comment>
    <comment ref="S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</t>
        </r>
      </text>
    </comment>
  </commentList>
</comments>
</file>

<file path=xl/sharedStrings.xml><?xml version="1.0" encoding="utf-8"?>
<sst xmlns="http://schemas.openxmlformats.org/spreadsheetml/2006/main" count="208" uniqueCount="68">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</sst>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16" x14ac:knownFonts="1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3" borderId="4" xfId="0" applyFont="1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 vertical="center"/>
    </xf>
    <xf numFmtId="164" fontId="12" fillId="13" borderId="4" xfId="0" applyNumberFormat="1" applyFont="1" applyFill="1" applyBorder="1"/>
    <xf numFmtId="164" fontId="12" fillId="13" borderId="4" xfId="0" applyNumberFormat="1" applyFont="1" applyFill="1" applyBorder="1" applyAlignment="1">
      <alignment vertical="center"/>
    </xf>
    <xf numFmtId="164" fontId="12" fillId="13" borderId="4" xfId="0" applyNumberFormat="1" applyFont="1" applyFill="1" applyBorder="1" applyAlignment="1">
      <alignment horizontal="center"/>
    </xf>
    <xf numFmtId="164" fontId="12" fillId="14" borderId="4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12" fillId="13" borderId="4" xfId="0" applyFont="1" applyFill="1" applyBorder="1" applyAlignment="1">
      <alignment horizontal="right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I34" sqref="I34"/>
    </sheetView>
  </sheetViews>
  <sheetFormatPr defaultRowHeight="15" x14ac:dyDescent="0.2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 x14ac:dyDescent="0.25">
      <c r="A1" s="54" t="s">
        <v>27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</row>
    <row r="2" spans="1:46" ht="45" customHeight="1" x14ac:dyDescent="0.25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 x14ac:dyDescent="0.25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 x14ac:dyDescent="0.25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 x14ac:dyDescent="0.25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 x14ac:dyDescent="0.25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 x14ac:dyDescent="0.25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 x14ac:dyDescent="0.25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 x14ac:dyDescent="0.25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 x14ac:dyDescent="0.25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 x14ac:dyDescent="0.25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 x14ac:dyDescent="0.25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 x14ac:dyDescent="0.25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 x14ac:dyDescent="0.25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 x14ac:dyDescent="0.25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 x14ac:dyDescent="0.25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 x14ac:dyDescent="0.25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 x14ac:dyDescent="0.25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 x14ac:dyDescent="0.25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 x14ac:dyDescent="0.25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 x14ac:dyDescent="0.25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 x14ac:dyDescent="0.25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 x14ac:dyDescent="0.25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 x14ac:dyDescent="0.25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 x14ac:dyDescent="0.25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 x14ac:dyDescent="0.25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 x14ac:dyDescent="0.25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 x14ac:dyDescent="0.25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 x14ac:dyDescent="0.25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 x14ac:dyDescent="0.25">
      <c r="A31" s="55" t="s">
        <v>20</v>
      </c>
      <c r="B31" s="55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 x14ac:dyDescent="0.25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6"/>
  <sheetViews>
    <sheetView zoomScale="86" zoomScaleNormal="86" workbookViewId="0">
      <pane xSplit="2" ySplit="32" topLeftCell="G33" activePane="bottomRight" state="frozen"/>
      <selection pane="topRight" activeCell="C1" sqref="C1"/>
      <selection pane="bottomLeft" activeCell="A28" sqref="A28"/>
      <selection pane="bottomRight" activeCell="N3" sqref="N3:N17"/>
    </sheetView>
  </sheetViews>
  <sheetFormatPr defaultRowHeight="15" x14ac:dyDescent="0.2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 x14ac:dyDescent="0.25">
      <c r="A1" s="57" t="s">
        <v>65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</row>
    <row r="2" spans="1:46" ht="45" customHeight="1" x14ac:dyDescent="0.25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 x14ac:dyDescent="0.25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31" si="0">SUM(C4:U4)</f>
        <v>11685.95</v>
      </c>
      <c r="W4" s="35"/>
      <c r="X4" s="38"/>
    </row>
    <row r="5" spans="1:46" x14ac:dyDescent="0.25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 x14ac:dyDescent="0.25">
      <c r="A6" s="33">
        <v>8</v>
      </c>
      <c r="B6" s="33" t="s">
        <v>6</v>
      </c>
      <c r="C6" s="34">
        <f>284+995</f>
        <v>1279</v>
      </c>
      <c r="D6" s="34"/>
      <c r="E6" s="34"/>
      <c r="F6" s="34"/>
      <c r="G6" s="34"/>
      <c r="H6" s="34">
        <v>1117</v>
      </c>
      <c r="I6" s="34"/>
      <c r="J6" s="34"/>
      <c r="K6" s="34"/>
      <c r="L6" s="34"/>
      <c r="M6" s="34"/>
      <c r="N6" s="34">
        <v>400</v>
      </c>
      <c r="O6" s="34"/>
      <c r="P6" s="34">
        <v>1330</v>
      </c>
      <c r="Q6" s="34"/>
      <c r="R6" s="34"/>
      <c r="S6" s="34"/>
      <c r="T6" s="34"/>
      <c r="U6" s="34"/>
      <c r="V6" s="34">
        <f t="shared" si="0"/>
        <v>4126</v>
      </c>
      <c r="W6" s="35"/>
      <c r="X6" s="38"/>
    </row>
    <row r="7" spans="1:46" x14ac:dyDescent="0.25">
      <c r="A7" s="33">
        <v>9</v>
      </c>
      <c r="B7" s="33" t="s">
        <v>7</v>
      </c>
      <c r="C7" s="34">
        <v>769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769</v>
      </c>
      <c r="W7" s="35"/>
      <c r="X7" s="38"/>
    </row>
    <row r="8" spans="1:46" x14ac:dyDescent="0.25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302</v>
      </c>
      <c r="P8" s="34"/>
      <c r="Q8" s="34"/>
      <c r="R8" s="34"/>
      <c r="S8" s="34"/>
      <c r="T8" s="34"/>
      <c r="U8" s="34"/>
      <c r="V8" s="34">
        <f t="shared" si="0"/>
        <v>302</v>
      </c>
      <c r="W8" s="35"/>
      <c r="X8" s="38"/>
    </row>
    <row r="9" spans="1:46" x14ac:dyDescent="0.25">
      <c r="A9" s="33">
        <v>11</v>
      </c>
      <c r="B9" s="33" t="s">
        <v>2</v>
      </c>
      <c r="C9" s="34"/>
      <c r="D9" s="34">
        <v>1191</v>
      </c>
      <c r="E9" s="34"/>
      <c r="F9" s="34">
        <f>1070+109</f>
        <v>1179</v>
      </c>
      <c r="G9" s="34"/>
      <c r="H9" s="34"/>
      <c r="I9" s="34"/>
      <c r="J9" s="34"/>
      <c r="K9" s="34"/>
      <c r="L9" s="34"/>
      <c r="M9" s="34"/>
      <c r="N9" s="34">
        <v>400</v>
      </c>
      <c r="O9" s="34">
        <v>277</v>
      </c>
      <c r="P9" s="34"/>
      <c r="Q9" s="34"/>
      <c r="R9" s="34"/>
      <c r="S9" s="34"/>
      <c r="T9" s="34"/>
      <c r="U9" s="34"/>
      <c r="V9" s="34">
        <f t="shared" si="0"/>
        <v>3047</v>
      </c>
      <c r="W9" s="35"/>
      <c r="X9" s="38"/>
    </row>
    <row r="10" spans="1:46" x14ac:dyDescent="0.25">
      <c r="A10" s="33">
        <v>12</v>
      </c>
      <c r="B10" s="33" t="s">
        <v>3</v>
      </c>
      <c r="C10" s="34"/>
      <c r="D10" s="34"/>
      <c r="E10" s="34"/>
      <c r="F10" s="34">
        <f>420+700</f>
        <v>1120</v>
      </c>
      <c r="G10" s="34">
        <f>1421+331</f>
        <v>1752</v>
      </c>
      <c r="H10" s="34"/>
      <c r="I10" s="34"/>
      <c r="J10" s="34"/>
      <c r="K10" s="34"/>
      <c r="L10" s="34"/>
      <c r="M10" s="34"/>
      <c r="N10" s="34">
        <v>294</v>
      </c>
      <c r="O10" s="34"/>
      <c r="P10" s="34"/>
      <c r="Q10" s="34"/>
      <c r="R10" s="34"/>
      <c r="S10" s="34">
        <f>387+864</f>
        <v>1251</v>
      </c>
      <c r="T10" s="34"/>
      <c r="U10" s="34"/>
      <c r="V10" s="34">
        <f t="shared" si="0"/>
        <v>4417</v>
      </c>
      <c r="W10" s="35"/>
      <c r="X10" s="38"/>
    </row>
    <row r="11" spans="1:46" x14ac:dyDescent="0.25">
      <c r="A11" s="43">
        <v>13</v>
      </c>
      <c r="B11" s="43" t="s">
        <v>4</v>
      </c>
      <c r="C11" s="44"/>
      <c r="D11" s="44"/>
      <c r="E11" s="44"/>
      <c r="F11" s="44">
        <f>1070+60</f>
        <v>1130</v>
      </c>
      <c r="G11" s="44"/>
      <c r="H11" s="44"/>
      <c r="I11" s="44"/>
      <c r="J11" s="44"/>
      <c r="K11" s="44"/>
      <c r="L11" s="44"/>
      <c r="M11" s="44"/>
      <c r="N11" s="44">
        <f>251+328+262</f>
        <v>841</v>
      </c>
      <c r="O11" s="44"/>
      <c r="P11" s="44"/>
      <c r="Q11" s="44"/>
      <c r="R11" s="44"/>
      <c r="S11" s="44"/>
      <c r="T11" s="44"/>
      <c r="U11" s="44"/>
      <c r="V11" s="44">
        <f t="shared" si="0"/>
        <v>1971</v>
      </c>
      <c r="W11" s="45"/>
      <c r="X11" s="46"/>
    </row>
    <row r="12" spans="1:46" x14ac:dyDescent="0.25">
      <c r="A12" s="33">
        <v>14</v>
      </c>
      <c r="B12" s="33" t="s">
        <v>5</v>
      </c>
      <c r="C12" s="34"/>
      <c r="D12" s="34"/>
      <c r="E12" s="34"/>
      <c r="F12" s="34"/>
      <c r="G12" s="44">
        <v>3605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3605</v>
      </c>
      <c r="W12" s="35"/>
      <c r="X12" s="38"/>
    </row>
    <row r="13" spans="1:46" x14ac:dyDescent="0.25">
      <c r="A13" s="33">
        <v>15</v>
      </c>
      <c r="B13" s="33" t="s">
        <v>6</v>
      </c>
      <c r="C13" s="44">
        <f>318+2115</f>
        <v>2433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2433</v>
      </c>
      <c r="W13" s="35"/>
      <c r="X13" s="38"/>
    </row>
    <row r="14" spans="1:46" x14ac:dyDescent="0.25">
      <c r="A14" s="33">
        <v>16</v>
      </c>
      <c r="B14" s="33" t="s">
        <v>7</v>
      </c>
      <c r="C14" s="34"/>
      <c r="D14" s="34"/>
      <c r="E14" s="34"/>
      <c r="F14" s="44">
        <f>350</f>
        <v>350</v>
      </c>
      <c r="G14" s="34"/>
      <c r="H14" s="34"/>
      <c r="I14" s="34"/>
      <c r="J14" s="34"/>
      <c r="K14" s="34"/>
      <c r="L14" s="34"/>
      <c r="M14" s="34"/>
      <c r="N14" s="34"/>
      <c r="O14" s="44">
        <v>291</v>
      </c>
      <c r="P14" s="34"/>
      <c r="Q14" s="34"/>
      <c r="R14" s="34"/>
      <c r="S14" s="34"/>
      <c r="T14" s="34"/>
      <c r="U14" s="34"/>
      <c r="V14" s="34">
        <f t="shared" si="0"/>
        <v>641</v>
      </c>
      <c r="W14" s="35"/>
      <c r="X14" s="38"/>
    </row>
    <row r="15" spans="1:46" x14ac:dyDescent="0.25">
      <c r="A15" s="33">
        <v>17</v>
      </c>
      <c r="B15" s="33" t="s">
        <v>8</v>
      </c>
      <c r="C15" s="34"/>
      <c r="D15" s="34"/>
      <c r="E15" s="34"/>
      <c r="F15" s="44">
        <v>350</v>
      </c>
      <c r="G15" s="34"/>
      <c r="H15" s="34"/>
      <c r="I15" s="34"/>
      <c r="J15" s="34"/>
      <c r="K15" s="34"/>
      <c r="L15" s="34"/>
      <c r="M15" s="34"/>
      <c r="N15" s="34"/>
      <c r="O15" s="44">
        <v>1000</v>
      </c>
      <c r="P15" s="34"/>
      <c r="Q15" s="34"/>
      <c r="R15" s="34"/>
      <c r="S15" s="34"/>
      <c r="T15" s="34"/>
      <c r="U15" s="34"/>
      <c r="V15" s="34">
        <f t="shared" si="0"/>
        <v>1350</v>
      </c>
      <c r="W15" s="35"/>
      <c r="X15" s="38"/>
    </row>
    <row r="16" spans="1:46" x14ac:dyDescent="0.25">
      <c r="A16" s="33">
        <v>18</v>
      </c>
      <c r="B16" s="33" t="s">
        <v>2</v>
      </c>
      <c r="C16" s="34"/>
      <c r="D16" s="34"/>
      <c r="E16" s="34"/>
      <c r="F16" s="44">
        <f>1080+109+350</f>
        <v>1539</v>
      </c>
      <c r="G16" s="34"/>
      <c r="H16" s="34"/>
      <c r="I16" s="34"/>
      <c r="J16" s="34"/>
      <c r="K16" s="34"/>
      <c r="L16" s="34"/>
      <c r="M16" s="34"/>
      <c r="N16" s="44">
        <v>400</v>
      </c>
      <c r="O16" s="34"/>
      <c r="P16" s="34"/>
      <c r="Q16" s="34"/>
      <c r="R16" s="34"/>
      <c r="S16" s="34"/>
      <c r="T16" s="34"/>
      <c r="U16" s="34"/>
      <c r="V16" s="34">
        <f t="shared" si="0"/>
        <v>1939</v>
      </c>
      <c r="W16" s="35"/>
      <c r="X16" s="38"/>
    </row>
    <row r="17" spans="1:24" x14ac:dyDescent="0.25">
      <c r="A17" s="33">
        <v>19</v>
      </c>
      <c r="B17" s="33" t="s">
        <v>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44">
        <f>159+358</f>
        <v>517</v>
      </c>
      <c r="O17" s="34"/>
      <c r="P17" s="34"/>
      <c r="Q17" s="34"/>
      <c r="R17" s="34"/>
      <c r="S17" s="34"/>
      <c r="T17" s="34"/>
      <c r="U17" s="34"/>
      <c r="V17" s="34">
        <f t="shared" si="0"/>
        <v>517</v>
      </c>
      <c r="W17" s="35"/>
      <c r="X17" s="38"/>
    </row>
    <row r="18" spans="1:24" x14ac:dyDescent="0.25">
      <c r="A18" s="39">
        <v>20</v>
      </c>
      <c r="B18" s="39" t="s">
        <v>4</v>
      </c>
      <c r="C18" s="40">
        <f>220+2225+135</f>
        <v>2580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>
        <v>499</v>
      </c>
      <c r="S18" s="40">
        <v>130</v>
      </c>
      <c r="T18" s="40"/>
      <c r="U18" s="40"/>
      <c r="V18" s="40">
        <f t="shared" si="0"/>
        <v>3209</v>
      </c>
      <c r="W18" s="41">
        <v>24676</v>
      </c>
      <c r="X18" s="42"/>
    </row>
    <row r="19" spans="1:24" x14ac:dyDescent="0.25">
      <c r="A19" s="33">
        <v>21</v>
      </c>
      <c r="B19" s="33" t="s">
        <v>5</v>
      </c>
      <c r="C19" s="34">
        <f>780+65</f>
        <v>845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>
        <f>570+120</f>
        <v>690</v>
      </c>
      <c r="S19" s="34">
        <v>4661</v>
      </c>
      <c r="T19" s="34">
        <v>1200</v>
      </c>
      <c r="U19" s="34"/>
      <c r="V19" s="34">
        <f t="shared" si="0"/>
        <v>7396</v>
      </c>
      <c r="W19" s="35"/>
      <c r="X19" s="38"/>
    </row>
    <row r="20" spans="1:24" x14ac:dyDescent="0.25">
      <c r="A20" s="33">
        <v>22</v>
      </c>
      <c r="B20" s="33" t="s">
        <v>6</v>
      </c>
      <c r="C20" s="34">
        <f>5500-2600</f>
        <v>2900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>
        <v>2600</v>
      </c>
      <c r="T20" s="34">
        <v>600</v>
      </c>
      <c r="U20" s="34"/>
      <c r="V20" s="34">
        <f t="shared" si="0"/>
        <v>6100</v>
      </c>
      <c r="W20" s="35"/>
      <c r="X20" s="38"/>
    </row>
    <row r="21" spans="1:24" x14ac:dyDescent="0.25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>
        <v>311</v>
      </c>
      <c r="P21" s="34"/>
      <c r="Q21" s="34"/>
      <c r="R21" s="34"/>
      <c r="S21" s="34"/>
      <c r="T21" s="34"/>
      <c r="U21" s="34"/>
      <c r="V21" s="34">
        <f t="shared" si="0"/>
        <v>311</v>
      </c>
      <c r="W21" s="35"/>
      <c r="X21" s="38"/>
    </row>
    <row r="22" spans="1:24" x14ac:dyDescent="0.25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>
        <v>295</v>
      </c>
      <c r="P22" s="34"/>
      <c r="Q22" s="34"/>
      <c r="R22" s="34"/>
      <c r="S22" s="34">
        <v>900</v>
      </c>
      <c r="T22" s="34"/>
      <c r="U22" s="34"/>
      <c r="V22" s="34">
        <f t="shared" si="0"/>
        <v>1195</v>
      </c>
      <c r="W22" s="35"/>
      <c r="X22" s="38"/>
    </row>
    <row r="23" spans="1:24" x14ac:dyDescent="0.25">
      <c r="A23" s="33">
        <v>25</v>
      </c>
      <c r="B23" s="33" t="s">
        <v>2</v>
      </c>
      <c r="C23" s="34">
        <f>633</f>
        <v>633</v>
      </c>
      <c r="D23" s="34"/>
      <c r="E23" s="34"/>
      <c r="F23" s="34">
        <f>392+352</f>
        <v>744</v>
      </c>
      <c r="G23" s="34"/>
      <c r="H23" s="34"/>
      <c r="I23" s="34"/>
      <c r="J23" s="34"/>
      <c r="K23" s="34"/>
      <c r="L23" s="34"/>
      <c r="M23" s="34"/>
      <c r="N23" s="34">
        <f>204+188+400</f>
        <v>792</v>
      </c>
      <c r="O23" s="34"/>
      <c r="P23" s="34"/>
      <c r="Q23" s="34"/>
      <c r="R23" s="34"/>
      <c r="S23" s="34"/>
      <c r="T23" s="34"/>
      <c r="U23" s="34"/>
      <c r="V23" s="34">
        <f t="shared" si="0"/>
        <v>2169</v>
      </c>
      <c r="W23" s="35"/>
      <c r="X23" s="38"/>
    </row>
    <row r="24" spans="1:24" x14ac:dyDescent="0.25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 x14ac:dyDescent="0.25">
      <c r="A25" s="33">
        <v>27</v>
      </c>
      <c r="B25" s="33" t="s">
        <v>4</v>
      </c>
      <c r="C25" s="34">
        <v>1104</v>
      </c>
      <c r="D25" s="34">
        <v>856</v>
      </c>
      <c r="E25" s="34"/>
      <c r="F25" s="34"/>
      <c r="G25" s="34"/>
      <c r="H25" s="34"/>
      <c r="I25" s="34"/>
      <c r="J25" s="34"/>
      <c r="K25" s="34"/>
      <c r="L25" s="34"/>
      <c r="M25" s="34"/>
      <c r="N25" s="34">
        <f>201+182</f>
        <v>383</v>
      </c>
      <c r="O25" s="34"/>
      <c r="P25" s="34"/>
      <c r="Q25" s="34"/>
      <c r="R25" s="34"/>
      <c r="S25" s="34"/>
      <c r="T25" s="34"/>
      <c r="U25" s="34"/>
      <c r="V25" s="34">
        <f t="shared" si="0"/>
        <v>2343</v>
      </c>
      <c r="W25" s="35"/>
      <c r="X25" s="38"/>
    </row>
    <row r="26" spans="1:24" x14ac:dyDescent="0.25">
      <c r="A26" s="33">
        <v>28</v>
      </c>
      <c r="B26" s="33" t="s">
        <v>5</v>
      </c>
      <c r="C26" s="34"/>
      <c r="D26" s="34">
        <v>1067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>
        <v>132</v>
      </c>
      <c r="T26" s="34"/>
      <c r="U26" s="34"/>
      <c r="V26" s="34">
        <f t="shared" si="0"/>
        <v>1199</v>
      </c>
      <c r="W26" s="35"/>
      <c r="X26" s="38"/>
    </row>
    <row r="27" spans="1:24" x14ac:dyDescent="0.25">
      <c r="A27" s="33">
        <v>29</v>
      </c>
      <c r="B27" s="33" t="s">
        <v>6</v>
      </c>
      <c r="C27" s="44">
        <f>735+868</f>
        <v>1603</v>
      </c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>
        <f>322+198</f>
        <v>520</v>
      </c>
      <c r="O27" s="34"/>
      <c r="P27" s="34"/>
      <c r="Q27" s="34"/>
      <c r="R27" s="34"/>
      <c r="S27" s="34"/>
      <c r="T27" s="34"/>
      <c r="U27" s="34"/>
      <c r="V27" s="34">
        <f t="shared" si="0"/>
        <v>2123</v>
      </c>
      <c r="W27" s="35"/>
      <c r="X27" s="38"/>
    </row>
    <row r="28" spans="1:24" x14ac:dyDescent="0.25">
      <c r="A28" s="33">
        <v>30</v>
      </c>
      <c r="B28" s="33" t="s">
        <v>7</v>
      </c>
      <c r="C28" s="34"/>
      <c r="D28" s="34"/>
      <c r="E28" s="34"/>
      <c r="F28" s="44">
        <f>350</f>
        <v>350</v>
      </c>
      <c r="G28" s="34"/>
      <c r="H28" s="34"/>
      <c r="I28" s="34"/>
      <c r="J28" s="34"/>
      <c r="K28" s="34"/>
      <c r="L28" s="34"/>
      <c r="M28" s="34"/>
      <c r="N28" s="44">
        <v>228</v>
      </c>
      <c r="O28" s="34"/>
      <c r="P28" s="34"/>
      <c r="Q28" s="34"/>
      <c r="R28" s="34"/>
      <c r="S28" s="34"/>
      <c r="T28" s="34"/>
      <c r="U28" s="34"/>
      <c r="V28" s="34">
        <f t="shared" si="0"/>
        <v>578</v>
      </c>
      <c r="W28" s="35"/>
      <c r="X28" s="38"/>
    </row>
    <row r="29" spans="1:24" x14ac:dyDescent="0.25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 x14ac:dyDescent="0.25">
      <c r="A30" s="33">
        <v>1</v>
      </c>
      <c r="B30" s="33" t="s">
        <v>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>
        <f t="shared" si="0"/>
        <v>0</v>
      </c>
      <c r="W30" s="35"/>
      <c r="X30" s="38"/>
    </row>
    <row r="31" spans="1:24" x14ac:dyDescent="0.25">
      <c r="A31" s="33">
        <v>2</v>
      </c>
      <c r="B31" s="33" t="s">
        <v>3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>
        <f t="shared" si="0"/>
        <v>0</v>
      </c>
      <c r="W31" s="35"/>
      <c r="X31" s="38"/>
    </row>
    <row r="32" spans="1:24" x14ac:dyDescent="0.25">
      <c r="A32" s="56" t="s">
        <v>20</v>
      </c>
      <c r="B32" s="56"/>
      <c r="C32" s="35">
        <f>SUM(C3:C31)</f>
        <v>16843.349999999999</v>
      </c>
      <c r="D32" s="35">
        <f t="shared" ref="D32:U32" si="1">SUM(D3:D31)</f>
        <v>3114</v>
      </c>
      <c r="E32" s="35">
        <f t="shared" si="1"/>
        <v>0</v>
      </c>
      <c r="F32" s="35">
        <f t="shared" si="1"/>
        <v>8372</v>
      </c>
      <c r="G32" s="35">
        <f t="shared" si="1"/>
        <v>8765</v>
      </c>
      <c r="H32" s="35">
        <f t="shared" si="1"/>
        <v>1117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6106</v>
      </c>
      <c r="O32" s="35">
        <f t="shared" si="1"/>
        <v>2476</v>
      </c>
      <c r="P32" s="35">
        <f t="shared" si="1"/>
        <v>9758</v>
      </c>
      <c r="Q32" s="35">
        <f t="shared" si="1"/>
        <v>0</v>
      </c>
      <c r="R32" s="35">
        <f t="shared" si="1"/>
        <v>3180</v>
      </c>
      <c r="S32" s="35">
        <f t="shared" si="1"/>
        <v>12799.95</v>
      </c>
      <c r="T32" s="35">
        <f t="shared" si="1"/>
        <v>7800</v>
      </c>
      <c r="U32" s="35">
        <f t="shared" si="1"/>
        <v>0</v>
      </c>
      <c r="V32" s="36">
        <f>SUM(V3:V31)</f>
        <v>80331.3</v>
      </c>
      <c r="W32" s="35">
        <f>SUM(W3:W29)</f>
        <v>68400</v>
      </c>
      <c r="X32" s="38">
        <f>W32-V32</f>
        <v>-11931.300000000003</v>
      </c>
    </row>
    <row r="36" spans="2:10" x14ac:dyDescent="0.25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39"/>
  <sheetViews>
    <sheetView tabSelected="1" zoomScale="85" zoomScaleNormal="85" workbookViewId="0">
      <pane xSplit="2" ySplit="35" topLeftCell="C36" activePane="bottomRight" state="frozen"/>
      <selection pane="topRight" activeCell="C1" sqref="C1"/>
      <selection pane="bottomLeft" activeCell="A28" sqref="A28"/>
      <selection pane="bottomRight" activeCell="F28" sqref="F28"/>
    </sheetView>
  </sheetViews>
  <sheetFormatPr defaultRowHeight="15" x14ac:dyDescent="0.2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 x14ac:dyDescent="0.25">
      <c r="A1" s="57" t="s">
        <v>65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</row>
    <row r="2" spans="1:47" ht="45" customHeight="1" x14ac:dyDescent="0.25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67</v>
      </c>
      <c r="H2" s="37" t="s">
        <v>11</v>
      </c>
      <c r="I2" s="37" t="s">
        <v>63</v>
      </c>
      <c r="J2" s="37" t="s">
        <v>12</v>
      </c>
      <c r="K2" s="37" t="s">
        <v>24</v>
      </c>
      <c r="L2" s="37" t="s">
        <v>23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60</v>
      </c>
      <c r="R2" s="37" t="s">
        <v>17</v>
      </c>
      <c r="S2" s="37" t="s">
        <v>18</v>
      </c>
      <c r="T2" s="37" t="s">
        <v>25</v>
      </c>
      <c r="U2" s="37" t="s">
        <v>25</v>
      </c>
      <c r="V2" s="37" t="s">
        <v>26</v>
      </c>
      <c r="W2" s="37" t="s">
        <v>22</v>
      </c>
      <c r="X2" s="37" t="s">
        <v>19</v>
      </c>
      <c r="Y2" s="37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x14ac:dyDescent="0.25">
      <c r="A3" s="39">
        <v>3</v>
      </c>
      <c r="B3" s="39" t="s">
        <v>4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8">
        <f>22000+3500</f>
        <v>25500</v>
      </c>
      <c r="R3" s="48"/>
      <c r="S3" s="48">
        <f>4660+702+799</f>
        <v>6161</v>
      </c>
      <c r="T3" s="48">
        <v>7000</v>
      </c>
      <c r="U3" s="40">
        <v>750</v>
      </c>
      <c r="V3" s="40"/>
      <c r="W3" s="40">
        <f>SUM(C3:V3)</f>
        <v>39411</v>
      </c>
      <c r="X3" s="41">
        <v>100688</v>
      </c>
      <c r="Y3" s="42"/>
    </row>
    <row r="4" spans="1:47" x14ac:dyDescent="0.25">
      <c r="A4" s="47">
        <v>4</v>
      </c>
      <c r="B4" s="47" t="s">
        <v>5</v>
      </c>
      <c r="C4" s="48">
        <f>100+422+585</f>
        <v>1107</v>
      </c>
      <c r="D4" s="48">
        <v>3679</v>
      </c>
      <c r="E4" s="48"/>
      <c r="F4" s="48"/>
      <c r="G4" s="48"/>
      <c r="H4" s="48">
        <f>2320+1728</f>
        <v>4048</v>
      </c>
      <c r="I4" s="48"/>
      <c r="J4" s="48"/>
      <c r="K4" s="48">
        <v>3663.22</v>
      </c>
      <c r="L4" s="48"/>
      <c r="M4" s="48"/>
      <c r="N4" s="48">
        <v>5350</v>
      </c>
      <c r="O4" s="48"/>
      <c r="P4" s="48"/>
      <c r="Q4" s="48">
        <v>1025</v>
      </c>
      <c r="R4" s="48"/>
      <c r="S4" s="48">
        <v>100</v>
      </c>
      <c r="T4" s="48"/>
      <c r="U4" s="48">
        <v>990</v>
      </c>
      <c r="V4" s="48">
        <f>1320+1330+210</f>
        <v>2860</v>
      </c>
      <c r="W4" s="48">
        <f t="shared" ref="W4:W34" si="0">SUM(C4:V4)</f>
        <v>22822.22</v>
      </c>
      <c r="X4" s="49"/>
      <c r="Y4" s="50"/>
    </row>
    <row r="5" spans="1:47" x14ac:dyDescent="0.25">
      <c r="A5" s="47">
        <v>5</v>
      </c>
      <c r="B5" s="47" t="s">
        <v>6</v>
      </c>
      <c r="C5" s="48">
        <f>3116+382</f>
        <v>3498</v>
      </c>
      <c r="D5" s="48"/>
      <c r="E5" s="48"/>
      <c r="F5" s="48"/>
      <c r="G5" s="48"/>
      <c r="H5" s="48"/>
      <c r="I5" s="48">
        <v>1500</v>
      </c>
      <c r="J5" s="48"/>
      <c r="K5" s="48"/>
      <c r="L5" s="48"/>
      <c r="M5" s="48"/>
      <c r="N5" s="48"/>
      <c r="O5" s="48"/>
      <c r="P5" s="48"/>
      <c r="Q5" s="48"/>
      <c r="R5" s="48">
        <v>9373</v>
      </c>
      <c r="S5" s="48">
        <v>199</v>
      </c>
      <c r="T5" s="48"/>
      <c r="U5" s="48"/>
      <c r="V5" s="48"/>
      <c r="W5" s="48">
        <f t="shared" si="0"/>
        <v>14570</v>
      </c>
      <c r="X5" s="49"/>
      <c r="Y5" s="50"/>
    </row>
    <row r="6" spans="1:47" x14ac:dyDescent="0.25">
      <c r="A6" s="47">
        <v>6</v>
      </c>
      <c r="B6" s="47" t="s">
        <v>7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>
        <f t="shared" si="0"/>
        <v>0</v>
      </c>
      <c r="X6" s="49"/>
      <c r="Y6" s="50"/>
    </row>
    <row r="7" spans="1:47" x14ac:dyDescent="0.25">
      <c r="A7" s="47">
        <v>7</v>
      </c>
      <c r="B7" s="47" t="s">
        <v>8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>
        <f t="shared" si="0"/>
        <v>0</v>
      </c>
      <c r="X7" s="49"/>
      <c r="Y7" s="50"/>
    </row>
    <row r="8" spans="1:47" x14ac:dyDescent="0.25">
      <c r="A8" s="47">
        <v>8</v>
      </c>
      <c r="B8" s="47" t="s">
        <v>2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>
        <f t="shared" si="0"/>
        <v>0</v>
      </c>
      <c r="X8" s="49"/>
      <c r="Y8" s="50"/>
    </row>
    <row r="9" spans="1:47" x14ac:dyDescent="0.25">
      <c r="A9" s="47">
        <v>9</v>
      </c>
      <c r="B9" s="47" t="s">
        <v>3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>
        <f t="shared" si="0"/>
        <v>0</v>
      </c>
      <c r="X9" s="49"/>
      <c r="Y9" s="50"/>
    </row>
    <row r="10" spans="1:47" x14ac:dyDescent="0.25">
      <c r="A10" s="47">
        <v>10</v>
      </c>
      <c r="B10" s="47" t="s">
        <v>4</v>
      </c>
      <c r="C10" s="48"/>
      <c r="D10" s="48"/>
      <c r="E10" s="48"/>
      <c r="F10" s="48"/>
      <c r="G10" s="48"/>
      <c r="H10" s="48"/>
      <c r="I10" s="48"/>
      <c r="J10" s="48"/>
      <c r="K10" s="52">
        <v>10000</v>
      </c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>
        <f t="shared" si="0"/>
        <v>10000</v>
      </c>
      <c r="X10" s="49"/>
      <c r="Y10" s="50"/>
    </row>
    <row r="11" spans="1:47" x14ac:dyDescent="0.25">
      <c r="A11" s="47">
        <v>11</v>
      </c>
      <c r="B11" s="47" t="s">
        <v>5</v>
      </c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>
        <f t="shared" si="0"/>
        <v>0</v>
      </c>
      <c r="X11" s="49"/>
      <c r="Y11" s="50"/>
    </row>
    <row r="12" spans="1:47" x14ac:dyDescent="0.25">
      <c r="A12" s="47">
        <v>12</v>
      </c>
      <c r="B12" s="47" t="s">
        <v>6</v>
      </c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>
        <f t="shared" si="0"/>
        <v>0</v>
      </c>
      <c r="X12" s="49"/>
      <c r="Y12" s="50"/>
    </row>
    <row r="13" spans="1:47" x14ac:dyDescent="0.25">
      <c r="A13" s="47">
        <v>13</v>
      </c>
      <c r="B13" s="47" t="s">
        <v>7</v>
      </c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>
        <f t="shared" si="0"/>
        <v>0</v>
      </c>
      <c r="X13" s="49"/>
      <c r="Y13" s="50"/>
    </row>
    <row r="14" spans="1:47" x14ac:dyDescent="0.25">
      <c r="A14" s="47">
        <v>14</v>
      </c>
      <c r="B14" s="47" t="s">
        <v>8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>
        <f t="shared" si="0"/>
        <v>0</v>
      </c>
      <c r="X14" s="49"/>
      <c r="Y14" s="50"/>
    </row>
    <row r="15" spans="1:47" x14ac:dyDescent="0.25">
      <c r="A15" s="47">
        <v>15</v>
      </c>
      <c r="B15" s="47" t="s">
        <v>2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>
        <f t="shared" si="0"/>
        <v>0</v>
      </c>
      <c r="X15" s="49"/>
      <c r="Y15" s="50"/>
    </row>
    <row r="16" spans="1:47" x14ac:dyDescent="0.25">
      <c r="A16" s="47">
        <v>16</v>
      </c>
      <c r="B16" s="47" t="s">
        <v>3</v>
      </c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>
        <f t="shared" si="0"/>
        <v>0</v>
      </c>
      <c r="X16" s="49"/>
      <c r="Y16" s="50"/>
    </row>
    <row r="17" spans="1:27" x14ac:dyDescent="0.25">
      <c r="A17" s="47">
        <v>17</v>
      </c>
      <c r="B17" s="47" t="s">
        <v>4</v>
      </c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>
        <f t="shared" si="0"/>
        <v>0</v>
      </c>
      <c r="X17" s="49"/>
      <c r="Y17" s="50"/>
    </row>
    <row r="18" spans="1:27" x14ac:dyDescent="0.25">
      <c r="A18" s="47">
        <v>18</v>
      </c>
      <c r="B18" s="47" t="s">
        <v>5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>
        <f t="shared" si="0"/>
        <v>0</v>
      </c>
      <c r="X18" s="49"/>
      <c r="Y18" s="50"/>
    </row>
    <row r="19" spans="1:27" x14ac:dyDescent="0.25">
      <c r="A19" s="47">
        <v>19</v>
      </c>
      <c r="B19" s="47" t="s">
        <v>6</v>
      </c>
      <c r="C19" s="52">
        <f>10000-SUM(C3:C18)</f>
        <v>5395</v>
      </c>
      <c r="D19" s="48"/>
      <c r="E19" s="48"/>
      <c r="F19" s="52">
        <f>7300-SUM(F3:F18)</f>
        <v>7300</v>
      </c>
      <c r="G19" s="48"/>
      <c r="H19" s="52">
        <f>8700-SUM(H3:H18)</f>
        <v>4652</v>
      </c>
      <c r="I19" s="52">
        <f>2000-SUM(I3:I18)</f>
        <v>500</v>
      </c>
      <c r="J19" s="48"/>
      <c r="K19" s="48"/>
      <c r="L19" s="48"/>
      <c r="M19" s="48"/>
      <c r="N19" s="48"/>
      <c r="O19" s="52">
        <f>4000-SUM(O3:O18)</f>
        <v>4000</v>
      </c>
      <c r="P19" s="48"/>
      <c r="Q19" s="48"/>
      <c r="R19" s="48"/>
      <c r="S19" s="48"/>
      <c r="T19" s="48"/>
      <c r="U19" s="48"/>
      <c r="V19" s="48"/>
      <c r="W19" s="48">
        <f t="shared" si="0"/>
        <v>21847</v>
      </c>
      <c r="X19" s="49"/>
      <c r="Y19" s="50">
        <f>X3-SUM(W3:W19)</f>
        <v>-7962.2200000000012</v>
      </c>
    </row>
    <row r="20" spans="1:27" x14ac:dyDescent="0.25">
      <c r="A20" s="39">
        <v>20</v>
      </c>
      <c r="B20" s="39" t="s">
        <v>7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>
        <f t="shared" si="0"/>
        <v>0</v>
      </c>
      <c r="X20" s="41"/>
      <c r="Y20" s="42"/>
    </row>
    <row r="21" spans="1:27" x14ac:dyDescent="0.25">
      <c r="A21" s="47">
        <v>21</v>
      </c>
      <c r="B21" s="47" t="s">
        <v>8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>
        <f t="shared" si="0"/>
        <v>0</v>
      </c>
      <c r="X21" s="49"/>
      <c r="Y21" s="50"/>
      <c r="AA21" s="53"/>
    </row>
    <row r="22" spans="1:27" x14ac:dyDescent="0.25">
      <c r="A22" s="47">
        <v>22</v>
      </c>
      <c r="B22" s="47" t="s">
        <v>2</v>
      </c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>
        <f t="shared" si="0"/>
        <v>0</v>
      </c>
      <c r="X22" s="49"/>
      <c r="Y22" s="50"/>
    </row>
    <row r="23" spans="1:27" x14ac:dyDescent="0.25">
      <c r="A23" s="47">
        <v>23</v>
      </c>
      <c r="B23" s="47" t="s">
        <v>3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>
        <f t="shared" si="0"/>
        <v>0</v>
      </c>
      <c r="X23" s="49"/>
      <c r="Y23" s="50"/>
    </row>
    <row r="24" spans="1:27" x14ac:dyDescent="0.25">
      <c r="A24" s="47">
        <v>24</v>
      </c>
      <c r="B24" s="47" t="s">
        <v>4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>
        <f t="shared" si="0"/>
        <v>0</v>
      </c>
      <c r="X24" s="49"/>
      <c r="Y24" s="50"/>
    </row>
    <row r="25" spans="1:27" x14ac:dyDescent="0.25">
      <c r="A25" s="47">
        <v>25</v>
      </c>
      <c r="B25" s="47" t="s">
        <v>5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>
        <f t="shared" si="0"/>
        <v>0</v>
      </c>
      <c r="X25" s="49"/>
      <c r="Y25" s="50"/>
    </row>
    <row r="26" spans="1:27" x14ac:dyDescent="0.25">
      <c r="A26" s="47">
        <v>26</v>
      </c>
      <c r="B26" s="47" t="s">
        <v>6</v>
      </c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>
        <f t="shared" si="0"/>
        <v>0</v>
      </c>
      <c r="X26" s="49"/>
      <c r="Y26" s="50"/>
    </row>
    <row r="27" spans="1:27" x14ac:dyDescent="0.25">
      <c r="A27" s="47">
        <v>27</v>
      </c>
      <c r="B27" s="47" t="s">
        <v>7</v>
      </c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>
        <f t="shared" si="0"/>
        <v>0</v>
      </c>
      <c r="X27" s="49"/>
      <c r="Y27" s="50"/>
    </row>
    <row r="28" spans="1:27" x14ac:dyDescent="0.25">
      <c r="A28" s="47">
        <v>28</v>
      </c>
      <c r="B28" s="47" t="s">
        <v>8</v>
      </c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>
        <f t="shared" si="0"/>
        <v>0</v>
      </c>
      <c r="X28" s="49"/>
      <c r="Y28" s="50"/>
    </row>
    <row r="29" spans="1:27" x14ac:dyDescent="0.25">
      <c r="A29" s="47">
        <v>29</v>
      </c>
      <c r="B29" s="47" t="s">
        <v>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>
        <f t="shared" si="0"/>
        <v>0</v>
      </c>
      <c r="X29" s="49"/>
      <c r="Y29" s="50"/>
    </row>
    <row r="30" spans="1:27" x14ac:dyDescent="0.25">
      <c r="A30" s="47">
        <v>30</v>
      </c>
      <c r="B30" s="47" t="s">
        <v>3</v>
      </c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>
        <f t="shared" si="0"/>
        <v>0</v>
      </c>
      <c r="X30" s="49"/>
      <c r="Y30" s="50"/>
    </row>
    <row r="31" spans="1:27" x14ac:dyDescent="0.25">
      <c r="A31" s="47">
        <v>1</v>
      </c>
      <c r="B31" s="47" t="s">
        <v>4</v>
      </c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>
        <f t="shared" si="0"/>
        <v>0</v>
      </c>
      <c r="X31" s="49"/>
      <c r="Y31" s="50"/>
    </row>
    <row r="32" spans="1:27" x14ac:dyDescent="0.25">
      <c r="A32" s="47">
        <v>2</v>
      </c>
      <c r="B32" s="47" t="s">
        <v>5</v>
      </c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>
        <f t="shared" si="0"/>
        <v>0</v>
      </c>
      <c r="X32" s="49"/>
      <c r="Y32" s="50"/>
    </row>
    <row r="33" spans="1:25" x14ac:dyDescent="0.25">
      <c r="A33" s="47">
        <v>3</v>
      </c>
      <c r="B33" s="47" t="s">
        <v>6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>
        <f t="shared" si="0"/>
        <v>0</v>
      </c>
      <c r="X33" s="49"/>
      <c r="Y33" s="50"/>
    </row>
    <row r="34" spans="1:25" x14ac:dyDescent="0.25">
      <c r="A34" s="47">
        <v>4</v>
      </c>
      <c r="B34" s="47" t="s">
        <v>7</v>
      </c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>
        <f t="shared" si="0"/>
        <v>0</v>
      </c>
      <c r="X34" s="49"/>
      <c r="Y34" s="50"/>
    </row>
    <row r="35" spans="1:25" x14ac:dyDescent="0.25">
      <c r="A35" s="58" t="s">
        <v>20</v>
      </c>
      <c r="B35" s="58"/>
      <c r="C35" s="51">
        <f>SUM(C3:C34)</f>
        <v>10000</v>
      </c>
      <c r="D35" s="51">
        <f t="shared" ref="D35:W35" si="1">SUM(D3:D34)</f>
        <v>3679</v>
      </c>
      <c r="E35" s="51">
        <f t="shared" si="1"/>
        <v>0</v>
      </c>
      <c r="F35" s="51">
        <f t="shared" si="1"/>
        <v>7300</v>
      </c>
      <c r="G35" s="51">
        <f t="shared" si="1"/>
        <v>0</v>
      </c>
      <c r="H35" s="51">
        <f t="shared" si="1"/>
        <v>8700</v>
      </c>
      <c r="I35" s="51">
        <f t="shared" si="1"/>
        <v>2000</v>
      </c>
      <c r="J35" s="51">
        <f t="shared" si="1"/>
        <v>0</v>
      </c>
      <c r="K35" s="51">
        <f t="shared" si="1"/>
        <v>13663.22</v>
      </c>
      <c r="L35" s="51">
        <f t="shared" si="1"/>
        <v>0</v>
      </c>
      <c r="M35" s="51">
        <f t="shared" si="1"/>
        <v>0</v>
      </c>
      <c r="N35" s="51">
        <f t="shared" si="1"/>
        <v>5350</v>
      </c>
      <c r="O35" s="51">
        <f t="shared" si="1"/>
        <v>4000</v>
      </c>
      <c r="P35" s="51">
        <f t="shared" si="1"/>
        <v>0</v>
      </c>
      <c r="Q35" s="51">
        <f t="shared" si="1"/>
        <v>26525</v>
      </c>
      <c r="R35" s="51">
        <f>SUM(R4:R34)</f>
        <v>9373</v>
      </c>
      <c r="S35" s="51">
        <f t="shared" si="1"/>
        <v>6460</v>
      </c>
      <c r="T35" s="51">
        <f t="shared" si="1"/>
        <v>7000</v>
      </c>
      <c r="U35" s="51">
        <f t="shared" si="1"/>
        <v>1740</v>
      </c>
      <c r="V35" s="51">
        <f t="shared" si="1"/>
        <v>2860</v>
      </c>
      <c r="W35" s="51">
        <f t="shared" si="1"/>
        <v>108650.22</v>
      </c>
      <c r="X35" s="49">
        <f>SUM(X3:X29)</f>
        <v>100688</v>
      </c>
      <c r="Y35" s="50">
        <f>X35-W35</f>
        <v>-7962.2200000000012</v>
      </c>
    </row>
    <row r="39" spans="1:25" x14ac:dyDescent="0.25">
      <c r="B39" s="6"/>
      <c r="C39" s="6"/>
      <c r="D39" s="6"/>
      <c r="E39" s="6"/>
      <c r="F39" s="6"/>
      <c r="G39" s="6"/>
      <c r="H39" s="6"/>
      <c r="I39" s="6"/>
      <c r="J39" s="6"/>
      <c r="K39" s="6"/>
    </row>
  </sheetData>
  <mergeCells count="2">
    <mergeCell ref="A1:Y1"/>
    <mergeCell ref="A35:B35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workbookViewId="0">
      <selection activeCell="B20" sqref="B20"/>
    </sheetView>
  </sheetViews>
  <sheetFormatPr defaultRowHeight="15" x14ac:dyDescent="0.2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 x14ac:dyDescent="0.25">
      <c r="A1" s="59" t="s">
        <v>49</v>
      </c>
      <c r="B1" s="59"/>
      <c r="C1" s="59"/>
      <c r="D1" s="59"/>
      <c r="E1" s="59"/>
      <c r="G1" s="59" t="s">
        <v>50</v>
      </c>
      <c r="H1" s="59"/>
      <c r="I1" s="59"/>
      <c r="J1" s="59"/>
      <c r="K1" s="59"/>
    </row>
    <row r="2" spans="1:11" x14ac:dyDescent="0.25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 x14ac:dyDescent="0.25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 x14ac:dyDescent="0.25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 x14ac:dyDescent="0.25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 x14ac:dyDescent="0.25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 x14ac:dyDescent="0.25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 x14ac:dyDescent="0.25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61" t="s">
        <v>61</v>
      </c>
      <c r="H8" s="61"/>
      <c r="I8" s="61"/>
      <c r="J8" s="61"/>
      <c r="K8" s="20">
        <f>SUM(K3:K7)</f>
        <v>4873</v>
      </c>
    </row>
    <row r="9" spans="1:11" x14ac:dyDescent="0.25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 x14ac:dyDescent="0.25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 x14ac:dyDescent="0.25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 x14ac:dyDescent="0.25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 x14ac:dyDescent="0.25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 x14ac:dyDescent="0.25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 x14ac:dyDescent="0.25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 x14ac:dyDescent="0.25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 x14ac:dyDescent="0.25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 x14ac:dyDescent="0.25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 x14ac:dyDescent="0.25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 x14ac:dyDescent="0.25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 x14ac:dyDescent="0.25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 x14ac:dyDescent="0.25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 x14ac:dyDescent="0.25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 x14ac:dyDescent="0.25">
      <c r="A24" s="60" t="s">
        <v>61</v>
      </c>
      <c r="B24" s="60"/>
      <c r="C24" s="60"/>
      <c r="D24" s="60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Февраль 2026</vt:lpstr>
      <vt:lpstr>Март 2026</vt:lpstr>
      <vt:lpstr>Апрель 2026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2026-04-05T18:05:01Z</dcterms:modified>
</cp:coreProperties>
</file>