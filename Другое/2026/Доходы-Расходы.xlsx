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Февраль 2026" sheetId="3" r:id="rId1"/>
    <sheet name="Март 2026" sheetId="1" r:id="rId2"/>
    <sheet name="Лист1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8" i="3" l="1"/>
  <c r="U19" i="3"/>
  <c r="U20" i="3"/>
  <c r="U21" i="3"/>
  <c r="U22" i="3"/>
  <c r="U23" i="3"/>
  <c r="U24" i="3"/>
  <c r="U25" i="3"/>
  <c r="U26" i="3"/>
  <c r="U27" i="3"/>
  <c r="U28" i="3"/>
  <c r="U29" i="3"/>
  <c r="U30" i="3"/>
  <c r="W30" i="3" s="1"/>
  <c r="U6" i="3"/>
  <c r="U7" i="3"/>
  <c r="U8" i="3"/>
  <c r="U9" i="3"/>
  <c r="U10" i="3"/>
  <c r="U11" i="3"/>
  <c r="U12" i="3"/>
  <c r="U13" i="3"/>
  <c r="U14" i="3"/>
  <c r="U15" i="3"/>
  <c r="U16" i="3"/>
  <c r="U17" i="3"/>
  <c r="U5" i="3"/>
  <c r="U4" i="3"/>
  <c r="U3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Q31" i="3"/>
  <c r="R31" i="3"/>
  <c r="S31" i="3"/>
  <c r="T31" i="3"/>
  <c r="C31" i="3"/>
  <c r="M18" i="3"/>
  <c r="V18" i="3"/>
  <c r="V31" i="3"/>
  <c r="C13" i="3"/>
  <c r="O12" i="3"/>
  <c r="M12" i="3"/>
  <c r="D12" i="3"/>
  <c r="C12" i="3"/>
  <c r="O11" i="3"/>
  <c r="F11" i="3"/>
  <c r="C11" i="3"/>
  <c r="M6" i="3"/>
  <c r="M5" i="3"/>
  <c r="M4" i="3"/>
  <c r="C3" i="3"/>
  <c r="C13" i="1"/>
  <c r="U13" i="1" s="1"/>
  <c r="C12" i="1"/>
  <c r="O12" i="1"/>
  <c r="M12" i="1"/>
  <c r="E12" i="1"/>
  <c r="E30" i="1" s="1"/>
  <c r="O11" i="1"/>
  <c r="F11" i="1"/>
  <c r="F30" i="1" s="1"/>
  <c r="C11" i="1"/>
  <c r="M6" i="1"/>
  <c r="U6" i="1" s="1"/>
  <c r="M5" i="1"/>
  <c r="U5" i="1" s="1"/>
  <c r="M4" i="1"/>
  <c r="U4" i="1" s="1"/>
  <c r="U3" i="1"/>
  <c r="K8" i="2"/>
  <c r="K7" i="2"/>
  <c r="E22" i="2"/>
  <c r="E24" i="2" s="1"/>
  <c r="E21" i="2"/>
  <c r="K5" i="2"/>
  <c r="K6" i="2"/>
  <c r="E20" i="2"/>
  <c r="E19" i="2"/>
  <c r="E18" i="2"/>
  <c r="E17" i="2"/>
  <c r="K4" i="2"/>
  <c r="K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23" i="2"/>
  <c r="E3" i="2"/>
  <c r="K30" i="1"/>
  <c r="I30" i="1"/>
  <c r="J30" i="1"/>
  <c r="U7" i="1"/>
  <c r="U8" i="1"/>
  <c r="U9" i="1"/>
  <c r="U10" i="1"/>
  <c r="U14" i="1"/>
  <c r="U15" i="1"/>
  <c r="U16" i="1"/>
  <c r="U17" i="1"/>
  <c r="U18" i="1"/>
  <c r="U19" i="1"/>
  <c r="U20" i="1"/>
  <c r="U22" i="1"/>
  <c r="U23" i="1"/>
  <c r="U24" i="1"/>
  <c r="U25" i="1"/>
  <c r="U26" i="1"/>
  <c r="H30" i="1"/>
  <c r="L30" i="1"/>
  <c r="N30" i="1"/>
  <c r="P30" i="1"/>
  <c r="Q30" i="1"/>
  <c r="R30" i="1"/>
  <c r="S30" i="1"/>
  <c r="T30" i="1"/>
  <c r="V30" i="1"/>
  <c r="O30" i="1" l="1"/>
  <c r="U12" i="1"/>
  <c r="U11" i="1"/>
  <c r="M30" i="1"/>
  <c r="C30" i="1"/>
  <c r="U21" i="1"/>
  <c r="U31" i="3" l="1"/>
  <c r="W17" i="3"/>
  <c r="U30" i="1"/>
  <c r="W3" i="1" s="1"/>
</calcChain>
</file>

<file path=xl/comments1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O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Q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Долг маме
</t>
        </r>
      </text>
    </comment>
    <comment ref="O11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К 14 февраля
</t>
        </r>
      </text>
    </comment>
    <comment ref="Q16" authorId="0" shape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Яндекс Плюс
</t>
        </r>
      </text>
    </comment>
  </commentList>
</comments>
</file>

<file path=xl/sharedStrings.xml><?xml version="1.0" encoding="utf-8"?>
<sst xmlns="http://schemas.openxmlformats.org/spreadsheetml/2006/main" count="142" uniqueCount="64">
  <si>
    <t>Число</t>
  </si>
  <si>
    <t>День недели</t>
  </si>
  <si>
    <t>Ср</t>
  </si>
  <si>
    <t>Чт</t>
  </si>
  <si>
    <t>Пт</t>
  </si>
  <si>
    <t>Сб</t>
  </si>
  <si>
    <t>Вс</t>
  </si>
  <si>
    <t>Пн</t>
  </si>
  <si>
    <t>Вт</t>
  </si>
  <si>
    <t>Магазин</t>
  </si>
  <si>
    <t>Доставка</t>
  </si>
  <si>
    <t>Кафе</t>
  </si>
  <si>
    <t>Бар/Клуб</t>
  </si>
  <si>
    <t>Одежда</t>
  </si>
  <si>
    <t>Медицина</t>
  </si>
  <si>
    <t>Такси</t>
  </si>
  <si>
    <t>Бензин/
Парковка</t>
  </si>
  <si>
    <t>Учеба</t>
  </si>
  <si>
    <t>Ежемесячны платежи</t>
  </si>
  <si>
    <t>Доходы</t>
  </si>
  <si>
    <t>ИТОГО</t>
  </si>
  <si>
    <t>Сальдо</t>
  </si>
  <si>
    <t>Итого Расходы</t>
  </si>
  <si>
    <t>Теннис</t>
  </si>
  <si>
    <t>Коммуналка / ЖКХ</t>
  </si>
  <si>
    <t>Другое (повседневное)</t>
  </si>
  <si>
    <t>Другое (развлечения)</t>
  </si>
  <si>
    <t>Доходы - Расходы Февраль 2026</t>
  </si>
  <si>
    <t>Наименование</t>
  </si>
  <si>
    <t>Количество</t>
  </si>
  <si>
    <t>Цена</t>
  </si>
  <si>
    <t>Всего по позиции</t>
  </si>
  <si>
    <t>№</t>
  </si>
  <si>
    <t>Курица</t>
  </si>
  <si>
    <t>Яйца</t>
  </si>
  <si>
    <t>Пшено</t>
  </si>
  <si>
    <t>Йогурт</t>
  </si>
  <si>
    <t>Ветчина</t>
  </si>
  <si>
    <t>Авокадо</t>
  </si>
  <si>
    <t>Хлеб</t>
  </si>
  <si>
    <t>Сливки</t>
  </si>
  <si>
    <t>Сыр Пармезан</t>
  </si>
  <si>
    <t>Сыр Чеддер</t>
  </si>
  <si>
    <t>Томаты в собственном соку</t>
  </si>
  <si>
    <t>Булгур</t>
  </si>
  <si>
    <t>Рис</t>
  </si>
  <si>
    <t>Макароны</t>
  </si>
  <si>
    <t>Киноа</t>
  </si>
  <si>
    <t>Сыр творожный</t>
  </si>
  <si>
    <t>Базовая корзина (на 3 дня)</t>
  </si>
  <si>
    <t>Доп. корзина  (на 7 дней)</t>
  </si>
  <si>
    <t>Булдак</t>
  </si>
  <si>
    <t>Непредвиденные</t>
  </si>
  <si>
    <t>Молоко</t>
  </si>
  <si>
    <t>Масло</t>
  </si>
  <si>
    <t>Лимон</t>
  </si>
  <si>
    <t>Вино</t>
  </si>
  <si>
    <t>Мишутка</t>
  </si>
  <si>
    <t>Шоколадка</t>
  </si>
  <si>
    <t>Вода</t>
  </si>
  <si>
    <t>Аня</t>
  </si>
  <si>
    <t>Итого</t>
  </si>
  <si>
    <t>Вкус Вилл</t>
  </si>
  <si>
    <t>Алкоголь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</si>
</sst>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₽&quot;"/>
  </numFmts>
  <fonts count="14" x14ac:knownFonts="1">
    <font>
      <sz val="11"/>
      <color theme="1"/>
      <name val="Calibri"/>
      <family val="2"/>
      <scheme val="minor"/>
    </font>
    <font>
      <sz val="11"/>
      <color theme="0"/>
      <name val="Arial Black"/>
      <family val="2"/>
      <charset val="204"/>
    </font>
    <font>
      <sz val="20"/>
      <color rgb="FF3179E3"/>
      <name val="Arial Black"/>
      <family val="2"/>
      <charset val="204"/>
    </font>
    <font>
      <sz val="11"/>
      <color rgb="FF3179E3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FFFF00"/>
      <name val="Calibri"/>
      <family val="2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theme="2" tint="-0.249977111117893"/>
      <name val="Calibri"/>
      <family val="2"/>
      <scheme val="minor"/>
    </font>
    <font>
      <sz val="20"/>
      <color theme="6" tint="0.39997558519241921"/>
      <name val="Arial Black"/>
      <family val="2"/>
      <charset val="204"/>
    </font>
    <font>
      <sz val="11"/>
      <color theme="9" tint="0.39997558519241921"/>
      <name val="Arial Black"/>
      <family val="2"/>
      <charset val="204"/>
    </font>
    <font>
      <sz val="11"/>
      <color theme="1" tint="4.9989318521683403E-2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/>
      <right/>
      <top/>
      <bottom style="thin">
        <color rgb="FF062D4E"/>
      </bottom>
      <diagonal/>
    </border>
    <border>
      <left style="thin">
        <color theme="1" tint="0.14999847407452621"/>
      </left>
      <right style="thin">
        <color theme="1" tint="0.14999847407452621"/>
      </right>
      <top style="thin">
        <color theme="1" tint="0.14999847407452621"/>
      </top>
      <bottom style="thin">
        <color theme="1" tint="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1" fillId="3" borderId="1" xfId="0" applyFont="1" applyFill="1" applyBorder="1" applyAlignment="1">
      <alignment horizontal="center" vertical="center" wrapText="1"/>
    </xf>
    <xf numFmtId="0" fontId="3" fillId="6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0" fillId="2" borderId="0" xfId="0" applyFill="1" applyAlignment="1"/>
    <xf numFmtId="164" fontId="4" fillId="6" borderId="3" xfId="0" applyNumberFormat="1" applyFont="1" applyFill="1" applyBorder="1" applyAlignment="1">
      <alignment horizontal="center" vertical="center"/>
    </xf>
    <xf numFmtId="164" fontId="3" fillId="6" borderId="3" xfId="0" applyNumberFormat="1" applyFont="1" applyFill="1" applyBorder="1" applyAlignment="1">
      <alignment horizontal="center" vertical="center"/>
    </xf>
    <xf numFmtId="164" fontId="5" fillId="6" borderId="3" xfId="0" applyNumberFormat="1" applyFont="1" applyFill="1" applyBorder="1"/>
    <xf numFmtId="164" fontId="4" fillId="5" borderId="3" xfId="0" applyNumberFormat="1" applyFont="1" applyFill="1" applyBorder="1" applyAlignment="1">
      <alignment horizontal="center" vertical="center"/>
    </xf>
    <xf numFmtId="164" fontId="3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/>
    <xf numFmtId="164" fontId="3" fillId="6" borderId="3" xfId="0" applyNumberFormat="1" applyFont="1" applyFill="1" applyBorder="1"/>
    <xf numFmtId="164" fontId="6" fillId="5" borderId="3" xfId="0" applyNumberFormat="1" applyFont="1" applyFill="1" applyBorder="1" applyAlignment="1">
      <alignment horizontal="center" vertical="center"/>
    </xf>
    <xf numFmtId="164" fontId="6" fillId="6" borderId="3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7" borderId="0" xfId="0" applyFill="1"/>
    <xf numFmtId="164" fontId="9" fillId="0" borderId="0" xfId="0" applyNumberFormat="1" applyFont="1"/>
    <xf numFmtId="0" fontId="0" fillId="7" borderId="0" xfId="0" applyFill="1" applyAlignment="1">
      <alignment horizontal="center" vertical="center"/>
    </xf>
    <xf numFmtId="164" fontId="0" fillId="7" borderId="0" xfId="0" applyNumberFormat="1" applyFill="1"/>
    <xf numFmtId="164" fontId="10" fillId="5" borderId="3" xfId="0" applyNumberFormat="1" applyFont="1" applyFill="1" applyBorder="1" applyAlignment="1">
      <alignment horizontal="center" vertical="center"/>
    </xf>
    <xf numFmtId="164" fontId="10" fillId="6" borderId="3" xfId="0" applyNumberFormat="1" applyFont="1" applyFill="1" applyBorder="1" applyAlignment="1">
      <alignment horizontal="center" vertical="center"/>
    </xf>
    <xf numFmtId="0" fontId="3" fillId="6" borderId="3" xfId="0" applyFont="1" applyFill="1" applyBorder="1" applyAlignment="1">
      <alignment horizontal="right"/>
    </xf>
    <xf numFmtId="0" fontId="2" fillId="4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right"/>
    </xf>
    <xf numFmtId="0" fontId="9" fillId="0" borderId="0" xfId="0" applyFont="1" applyAlignment="1">
      <alignment horizontal="right" vertical="center"/>
    </xf>
    <xf numFmtId="164" fontId="6" fillId="6" borderId="0" xfId="0" applyNumberFormat="1" applyFont="1" applyFill="1" applyBorder="1" applyAlignment="1">
      <alignment vertical="center"/>
    </xf>
    <xf numFmtId="164" fontId="6" fillId="6" borderId="2" xfId="0" applyNumberFormat="1" applyFont="1" applyFill="1" applyBorder="1" applyAlignment="1">
      <alignment vertical="center"/>
    </xf>
    <xf numFmtId="0" fontId="11" fillId="8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center" vertical="center" wrapText="1"/>
    </xf>
    <xf numFmtId="0" fontId="13" fillId="10" borderId="4" xfId="0" applyFont="1" applyFill="1" applyBorder="1" applyAlignment="1">
      <alignment horizontal="center" vertical="center"/>
    </xf>
    <xf numFmtId="164" fontId="13" fillId="10" borderId="4" xfId="0" applyNumberFormat="1" applyFont="1" applyFill="1" applyBorder="1" applyAlignment="1">
      <alignment horizontal="center" vertical="center"/>
    </xf>
    <xf numFmtId="164" fontId="13" fillId="10" borderId="4" xfId="0" applyNumberFormat="1" applyFont="1" applyFill="1" applyBorder="1"/>
    <xf numFmtId="164" fontId="13" fillId="10" borderId="4" xfId="0" applyNumberFormat="1" applyFont="1" applyFill="1" applyBorder="1" applyAlignment="1">
      <alignment horizontal="center" vertical="center"/>
    </xf>
    <xf numFmtId="0" fontId="13" fillId="10" borderId="4" xfId="0" applyFont="1" applyFill="1" applyBorder="1" applyAlignment="1">
      <alignment horizontal="right"/>
    </xf>
    <xf numFmtId="0" fontId="3" fillId="8" borderId="3" xfId="0" applyFont="1" applyFill="1" applyBorder="1" applyAlignment="1">
      <alignment horizontal="center" vertical="center"/>
    </xf>
    <xf numFmtId="164" fontId="6" fillId="8" borderId="3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3" fillId="8" borderId="3" xfId="0" applyNumberFormat="1" applyFont="1" applyFill="1" applyBorder="1" applyAlignment="1">
      <alignment horizontal="center" vertical="center"/>
    </xf>
    <xf numFmtId="164" fontId="5" fillId="8" borderId="3" xfId="0" applyNumberFormat="1" applyFont="1" applyFill="1" applyBorder="1"/>
    <xf numFmtId="164" fontId="6" fillId="8" borderId="0" xfId="0" applyNumberFormat="1" applyFont="1" applyFill="1" applyBorder="1" applyAlignment="1">
      <alignment vertical="center"/>
    </xf>
  </cellXfs>
  <cellStyles count="1">
    <cellStyle name="Обычный" xfId="0" builtinId="0"/>
  </cellStyles>
  <dxfs count="0"/>
  <tableStyles count="0" defaultTableStyle="TableStyleMedium2" defaultPivotStyle="PivotStyleLight16"/>
  <colors>
    <mruColors>
      <color rgb="FF062D4E"/>
      <color rgb="FF094679"/>
      <color rgb="FF7BB7E9"/>
      <color rgb="FF3179E3"/>
      <color rgb="FF1348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S35"/>
  <sheetViews>
    <sheetView tabSelected="1" zoomScale="86" zoomScaleNormal="86" workbookViewId="0">
      <pane xSplit="2" ySplit="31" topLeftCell="C50" activePane="bottomRight" state="frozen"/>
      <selection pane="topRight" activeCell="C1" sqref="C1"/>
      <selection pane="bottomLeft" activeCell="A28" sqref="A28"/>
      <selection pane="bottomRight" activeCell="R30" sqref="R30"/>
    </sheetView>
  </sheetViews>
  <sheetFormatPr defaultRowHeight="15" x14ac:dyDescent="0.2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 x14ac:dyDescent="0.25">
      <c r="A1" s="26" t="s">
        <v>27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spans="1:45" ht="45" customHeight="1" x14ac:dyDescent="0.25">
      <c r="A2" s="3" t="s">
        <v>0</v>
      </c>
      <c r="B2" s="3" t="s">
        <v>1</v>
      </c>
      <c r="C2" s="3" t="s">
        <v>9</v>
      </c>
      <c r="D2" s="3" t="s">
        <v>10</v>
      </c>
      <c r="E2" s="3" t="s">
        <v>62</v>
      </c>
      <c r="F2" s="3" t="s">
        <v>11</v>
      </c>
      <c r="G2" s="3" t="s">
        <v>63</v>
      </c>
      <c r="H2" s="3" t="s">
        <v>12</v>
      </c>
      <c r="I2" s="3" t="s">
        <v>24</v>
      </c>
      <c r="J2" s="3" t="s">
        <v>23</v>
      </c>
      <c r="K2" s="3" t="s">
        <v>13</v>
      </c>
      <c r="L2" s="3" t="s">
        <v>14</v>
      </c>
      <c r="M2" s="3" t="s">
        <v>15</v>
      </c>
      <c r="N2" s="3" t="s">
        <v>16</v>
      </c>
      <c r="O2" s="3" t="s">
        <v>60</v>
      </c>
      <c r="P2" s="3" t="s">
        <v>17</v>
      </c>
      <c r="Q2" s="3" t="s">
        <v>18</v>
      </c>
      <c r="R2" s="3" t="s">
        <v>25</v>
      </c>
      <c r="S2" s="3" t="s">
        <v>25</v>
      </c>
      <c r="T2" s="3" t="s">
        <v>26</v>
      </c>
      <c r="U2" s="3" t="s">
        <v>22</v>
      </c>
      <c r="V2" s="3" t="s">
        <v>19</v>
      </c>
      <c r="W2" s="3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 x14ac:dyDescent="0.25">
      <c r="A3" s="39">
        <v>5</v>
      </c>
      <c r="B3" s="39" t="s">
        <v>3</v>
      </c>
      <c r="C3" s="41">
        <f>183+2168</f>
        <v>2351</v>
      </c>
      <c r="D3" s="41">
        <v>3131</v>
      </c>
      <c r="E3" s="41"/>
      <c r="F3" s="40"/>
      <c r="G3" s="40"/>
      <c r="H3" s="41"/>
      <c r="I3" s="41">
        <v>450</v>
      </c>
      <c r="J3" s="41"/>
      <c r="K3" s="41"/>
      <c r="L3" s="41"/>
      <c r="M3" s="41">
        <v>40</v>
      </c>
      <c r="N3" s="41"/>
      <c r="O3" s="41"/>
      <c r="P3" s="41">
        <v>14418</v>
      </c>
      <c r="Q3" s="41"/>
      <c r="R3" s="41">
        <v>5000</v>
      </c>
      <c r="S3" s="41"/>
      <c r="T3" s="41"/>
      <c r="U3" s="42">
        <f>SUM(C3:T3)</f>
        <v>25390</v>
      </c>
      <c r="V3" s="43">
        <v>53739.4</v>
      </c>
      <c r="W3" s="30"/>
    </row>
    <row r="4" spans="1:45" x14ac:dyDescent="0.25">
      <c r="A4" s="5">
        <v>6</v>
      </c>
      <c r="B4" s="5" t="s">
        <v>4</v>
      </c>
      <c r="C4" s="14"/>
      <c r="D4" s="14"/>
      <c r="E4" s="14"/>
      <c r="F4" s="14"/>
      <c r="G4" s="14"/>
      <c r="H4" s="10"/>
      <c r="I4" s="10"/>
      <c r="J4" s="10"/>
      <c r="K4" s="10"/>
      <c r="L4" s="10"/>
      <c r="M4" s="23">
        <f>131+247</f>
        <v>378</v>
      </c>
      <c r="N4" s="10"/>
      <c r="O4" s="10"/>
      <c r="P4" s="10"/>
      <c r="Q4" s="10"/>
      <c r="R4" s="10"/>
      <c r="S4" s="10"/>
      <c r="T4" s="10"/>
      <c r="U4" s="11">
        <f>SUM(C4:T4)</f>
        <v>378</v>
      </c>
      <c r="V4" s="12"/>
      <c r="W4" s="30"/>
    </row>
    <row r="5" spans="1:45" x14ac:dyDescent="0.25">
      <c r="A5" s="4">
        <v>7</v>
      </c>
      <c r="B5" s="4" t="s">
        <v>5</v>
      </c>
      <c r="C5" s="15"/>
      <c r="D5" s="24">
        <v>1110</v>
      </c>
      <c r="E5" s="24"/>
      <c r="F5" s="15"/>
      <c r="G5" s="15"/>
      <c r="H5" s="7">
        <v>840</v>
      </c>
      <c r="I5" s="7"/>
      <c r="J5" s="7"/>
      <c r="K5" s="7"/>
      <c r="L5" s="7"/>
      <c r="M5" s="7">
        <f>197+259</f>
        <v>456</v>
      </c>
      <c r="N5" s="7"/>
      <c r="O5" s="7"/>
      <c r="P5" s="7"/>
      <c r="Q5" s="7"/>
      <c r="R5" s="7"/>
      <c r="S5" s="7"/>
      <c r="T5" s="7"/>
      <c r="U5" s="8">
        <f>SUM(C5:T5)</f>
        <v>2406</v>
      </c>
      <c r="V5" s="9"/>
      <c r="W5" s="30"/>
    </row>
    <row r="6" spans="1:45" x14ac:dyDescent="0.25">
      <c r="A6" s="5">
        <v>8</v>
      </c>
      <c r="B6" s="5" t="s">
        <v>6</v>
      </c>
      <c r="C6" s="23">
        <v>1006</v>
      </c>
      <c r="D6" s="14"/>
      <c r="E6" s="14"/>
      <c r="F6" s="14"/>
      <c r="G6" s="14"/>
      <c r="H6" s="10"/>
      <c r="I6" s="10"/>
      <c r="J6" s="10"/>
      <c r="K6" s="10"/>
      <c r="L6" s="10"/>
      <c r="M6" s="23">
        <f>221+171</f>
        <v>392</v>
      </c>
      <c r="N6" s="10"/>
      <c r="O6" s="14"/>
      <c r="P6" s="10"/>
      <c r="Q6" s="10"/>
      <c r="R6" s="10"/>
      <c r="S6" s="10"/>
      <c r="T6" s="10"/>
      <c r="U6" s="11">
        <f t="shared" ref="U6:U17" si="0">SUM(C6:T6)</f>
        <v>1398</v>
      </c>
      <c r="V6" s="12"/>
      <c r="W6" s="30"/>
    </row>
    <row r="7" spans="1:45" x14ac:dyDescent="0.25">
      <c r="A7" s="4">
        <v>9</v>
      </c>
      <c r="B7" s="4" t="s">
        <v>7</v>
      </c>
      <c r="C7" s="24">
        <v>1819</v>
      </c>
      <c r="D7" s="15"/>
      <c r="E7" s="15"/>
      <c r="F7" s="15"/>
      <c r="G7" s="15"/>
      <c r="H7" s="7"/>
      <c r="I7" s="7"/>
      <c r="J7" s="7"/>
      <c r="K7" s="7"/>
      <c r="L7" s="7"/>
      <c r="M7" s="7">
        <v>224</v>
      </c>
      <c r="N7" s="15"/>
      <c r="O7" s="7"/>
      <c r="P7" s="7"/>
      <c r="Q7" s="7"/>
      <c r="R7" s="7">
        <v>1055</v>
      </c>
      <c r="S7" s="7"/>
      <c r="T7" s="7"/>
      <c r="U7" s="8">
        <f t="shared" si="0"/>
        <v>3098</v>
      </c>
      <c r="V7" s="9"/>
      <c r="W7" s="30"/>
    </row>
    <row r="8" spans="1:45" x14ac:dyDescent="0.25">
      <c r="A8" s="5">
        <v>10</v>
      </c>
      <c r="B8" s="5" t="s">
        <v>8</v>
      </c>
      <c r="C8" s="10">
        <v>1266.9000000000001</v>
      </c>
      <c r="D8" s="10">
        <v>1345</v>
      </c>
      <c r="E8" s="10"/>
      <c r="F8" s="14"/>
      <c r="G8" s="14"/>
      <c r="H8" s="10"/>
      <c r="I8" s="10"/>
      <c r="J8" s="10"/>
      <c r="K8" s="10"/>
      <c r="L8" s="10"/>
      <c r="M8" s="10">
        <v>172</v>
      </c>
      <c r="N8" s="10"/>
      <c r="O8" s="10"/>
      <c r="P8" s="10"/>
      <c r="Q8" s="14"/>
      <c r="R8" s="10"/>
      <c r="S8" s="10"/>
      <c r="T8" s="10"/>
      <c r="U8" s="11">
        <f t="shared" si="0"/>
        <v>2783.9</v>
      </c>
      <c r="V8" s="12"/>
      <c r="W8" s="30"/>
    </row>
    <row r="9" spans="1:45" x14ac:dyDescent="0.25">
      <c r="A9" s="4">
        <v>11</v>
      </c>
      <c r="B9" s="4" t="s">
        <v>2</v>
      </c>
      <c r="C9" s="7">
        <v>1403.84</v>
      </c>
      <c r="D9" s="15"/>
      <c r="E9" s="15"/>
      <c r="F9" s="15"/>
      <c r="G9" s="15"/>
      <c r="H9" s="7"/>
      <c r="I9" s="7"/>
      <c r="J9" s="7"/>
      <c r="K9" s="7"/>
      <c r="L9" s="7"/>
      <c r="M9" s="7"/>
      <c r="N9" s="7"/>
      <c r="O9" s="7"/>
      <c r="P9" s="7"/>
      <c r="Q9" s="15"/>
      <c r="R9" s="7"/>
      <c r="S9" s="7"/>
      <c r="T9" s="7"/>
      <c r="U9" s="8">
        <f t="shared" si="0"/>
        <v>1403.84</v>
      </c>
      <c r="V9" s="9"/>
      <c r="W9" s="30"/>
    </row>
    <row r="10" spans="1:45" x14ac:dyDescent="0.25">
      <c r="A10" s="5">
        <v>12</v>
      </c>
      <c r="B10" s="5" t="s">
        <v>3</v>
      </c>
      <c r="C10" s="14"/>
      <c r="D10" s="10">
        <v>959</v>
      </c>
      <c r="E10" s="10"/>
      <c r="F10" s="14"/>
      <c r="G10" s="14"/>
      <c r="H10" s="10"/>
      <c r="I10" s="10"/>
      <c r="J10" s="10"/>
      <c r="K10" s="10"/>
      <c r="L10" s="10"/>
      <c r="M10" s="14"/>
      <c r="N10" s="10"/>
      <c r="O10" s="10"/>
      <c r="P10" s="10"/>
      <c r="Q10" s="14"/>
      <c r="R10" s="10"/>
      <c r="S10" s="10"/>
      <c r="T10" s="10"/>
      <c r="U10" s="11">
        <f t="shared" si="0"/>
        <v>959</v>
      </c>
      <c r="V10" s="12"/>
      <c r="W10" s="30"/>
    </row>
    <row r="11" spans="1:45" x14ac:dyDescent="0.25">
      <c r="A11" s="4">
        <v>13</v>
      </c>
      <c r="B11" s="4" t="s">
        <v>4</v>
      </c>
      <c r="C11" s="7">
        <f>342.99+1260.98</f>
        <v>1603.97</v>
      </c>
      <c r="D11" s="15"/>
      <c r="E11" s="15"/>
      <c r="F11" s="7">
        <f>3980+430</f>
        <v>4410</v>
      </c>
      <c r="G11" s="7"/>
      <c r="H11" s="7"/>
      <c r="I11" s="7"/>
      <c r="J11" s="7"/>
      <c r="K11" s="7"/>
      <c r="L11" s="7"/>
      <c r="M11" s="7"/>
      <c r="N11" s="7"/>
      <c r="O11" s="7">
        <f>773+2000+1767</f>
        <v>4540</v>
      </c>
      <c r="P11" s="7"/>
      <c r="Q11" s="15"/>
      <c r="R11" s="7"/>
      <c r="S11" s="7"/>
      <c r="T11" s="7"/>
      <c r="U11" s="8">
        <f t="shared" si="0"/>
        <v>10553.970000000001</v>
      </c>
      <c r="V11" s="9"/>
      <c r="W11" s="30"/>
    </row>
    <row r="12" spans="1:45" x14ac:dyDescent="0.25">
      <c r="A12" s="5">
        <v>14</v>
      </c>
      <c r="B12" s="5" t="s">
        <v>5</v>
      </c>
      <c r="C12" s="10">
        <f>1260.98+678.97</f>
        <v>1939.95</v>
      </c>
      <c r="D12" s="10">
        <f>4500+149</f>
        <v>4649</v>
      </c>
      <c r="E12" s="10"/>
      <c r="F12" s="14"/>
      <c r="G12" s="14"/>
      <c r="H12" s="10"/>
      <c r="I12" s="14"/>
      <c r="J12" s="10"/>
      <c r="K12" s="10"/>
      <c r="L12" s="10"/>
      <c r="M12" s="10">
        <f>543+421</f>
        <v>964</v>
      </c>
      <c r="N12" s="10"/>
      <c r="O12" s="10">
        <f>497</f>
        <v>497</v>
      </c>
      <c r="P12" s="10"/>
      <c r="Q12" s="10"/>
      <c r="R12" s="10"/>
      <c r="S12" s="10"/>
      <c r="T12" s="10"/>
      <c r="U12" s="11">
        <f t="shared" si="0"/>
        <v>8049.95</v>
      </c>
      <c r="V12" s="12"/>
      <c r="W12" s="30"/>
    </row>
    <row r="13" spans="1:45" x14ac:dyDescent="0.25">
      <c r="A13" s="4">
        <v>15</v>
      </c>
      <c r="B13" s="4" t="s">
        <v>6</v>
      </c>
      <c r="C13" s="7">
        <f>1569.79</f>
        <v>1569.79</v>
      </c>
      <c r="D13" s="15"/>
      <c r="E13" s="15"/>
      <c r="F13" s="15"/>
      <c r="G13" s="15"/>
      <c r="H13" s="7"/>
      <c r="I13" s="15"/>
      <c r="J13" s="7"/>
      <c r="K13" s="7"/>
      <c r="L13" s="7"/>
      <c r="M13" s="7">
        <v>135</v>
      </c>
      <c r="N13" s="7"/>
      <c r="O13" s="7"/>
      <c r="P13" s="7"/>
      <c r="Q13" s="7"/>
      <c r="R13" s="7"/>
      <c r="S13" s="7"/>
      <c r="T13" s="7"/>
      <c r="U13" s="8">
        <f t="shared" si="0"/>
        <v>1704.79</v>
      </c>
      <c r="V13" s="9"/>
      <c r="W13" s="30"/>
    </row>
    <row r="14" spans="1:45" x14ac:dyDescent="0.25">
      <c r="A14" s="5">
        <v>16</v>
      </c>
      <c r="B14" s="5" t="s">
        <v>7</v>
      </c>
      <c r="C14" s="10">
        <v>1170</v>
      </c>
      <c r="D14" s="14"/>
      <c r="E14" s="14"/>
      <c r="F14" s="14"/>
      <c r="G14" s="14"/>
      <c r="H14" s="10"/>
      <c r="I14" s="14"/>
      <c r="J14" s="10"/>
      <c r="K14" s="10"/>
      <c r="L14" s="10"/>
      <c r="M14" s="10"/>
      <c r="N14" s="14"/>
      <c r="O14" s="10"/>
      <c r="P14" s="10"/>
      <c r="Q14" s="10"/>
      <c r="R14" s="10"/>
      <c r="S14" s="10"/>
      <c r="T14" s="10"/>
      <c r="U14" s="11">
        <f t="shared" si="0"/>
        <v>1170</v>
      </c>
      <c r="V14" s="12"/>
      <c r="W14" s="30"/>
    </row>
    <row r="15" spans="1:45" x14ac:dyDescent="0.25">
      <c r="A15" s="4">
        <v>17</v>
      </c>
      <c r="B15" s="4" t="s">
        <v>8</v>
      </c>
      <c r="C15" s="15"/>
      <c r="D15" s="15"/>
      <c r="E15" s="15"/>
      <c r="F15" s="15"/>
      <c r="G15" s="15"/>
      <c r="H15" s="7"/>
      <c r="I15" s="7"/>
      <c r="J15" s="7"/>
      <c r="K15" s="7"/>
      <c r="L15" s="7"/>
      <c r="M15" s="15"/>
      <c r="N15" s="7"/>
      <c r="O15" s="7"/>
      <c r="P15" s="7"/>
      <c r="Q15" s="7"/>
      <c r="R15" s="7"/>
      <c r="S15" s="7"/>
      <c r="T15" s="7"/>
      <c r="U15" s="8">
        <f t="shared" si="0"/>
        <v>0</v>
      </c>
      <c r="V15" s="9"/>
      <c r="W15" s="30"/>
    </row>
    <row r="16" spans="1:45" x14ac:dyDescent="0.25">
      <c r="A16" s="5">
        <v>18</v>
      </c>
      <c r="B16" s="5" t="s">
        <v>2</v>
      </c>
      <c r="C16" s="10">
        <v>200</v>
      </c>
      <c r="D16" s="14"/>
      <c r="E16" s="14"/>
      <c r="F16" s="14"/>
      <c r="G16" s="14"/>
      <c r="H16" s="10"/>
      <c r="I16" s="10"/>
      <c r="J16" s="10"/>
      <c r="K16" s="10"/>
      <c r="L16" s="10"/>
      <c r="M16" s="10">
        <v>400</v>
      </c>
      <c r="N16" s="10"/>
      <c r="O16" s="10"/>
      <c r="P16" s="10"/>
      <c r="Q16" s="10">
        <v>499</v>
      </c>
      <c r="R16" s="10"/>
      <c r="S16" s="10"/>
      <c r="T16" s="10"/>
      <c r="U16" s="11">
        <f t="shared" si="0"/>
        <v>1099</v>
      </c>
      <c r="V16" s="12"/>
      <c r="W16" s="30"/>
    </row>
    <row r="17" spans="1:23" x14ac:dyDescent="0.25">
      <c r="A17" s="4">
        <v>19</v>
      </c>
      <c r="B17" s="4" t="s">
        <v>3</v>
      </c>
      <c r="C17" s="15"/>
      <c r="D17" s="15"/>
      <c r="E17" s="15"/>
      <c r="F17" s="14"/>
      <c r="G17" s="14"/>
      <c r="H17" s="7"/>
      <c r="I17" s="7"/>
      <c r="J17" s="7"/>
      <c r="K17" s="7"/>
      <c r="L17" s="7"/>
      <c r="M17" s="15"/>
      <c r="N17" s="7"/>
      <c r="O17" s="7"/>
      <c r="P17" s="7"/>
      <c r="Q17" s="7"/>
      <c r="R17" s="7"/>
      <c r="S17" s="7"/>
      <c r="T17" s="7"/>
      <c r="U17" s="8">
        <f t="shared" si="0"/>
        <v>0</v>
      </c>
      <c r="V17" s="9"/>
      <c r="W17" s="30">
        <f>V3-SUM(U3:U16)</f>
        <v>-6655.0499999999956</v>
      </c>
    </row>
    <row r="18" spans="1:23" ht="14.25" customHeight="1" x14ac:dyDescent="0.25">
      <c r="A18" s="39">
        <v>20</v>
      </c>
      <c r="B18" s="39" t="s">
        <v>4</v>
      </c>
      <c r="C18" s="41"/>
      <c r="D18" s="40"/>
      <c r="E18" s="40"/>
      <c r="F18" s="40"/>
      <c r="G18" s="40"/>
      <c r="H18" s="41">
        <v>1300</v>
      </c>
      <c r="I18" s="41"/>
      <c r="J18" s="41"/>
      <c r="K18" s="41"/>
      <c r="L18" s="41"/>
      <c r="M18" s="41">
        <f>1587+618</f>
        <v>2205</v>
      </c>
      <c r="N18" s="41"/>
      <c r="O18" s="41"/>
      <c r="P18" s="41"/>
      <c r="Q18" s="41"/>
      <c r="R18" s="41"/>
      <c r="S18" s="41"/>
      <c r="T18" s="41"/>
      <c r="U18" s="42">
        <f>SUM(C18:T18)</f>
        <v>3505</v>
      </c>
      <c r="V18" s="43">
        <f>30304+16451</f>
        <v>46755</v>
      </c>
      <c r="W18" s="44"/>
    </row>
    <row r="19" spans="1:23" x14ac:dyDescent="0.25">
      <c r="A19" s="4">
        <v>21</v>
      </c>
      <c r="B19" s="4" t="s">
        <v>5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8">
        <f>SUM(C19:T19)</f>
        <v>0</v>
      </c>
      <c r="V19" s="9"/>
      <c r="W19" s="30"/>
    </row>
    <row r="20" spans="1:23" x14ac:dyDescent="0.25">
      <c r="A20" s="5">
        <v>22</v>
      </c>
      <c r="B20" s="5" t="s">
        <v>6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1">
        <f t="shared" ref="U20:U30" si="1">SUM(C20:T20)</f>
        <v>0</v>
      </c>
      <c r="V20" s="12"/>
      <c r="W20" s="30"/>
    </row>
    <row r="21" spans="1:23" x14ac:dyDescent="0.25">
      <c r="A21" s="4">
        <v>23</v>
      </c>
      <c r="B21" s="4" t="s">
        <v>7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f t="shared" si="1"/>
        <v>0</v>
      </c>
      <c r="V21" s="9"/>
      <c r="W21" s="30"/>
    </row>
    <row r="22" spans="1:23" x14ac:dyDescent="0.25">
      <c r="A22" s="5">
        <v>24</v>
      </c>
      <c r="B22" s="5" t="s">
        <v>8</v>
      </c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1">
        <f t="shared" si="1"/>
        <v>0</v>
      </c>
      <c r="V22" s="12"/>
      <c r="W22" s="30"/>
    </row>
    <row r="23" spans="1:23" x14ac:dyDescent="0.25">
      <c r="A23" s="4">
        <v>25</v>
      </c>
      <c r="B23" s="4" t="s">
        <v>2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8">
        <f t="shared" si="1"/>
        <v>0</v>
      </c>
      <c r="V23" s="9"/>
      <c r="W23" s="30"/>
    </row>
    <row r="24" spans="1:23" x14ac:dyDescent="0.25">
      <c r="A24" s="5">
        <v>26</v>
      </c>
      <c r="B24" s="5" t="s">
        <v>3</v>
      </c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1">
        <f t="shared" si="1"/>
        <v>0</v>
      </c>
      <c r="V24" s="12"/>
      <c r="W24" s="30"/>
    </row>
    <row r="25" spans="1:23" x14ac:dyDescent="0.25">
      <c r="A25" s="4">
        <v>27</v>
      </c>
      <c r="B25" s="4" t="s">
        <v>4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f t="shared" si="1"/>
        <v>0</v>
      </c>
      <c r="V25" s="9"/>
      <c r="W25" s="30"/>
    </row>
    <row r="26" spans="1:23" x14ac:dyDescent="0.25">
      <c r="A26" s="5">
        <v>28</v>
      </c>
      <c r="B26" s="5" t="s">
        <v>5</v>
      </c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1">
        <f t="shared" si="1"/>
        <v>0</v>
      </c>
      <c r="V26" s="12"/>
      <c r="W26" s="30"/>
    </row>
    <row r="27" spans="1:23" x14ac:dyDescent="0.25">
      <c r="A27" s="5">
        <v>1</v>
      </c>
      <c r="B27" s="5" t="s">
        <v>6</v>
      </c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8">
        <f t="shared" si="1"/>
        <v>0</v>
      </c>
      <c r="V27" s="12"/>
      <c r="W27" s="30"/>
    </row>
    <row r="28" spans="1:23" x14ac:dyDescent="0.25">
      <c r="A28" s="5">
        <v>2</v>
      </c>
      <c r="B28" s="5" t="s">
        <v>7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1">
        <f t="shared" si="1"/>
        <v>0</v>
      </c>
      <c r="V28" s="12"/>
      <c r="W28" s="30"/>
    </row>
    <row r="29" spans="1:23" x14ac:dyDescent="0.25">
      <c r="A29" s="5">
        <v>3</v>
      </c>
      <c r="B29" s="5" t="s">
        <v>8</v>
      </c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8">
        <f t="shared" si="1"/>
        <v>0</v>
      </c>
      <c r="V29" s="12"/>
      <c r="W29" s="30"/>
    </row>
    <row r="30" spans="1:23" x14ac:dyDescent="0.25">
      <c r="A30" s="5">
        <v>4</v>
      </c>
      <c r="B30" s="5" t="s">
        <v>2</v>
      </c>
      <c r="C30" s="14">
        <v>15000</v>
      </c>
      <c r="D30" s="14">
        <v>12000</v>
      </c>
      <c r="E30" s="10"/>
      <c r="F30" s="14">
        <v>4200</v>
      </c>
      <c r="G30" s="10"/>
      <c r="H30" s="10"/>
      <c r="I30" s="14">
        <v>8000</v>
      </c>
      <c r="J30" s="10"/>
      <c r="K30" s="10"/>
      <c r="L30" s="10"/>
      <c r="M30" s="14">
        <v>3500</v>
      </c>
      <c r="N30" s="10"/>
      <c r="O30" s="10"/>
      <c r="P30" s="10"/>
      <c r="Q30" s="14">
        <v>2000</v>
      </c>
      <c r="R30" s="14">
        <v>5000</v>
      </c>
      <c r="S30" s="10"/>
      <c r="T30" s="10"/>
      <c r="U30" s="11">
        <f t="shared" si="1"/>
        <v>49700</v>
      </c>
      <c r="V30" s="12"/>
      <c r="W30" s="30">
        <f>V18-SUM(U18:U30)</f>
        <v>-6450</v>
      </c>
    </row>
    <row r="31" spans="1:23" x14ac:dyDescent="0.25">
      <c r="A31" s="25" t="s">
        <v>20</v>
      </c>
      <c r="B31" s="25"/>
      <c r="C31" s="13">
        <f>SUM(C3:C30)</f>
        <v>29330.45</v>
      </c>
      <c r="D31" s="13">
        <f t="shared" ref="D31:T31" si="2">SUM(D3:D30)</f>
        <v>23194</v>
      </c>
      <c r="E31" s="13">
        <f t="shared" si="2"/>
        <v>0</v>
      </c>
      <c r="F31" s="13">
        <f t="shared" si="2"/>
        <v>8610</v>
      </c>
      <c r="G31" s="13">
        <f t="shared" si="2"/>
        <v>0</v>
      </c>
      <c r="H31" s="13">
        <f t="shared" si="2"/>
        <v>2140</v>
      </c>
      <c r="I31" s="13">
        <f t="shared" si="2"/>
        <v>8450</v>
      </c>
      <c r="J31" s="13">
        <f t="shared" si="2"/>
        <v>0</v>
      </c>
      <c r="K31" s="13">
        <f t="shared" si="2"/>
        <v>0</v>
      </c>
      <c r="L31" s="13">
        <f t="shared" si="2"/>
        <v>0</v>
      </c>
      <c r="M31" s="13">
        <f t="shared" si="2"/>
        <v>8866</v>
      </c>
      <c r="N31" s="13">
        <f t="shared" si="2"/>
        <v>0</v>
      </c>
      <c r="O31" s="13">
        <f t="shared" si="2"/>
        <v>5037</v>
      </c>
      <c r="P31" s="13">
        <f t="shared" si="2"/>
        <v>14418</v>
      </c>
      <c r="Q31" s="13">
        <f t="shared" si="2"/>
        <v>2499</v>
      </c>
      <c r="R31" s="13">
        <f t="shared" si="2"/>
        <v>11055</v>
      </c>
      <c r="S31" s="13">
        <f t="shared" si="2"/>
        <v>0</v>
      </c>
      <c r="T31" s="13">
        <f t="shared" si="2"/>
        <v>0</v>
      </c>
      <c r="U31" s="13">
        <f t="shared" ref="C31:V31" si="3">SUM(U3:U26)</f>
        <v>63899.45</v>
      </c>
      <c r="V31" s="13">
        <f t="shared" si="3"/>
        <v>100494.39999999999</v>
      </c>
      <c r="W31" s="31"/>
    </row>
    <row r="35" spans="2:9" x14ac:dyDescent="0.25">
      <c r="B35" s="6"/>
      <c r="C35" s="6"/>
      <c r="D35" s="6"/>
      <c r="E35" s="6"/>
      <c r="F35" s="6"/>
      <c r="G35" s="6"/>
      <c r="H35" s="6"/>
      <c r="I35" s="6"/>
    </row>
  </sheetData>
  <mergeCells count="2">
    <mergeCell ref="A1:W1"/>
    <mergeCell ref="A31:B31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S34"/>
  <sheetViews>
    <sheetView zoomScale="86" zoomScaleNormal="86" workbookViewId="0">
      <pane xSplit="2" ySplit="30" topLeftCell="C31" activePane="bottomRight" state="frozen"/>
      <selection pane="topRight" activeCell="C1" sqref="C1"/>
      <selection pane="bottomLeft" activeCell="A28" sqref="A28"/>
      <selection pane="bottomRight" activeCell="H35" sqref="H35"/>
    </sheetView>
  </sheetViews>
  <sheetFormatPr defaultRowHeight="15" x14ac:dyDescent="0.25"/>
  <cols>
    <col min="1" max="23" width="20.7109375" style="2" customWidth="1"/>
    <col min="24" max="35" width="12.7109375" style="2" customWidth="1"/>
    <col min="36" max="16384" width="9.140625" style="2"/>
  </cols>
  <sheetData>
    <row r="1" spans="1:45" ht="60.75" customHeight="1" x14ac:dyDescent="0.25">
      <c r="A1" s="32" t="s">
        <v>27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</row>
    <row r="2" spans="1:45" ht="45" customHeight="1" x14ac:dyDescent="0.25">
      <c r="A2" s="33" t="s">
        <v>0</v>
      </c>
      <c r="B2" s="33" t="s">
        <v>1</v>
      </c>
      <c r="C2" s="33" t="s">
        <v>9</v>
      </c>
      <c r="D2" s="33" t="s">
        <v>62</v>
      </c>
      <c r="E2" s="33" t="s">
        <v>10</v>
      </c>
      <c r="F2" s="33" t="s">
        <v>11</v>
      </c>
      <c r="G2" s="33" t="s">
        <v>63</v>
      </c>
      <c r="H2" s="33" t="s">
        <v>12</v>
      </c>
      <c r="I2" s="33" t="s">
        <v>24</v>
      </c>
      <c r="J2" s="33" t="s">
        <v>23</v>
      </c>
      <c r="K2" s="33" t="s">
        <v>13</v>
      </c>
      <c r="L2" s="33" t="s">
        <v>14</v>
      </c>
      <c r="M2" s="33" t="s">
        <v>15</v>
      </c>
      <c r="N2" s="33" t="s">
        <v>16</v>
      </c>
      <c r="O2" s="33" t="s">
        <v>60</v>
      </c>
      <c r="P2" s="33" t="s">
        <v>17</v>
      </c>
      <c r="Q2" s="33" t="s">
        <v>18</v>
      </c>
      <c r="R2" s="33" t="s">
        <v>25</v>
      </c>
      <c r="S2" s="33" t="s">
        <v>25</v>
      </c>
      <c r="T2" s="33" t="s">
        <v>26</v>
      </c>
      <c r="U2" s="33" t="s">
        <v>22</v>
      </c>
      <c r="V2" s="33" t="s">
        <v>19</v>
      </c>
      <c r="W2" s="33" t="s">
        <v>21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</row>
    <row r="3" spans="1:45" x14ac:dyDescent="0.25">
      <c r="A3" s="34">
        <v>5</v>
      </c>
      <c r="B3" s="34" t="s">
        <v>3</v>
      </c>
      <c r="C3" s="35"/>
      <c r="D3" s="35"/>
      <c r="E3" s="35">
        <v>3131</v>
      </c>
      <c r="F3" s="35"/>
      <c r="G3" s="35"/>
      <c r="H3" s="35"/>
      <c r="I3" s="35">
        <v>450</v>
      </c>
      <c r="J3" s="35"/>
      <c r="K3" s="35"/>
      <c r="L3" s="35"/>
      <c r="M3" s="35">
        <v>40</v>
      </c>
      <c r="N3" s="35"/>
      <c r="O3" s="35"/>
      <c r="P3" s="35">
        <v>14418</v>
      </c>
      <c r="Q3" s="35"/>
      <c r="R3" s="35">
        <v>5000</v>
      </c>
      <c r="S3" s="35"/>
      <c r="T3" s="35"/>
      <c r="U3" s="35">
        <f>SUM(C3:T3)</f>
        <v>23039</v>
      </c>
      <c r="V3" s="36">
        <v>53739.4</v>
      </c>
      <c r="W3" s="37">
        <f>V30-U30</f>
        <v>-1479.0500000000029</v>
      </c>
    </row>
    <row r="4" spans="1:45" x14ac:dyDescent="0.25">
      <c r="A4" s="34">
        <v>6</v>
      </c>
      <c r="B4" s="34" t="s">
        <v>4</v>
      </c>
      <c r="C4" s="35"/>
      <c r="D4" s="35"/>
      <c r="E4" s="35"/>
      <c r="F4" s="35"/>
      <c r="G4" s="35"/>
      <c r="H4" s="35"/>
      <c r="I4" s="35"/>
      <c r="J4" s="35"/>
      <c r="K4" s="35"/>
      <c r="L4" s="35"/>
      <c r="M4" s="35">
        <f>131+247</f>
        <v>378</v>
      </c>
      <c r="N4" s="35"/>
      <c r="O4" s="35"/>
      <c r="P4" s="35"/>
      <c r="Q4" s="35"/>
      <c r="R4" s="35"/>
      <c r="S4" s="35"/>
      <c r="T4" s="35"/>
      <c r="U4" s="35">
        <f>SUM(C4:T4)</f>
        <v>378</v>
      </c>
      <c r="V4" s="36"/>
      <c r="W4" s="37"/>
    </row>
    <row r="5" spans="1:45" x14ac:dyDescent="0.25">
      <c r="A5" s="34">
        <v>7</v>
      </c>
      <c r="B5" s="34" t="s">
        <v>5</v>
      </c>
      <c r="C5" s="35"/>
      <c r="D5" s="35"/>
      <c r="E5" s="35">
        <v>1110</v>
      </c>
      <c r="F5" s="35"/>
      <c r="G5" s="35"/>
      <c r="H5" s="35">
        <v>840</v>
      </c>
      <c r="I5" s="35"/>
      <c r="J5" s="35"/>
      <c r="K5" s="35"/>
      <c r="L5" s="35"/>
      <c r="M5" s="35">
        <f>197+259</f>
        <v>456</v>
      </c>
      <c r="N5" s="35"/>
      <c r="O5" s="35"/>
      <c r="P5" s="35"/>
      <c r="Q5" s="35"/>
      <c r="R5" s="35"/>
      <c r="S5" s="35"/>
      <c r="T5" s="35"/>
      <c r="U5" s="35">
        <f>SUM(C5:T5)</f>
        <v>2406</v>
      </c>
      <c r="V5" s="36"/>
      <c r="W5" s="37"/>
    </row>
    <row r="6" spans="1:45" x14ac:dyDescent="0.25">
      <c r="A6" s="34">
        <v>8</v>
      </c>
      <c r="B6" s="34" t="s">
        <v>6</v>
      </c>
      <c r="C6" s="35"/>
      <c r="D6" s="35"/>
      <c r="E6" s="35"/>
      <c r="F6" s="35"/>
      <c r="G6" s="35"/>
      <c r="H6" s="35"/>
      <c r="I6" s="35"/>
      <c r="J6" s="35"/>
      <c r="K6" s="35"/>
      <c r="L6" s="35"/>
      <c r="M6" s="35">
        <f>221+171</f>
        <v>392</v>
      </c>
      <c r="N6" s="35"/>
      <c r="O6" s="35"/>
      <c r="P6" s="35"/>
      <c r="Q6" s="35"/>
      <c r="R6" s="35"/>
      <c r="S6" s="35"/>
      <c r="T6" s="35"/>
      <c r="U6" s="35">
        <f>SUM(C6:T6)</f>
        <v>392</v>
      </c>
      <c r="V6" s="36"/>
      <c r="W6" s="37"/>
    </row>
    <row r="7" spans="1:45" x14ac:dyDescent="0.25">
      <c r="A7" s="34">
        <v>9</v>
      </c>
      <c r="B7" s="34" t="s">
        <v>7</v>
      </c>
      <c r="C7" s="35"/>
      <c r="D7" s="35"/>
      <c r="E7" s="35"/>
      <c r="F7" s="35"/>
      <c r="G7" s="35"/>
      <c r="H7" s="35"/>
      <c r="I7" s="35"/>
      <c r="J7" s="35"/>
      <c r="K7" s="35"/>
      <c r="L7" s="35"/>
      <c r="M7" s="35">
        <v>224</v>
      </c>
      <c r="N7" s="35"/>
      <c r="O7" s="35"/>
      <c r="P7" s="35"/>
      <c r="Q7" s="35"/>
      <c r="R7" s="35">
        <v>1055</v>
      </c>
      <c r="S7" s="35"/>
      <c r="T7" s="35"/>
      <c r="U7" s="35">
        <f>SUM(C7:T7)</f>
        <v>1279</v>
      </c>
      <c r="V7" s="36"/>
      <c r="W7" s="37"/>
    </row>
    <row r="8" spans="1:45" x14ac:dyDescent="0.25">
      <c r="A8" s="34">
        <v>10</v>
      </c>
      <c r="B8" s="34" t="s">
        <v>8</v>
      </c>
      <c r="C8" s="35">
        <v>1266.9000000000001</v>
      </c>
      <c r="D8" s="35"/>
      <c r="E8" s="35">
        <v>1345</v>
      </c>
      <c r="F8" s="35"/>
      <c r="G8" s="35"/>
      <c r="H8" s="35"/>
      <c r="I8" s="35"/>
      <c r="J8" s="35"/>
      <c r="K8" s="35"/>
      <c r="L8" s="35"/>
      <c r="M8" s="35">
        <v>172</v>
      </c>
      <c r="N8" s="35"/>
      <c r="O8" s="35"/>
      <c r="P8" s="35"/>
      <c r="Q8" s="35"/>
      <c r="R8" s="35"/>
      <c r="S8" s="35"/>
      <c r="T8" s="35"/>
      <c r="U8" s="35">
        <f>SUM(C8:T8)</f>
        <v>2783.9</v>
      </c>
      <c r="V8" s="36"/>
      <c r="W8" s="37"/>
    </row>
    <row r="9" spans="1:45" x14ac:dyDescent="0.25">
      <c r="A9" s="34">
        <v>11</v>
      </c>
      <c r="B9" s="34" t="s">
        <v>2</v>
      </c>
      <c r="C9" s="35">
        <v>1403.84</v>
      </c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SUM(C9:T9)</f>
        <v>1403.84</v>
      </c>
      <c r="V9" s="36"/>
      <c r="W9" s="37"/>
    </row>
    <row r="10" spans="1:45" x14ac:dyDescent="0.25">
      <c r="A10" s="34">
        <v>12</v>
      </c>
      <c r="B10" s="34" t="s">
        <v>3</v>
      </c>
      <c r="C10" s="35"/>
      <c r="D10" s="35"/>
      <c r="E10" s="35">
        <v>959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>
        <f>SUM(C10:T10)</f>
        <v>959</v>
      </c>
      <c r="V10" s="36"/>
      <c r="W10" s="37"/>
    </row>
    <row r="11" spans="1:45" x14ac:dyDescent="0.25">
      <c r="A11" s="34">
        <v>13</v>
      </c>
      <c r="B11" s="34" t="s">
        <v>4</v>
      </c>
      <c r="C11" s="35">
        <f>342.99+1260.98</f>
        <v>1603.97</v>
      </c>
      <c r="D11" s="35"/>
      <c r="E11" s="35"/>
      <c r="F11" s="35">
        <f>3980+430</f>
        <v>4410</v>
      </c>
      <c r="G11" s="35"/>
      <c r="H11" s="35"/>
      <c r="I11" s="35"/>
      <c r="J11" s="35"/>
      <c r="K11" s="35"/>
      <c r="L11" s="35"/>
      <c r="M11" s="35"/>
      <c r="N11" s="35"/>
      <c r="O11" s="35">
        <f>773+2000+1767</f>
        <v>4540</v>
      </c>
      <c r="P11" s="35"/>
      <c r="Q11" s="35"/>
      <c r="R11" s="35"/>
      <c r="S11" s="35"/>
      <c r="T11" s="35"/>
      <c r="U11" s="35">
        <f>SUM(C11:T11)</f>
        <v>10553.970000000001</v>
      </c>
      <c r="V11" s="36"/>
      <c r="W11" s="37"/>
    </row>
    <row r="12" spans="1:45" x14ac:dyDescent="0.25">
      <c r="A12" s="34">
        <v>14</v>
      </c>
      <c r="B12" s="34" t="s">
        <v>5</v>
      </c>
      <c r="C12" s="35">
        <f>1260.98+678.97</f>
        <v>1939.95</v>
      </c>
      <c r="D12" s="35"/>
      <c r="E12" s="35">
        <f>4500+149</f>
        <v>4649</v>
      </c>
      <c r="F12" s="35"/>
      <c r="G12" s="35"/>
      <c r="H12" s="35"/>
      <c r="I12" s="35"/>
      <c r="J12" s="35"/>
      <c r="K12" s="35"/>
      <c r="L12" s="35"/>
      <c r="M12" s="35">
        <f>543+421</f>
        <v>964</v>
      </c>
      <c r="N12" s="35"/>
      <c r="O12" s="35">
        <f>497</f>
        <v>497</v>
      </c>
      <c r="P12" s="35"/>
      <c r="Q12" s="35"/>
      <c r="R12" s="35"/>
      <c r="S12" s="35"/>
      <c r="T12" s="35"/>
      <c r="U12" s="35">
        <f>SUM(C12:T12)</f>
        <v>8049.95</v>
      </c>
      <c r="V12" s="36"/>
      <c r="W12" s="37"/>
    </row>
    <row r="13" spans="1:45" x14ac:dyDescent="0.25">
      <c r="A13" s="34">
        <v>15</v>
      </c>
      <c r="B13" s="34" t="s">
        <v>6</v>
      </c>
      <c r="C13" s="35">
        <f>1569.79</f>
        <v>1569.79</v>
      </c>
      <c r="D13" s="35"/>
      <c r="E13" s="35"/>
      <c r="F13" s="35"/>
      <c r="G13" s="35"/>
      <c r="H13" s="35"/>
      <c r="I13" s="35"/>
      <c r="J13" s="35"/>
      <c r="K13" s="35"/>
      <c r="L13" s="35"/>
      <c r="M13" s="35">
        <v>135</v>
      </c>
      <c r="N13" s="35"/>
      <c r="O13" s="35"/>
      <c r="P13" s="35"/>
      <c r="Q13" s="35"/>
      <c r="R13" s="35"/>
      <c r="S13" s="35"/>
      <c r="T13" s="35"/>
      <c r="U13" s="35">
        <f>SUM(C13:T13)</f>
        <v>1704.79</v>
      </c>
      <c r="V13" s="36"/>
      <c r="W13" s="37"/>
    </row>
    <row r="14" spans="1:45" x14ac:dyDescent="0.25">
      <c r="A14" s="34">
        <v>16</v>
      </c>
      <c r="B14" s="34" t="s">
        <v>7</v>
      </c>
      <c r="C14" s="35">
        <v>1170</v>
      </c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>
        <f>SUM(C14:T14)</f>
        <v>1170</v>
      </c>
      <c r="V14" s="36"/>
      <c r="W14" s="37"/>
    </row>
    <row r="15" spans="1:45" x14ac:dyDescent="0.25">
      <c r="A15" s="34">
        <v>17</v>
      </c>
      <c r="B15" s="34" t="s">
        <v>8</v>
      </c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>
        <f>SUM(C15:T15)</f>
        <v>0</v>
      </c>
      <c r="V15" s="36"/>
      <c r="W15" s="37"/>
    </row>
    <row r="16" spans="1:45" x14ac:dyDescent="0.25">
      <c r="A16" s="34">
        <v>18</v>
      </c>
      <c r="B16" s="34" t="s">
        <v>2</v>
      </c>
      <c r="C16" s="35">
        <v>200</v>
      </c>
      <c r="D16" s="35"/>
      <c r="E16" s="35"/>
      <c r="F16" s="35"/>
      <c r="G16" s="35"/>
      <c r="H16" s="35"/>
      <c r="I16" s="35"/>
      <c r="J16" s="35"/>
      <c r="K16" s="35"/>
      <c r="L16" s="35"/>
      <c r="M16" s="35">
        <v>400</v>
      </c>
      <c r="N16" s="35"/>
      <c r="O16" s="35"/>
      <c r="P16" s="35"/>
      <c r="Q16" s="35">
        <v>499</v>
      </c>
      <c r="R16" s="35"/>
      <c r="S16" s="35"/>
      <c r="T16" s="35"/>
      <c r="U16" s="35">
        <f>SUM(C16:T16)</f>
        <v>1099</v>
      </c>
      <c r="V16" s="36"/>
      <c r="W16" s="37"/>
    </row>
    <row r="17" spans="1:23" x14ac:dyDescent="0.25">
      <c r="A17" s="34">
        <v>19</v>
      </c>
      <c r="B17" s="34" t="s">
        <v>3</v>
      </c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>
        <f>SUM(C17:T17)</f>
        <v>0</v>
      </c>
      <c r="V17" s="36"/>
      <c r="W17" s="37"/>
    </row>
    <row r="18" spans="1:23" x14ac:dyDescent="0.25">
      <c r="A18" s="34">
        <v>20</v>
      </c>
      <c r="B18" s="34" t="s">
        <v>4</v>
      </c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>
        <f>SUM(C18:T18)</f>
        <v>0</v>
      </c>
      <c r="V18" s="36"/>
      <c r="W18" s="37"/>
    </row>
    <row r="19" spans="1:23" x14ac:dyDescent="0.25">
      <c r="A19" s="34">
        <v>21</v>
      </c>
      <c r="B19" s="34" t="s">
        <v>5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>
        <f>SUM(C19:T19)</f>
        <v>0</v>
      </c>
      <c r="V19" s="36"/>
      <c r="W19" s="37"/>
    </row>
    <row r="20" spans="1:23" x14ac:dyDescent="0.25">
      <c r="A20" s="34">
        <v>22</v>
      </c>
      <c r="B20" s="34" t="s">
        <v>6</v>
      </c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>
        <f>SUM(C20:T20)</f>
        <v>0</v>
      </c>
      <c r="V20" s="36"/>
      <c r="W20" s="37"/>
    </row>
    <row r="21" spans="1:23" x14ac:dyDescent="0.25">
      <c r="A21" s="34">
        <v>23</v>
      </c>
      <c r="B21" s="34" t="s">
        <v>7</v>
      </c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>
        <f>SUM(C21:T21)</f>
        <v>0</v>
      </c>
      <c r="V21" s="36"/>
      <c r="W21" s="37"/>
    </row>
    <row r="22" spans="1:23" x14ac:dyDescent="0.25">
      <c r="A22" s="34">
        <v>24</v>
      </c>
      <c r="B22" s="34" t="s">
        <v>8</v>
      </c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>
        <f>SUM(C22:T22)</f>
        <v>0</v>
      </c>
      <c r="V22" s="36"/>
      <c r="W22" s="37"/>
    </row>
    <row r="23" spans="1:23" x14ac:dyDescent="0.25">
      <c r="A23" s="34">
        <v>25</v>
      </c>
      <c r="B23" s="34" t="s">
        <v>2</v>
      </c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>
        <f>SUM(C23:T23)</f>
        <v>0</v>
      </c>
      <c r="V23" s="36"/>
      <c r="W23" s="37"/>
    </row>
    <row r="24" spans="1:23" x14ac:dyDescent="0.25">
      <c r="A24" s="34">
        <v>26</v>
      </c>
      <c r="B24" s="34" t="s">
        <v>3</v>
      </c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>
        <f>SUM(C24:T24)</f>
        <v>0</v>
      </c>
      <c r="V24" s="36"/>
      <c r="W24" s="37"/>
    </row>
    <row r="25" spans="1:23" x14ac:dyDescent="0.25">
      <c r="A25" s="34">
        <v>27</v>
      </c>
      <c r="B25" s="34" t="s">
        <v>4</v>
      </c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>
        <f>SUM(C25:T25)</f>
        <v>0</v>
      </c>
      <c r="V25" s="36"/>
      <c r="W25" s="37"/>
    </row>
    <row r="26" spans="1:23" x14ac:dyDescent="0.25">
      <c r="A26" s="34">
        <v>28</v>
      </c>
      <c r="B26" s="34" t="s">
        <v>5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>
        <f>SUM(C26:T26)</f>
        <v>0</v>
      </c>
      <c r="V26" s="36"/>
      <c r="W26" s="37"/>
    </row>
    <row r="27" spans="1:23" x14ac:dyDescent="0.25">
      <c r="A27" s="34"/>
      <c r="B27" s="34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6"/>
      <c r="W27" s="37"/>
    </row>
    <row r="28" spans="1:23" x14ac:dyDescent="0.25">
      <c r="A28" s="34"/>
      <c r="B28" s="34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6"/>
      <c r="W28" s="37"/>
    </row>
    <row r="29" spans="1:23" x14ac:dyDescent="0.25">
      <c r="A29" s="34"/>
      <c r="B29" s="34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6"/>
      <c r="W29" s="37"/>
    </row>
    <row r="30" spans="1:23" x14ac:dyDescent="0.25">
      <c r="A30" s="38" t="s">
        <v>20</v>
      </c>
      <c r="B30" s="38"/>
      <c r="C30" s="36">
        <f t="shared" ref="C30:V30" si="0">SUM(C3:C26)</f>
        <v>9154.4500000000007</v>
      </c>
      <c r="D30" s="36"/>
      <c r="E30" s="36">
        <f t="shared" si="0"/>
        <v>11194</v>
      </c>
      <c r="F30" s="36">
        <f t="shared" si="0"/>
        <v>4410</v>
      </c>
      <c r="G30" s="36"/>
      <c r="H30" s="36">
        <f t="shared" si="0"/>
        <v>840</v>
      </c>
      <c r="I30" s="36">
        <f t="shared" si="0"/>
        <v>450</v>
      </c>
      <c r="J30" s="36">
        <f t="shared" si="0"/>
        <v>0</v>
      </c>
      <c r="K30" s="36">
        <f t="shared" si="0"/>
        <v>0</v>
      </c>
      <c r="L30" s="36">
        <f t="shared" si="0"/>
        <v>0</v>
      </c>
      <c r="M30" s="36">
        <f t="shared" si="0"/>
        <v>3161</v>
      </c>
      <c r="N30" s="36">
        <f t="shared" si="0"/>
        <v>0</v>
      </c>
      <c r="O30" s="36">
        <f t="shared" si="0"/>
        <v>5037</v>
      </c>
      <c r="P30" s="36">
        <f t="shared" si="0"/>
        <v>14418</v>
      </c>
      <c r="Q30" s="36">
        <f t="shared" si="0"/>
        <v>499</v>
      </c>
      <c r="R30" s="36">
        <f t="shared" si="0"/>
        <v>6055</v>
      </c>
      <c r="S30" s="36">
        <f t="shared" si="0"/>
        <v>0</v>
      </c>
      <c r="T30" s="36">
        <f t="shared" si="0"/>
        <v>0</v>
      </c>
      <c r="U30" s="36">
        <f t="shared" si="0"/>
        <v>55218.450000000004</v>
      </c>
      <c r="V30" s="36">
        <f t="shared" si="0"/>
        <v>53739.4</v>
      </c>
      <c r="W30" s="37"/>
    </row>
    <row r="34" spans="2:9" x14ac:dyDescent="0.25">
      <c r="B34" s="6"/>
      <c r="C34" s="6"/>
      <c r="D34" s="6"/>
      <c r="E34" s="6"/>
      <c r="F34" s="6"/>
      <c r="G34" s="6"/>
      <c r="H34" s="6"/>
      <c r="I34" s="6"/>
    </row>
  </sheetData>
  <mergeCells count="3">
    <mergeCell ref="A30:B30"/>
    <mergeCell ref="A1:W1"/>
    <mergeCell ref="W3:W30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4"/>
  <sheetViews>
    <sheetView workbookViewId="0">
      <selection activeCell="B20" sqref="B20"/>
    </sheetView>
  </sheetViews>
  <sheetFormatPr defaultRowHeight="15" x14ac:dyDescent="0.25"/>
  <cols>
    <col min="1" max="1" width="9.140625" style="19"/>
    <col min="2" max="2" width="22.5703125" style="19" customWidth="1"/>
    <col min="3" max="3" width="12.42578125" style="19" customWidth="1"/>
    <col min="4" max="4" width="10.85546875" style="19" customWidth="1"/>
    <col min="5" max="5" width="17" style="19" bestFit="1" customWidth="1"/>
    <col min="6" max="7" width="9.140625" style="19"/>
    <col min="8" max="8" width="18.42578125" style="19" customWidth="1"/>
    <col min="9" max="9" width="13.140625" style="19" customWidth="1"/>
    <col min="10" max="10" width="9.7109375" style="19" customWidth="1"/>
    <col min="11" max="11" width="16.7109375" style="19" customWidth="1"/>
    <col min="12" max="16384" width="9.140625" style="19"/>
  </cols>
  <sheetData>
    <row r="1" spans="1:11" x14ac:dyDescent="0.25">
      <c r="A1" s="27" t="s">
        <v>49</v>
      </c>
      <c r="B1" s="27"/>
      <c r="C1" s="27"/>
      <c r="D1" s="27"/>
      <c r="E1" s="27"/>
      <c r="G1" s="27" t="s">
        <v>50</v>
      </c>
      <c r="H1" s="27"/>
      <c r="I1" s="27"/>
      <c r="J1" s="27"/>
      <c r="K1" s="27"/>
    </row>
    <row r="2" spans="1:11" x14ac:dyDescent="0.25">
      <c r="A2" t="s">
        <v>32</v>
      </c>
      <c r="B2" t="s">
        <v>28</v>
      </c>
      <c r="C2" t="s">
        <v>29</v>
      </c>
      <c r="D2" t="s">
        <v>30</v>
      </c>
      <c r="E2" t="s">
        <v>31</v>
      </c>
      <c r="G2" t="s">
        <v>32</v>
      </c>
      <c r="H2" t="s">
        <v>28</v>
      </c>
      <c r="I2" t="s">
        <v>29</v>
      </c>
      <c r="J2" t="s">
        <v>30</v>
      </c>
      <c r="K2" t="s">
        <v>31</v>
      </c>
    </row>
    <row r="3" spans="1:11" x14ac:dyDescent="0.25">
      <c r="A3" s="18">
        <v>1</v>
      </c>
      <c r="B3" t="s">
        <v>35</v>
      </c>
      <c r="C3">
        <v>1</v>
      </c>
      <c r="D3" s="16">
        <v>90</v>
      </c>
      <c r="E3" s="16">
        <f>C3*D3</f>
        <v>90</v>
      </c>
      <c r="G3" s="18">
        <v>1</v>
      </c>
      <c r="H3" t="s">
        <v>48</v>
      </c>
      <c r="I3">
        <v>1</v>
      </c>
      <c r="J3" s="16">
        <v>318</v>
      </c>
      <c r="K3" s="16">
        <f>I3*J3</f>
        <v>318</v>
      </c>
    </row>
    <row r="4" spans="1:11" ht="30" x14ac:dyDescent="0.25">
      <c r="A4" s="18">
        <v>2</v>
      </c>
      <c r="B4" t="s">
        <v>44</v>
      </c>
      <c r="C4">
        <v>1</v>
      </c>
      <c r="D4" s="16">
        <v>90</v>
      </c>
      <c r="E4" s="16">
        <f t="shared" ref="E4:E22" si="0">C4*D4</f>
        <v>90</v>
      </c>
      <c r="G4" s="18">
        <v>2</v>
      </c>
      <c r="H4" s="17" t="s">
        <v>43</v>
      </c>
      <c r="I4">
        <v>1</v>
      </c>
      <c r="J4" s="16">
        <v>255</v>
      </c>
      <c r="K4" s="16">
        <f>I4*J4</f>
        <v>255</v>
      </c>
    </row>
    <row r="5" spans="1:11" x14ac:dyDescent="0.25">
      <c r="A5" s="18">
        <v>3</v>
      </c>
      <c r="B5" t="s">
        <v>45</v>
      </c>
      <c r="C5">
        <v>1</v>
      </c>
      <c r="D5" s="16">
        <v>90</v>
      </c>
      <c r="E5" s="16">
        <f t="shared" si="0"/>
        <v>90</v>
      </c>
      <c r="G5" s="18">
        <v>3</v>
      </c>
      <c r="H5" t="s">
        <v>56</v>
      </c>
      <c r="I5">
        <v>1</v>
      </c>
      <c r="J5" s="16">
        <v>1200</v>
      </c>
      <c r="K5" s="16">
        <f t="shared" ref="K5:K7" si="1">I5*J5</f>
        <v>1200</v>
      </c>
    </row>
    <row r="6" spans="1:11" x14ac:dyDescent="0.25">
      <c r="A6" s="18">
        <v>4</v>
      </c>
      <c r="B6" t="s">
        <v>46</v>
      </c>
      <c r="C6">
        <v>1</v>
      </c>
      <c r="D6" s="16">
        <v>200</v>
      </c>
      <c r="E6" s="16">
        <f t="shared" si="0"/>
        <v>200</v>
      </c>
      <c r="G6" s="18">
        <v>4</v>
      </c>
      <c r="H6" t="s">
        <v>57</v>
      </c>
      <c r="I6">
        <v>1</v>
      </c>
      <c r="J6" s="16">
        <v>1100</v>
      </c>
      <c r="K6" s="16">
        <f t="shared" si="1"/>
        <v>1100</v>
      </c>
    </row>
    <row r="7" spans="1:11" x14ac:dyDescent="0.25">
      <c r="A7" s="18">
        <v>5</v>
      </c>
      <c r="B7" t="s">
        <v>47</v>
      </c>
      <c r="C7">
        <v>1</v>
      </c>
      <c r="D7" s="16">
        <v>200</v>
      </c>
      <c r="E7" s="16">
        <f t="shared" si="0"/>
        <v>200</v>
      </c>
      <c r="G7" s="18">
        <v>5</v>
      </c>
      <c r="H7" t="s">
        <v>52</v>
      </c>
      <c r="I7">
        <v>1</v>
      </c>
      <c r="J7" s="16">
        <v>2000</v>
      </c>
      <c r="K7" s="16">
        <f t="shared" si="1"/>
        <v>2000</v>
      </c>
    </row>
    <row r="8" spans="1:11" x14ac:dyDescent="0.25">
      <c r="A8" s="18">
        <v>6</v>
      </c>
      <c r="B8" t="s">
        <v>34</v>
      </c>
      <c r="C8">
        <v>1</v>
      </c>
      <c r="D8" s="16">
        <v>193</v>
      </c>
      <c r="E8" s="16">
        <f t="shared" si="0"/>
        <v>193</v>
      </c>
      <c r="G8" s="29" t="s">
        <v>61</v>
      </c>
      <c r="H8" s="29"/>
      <c r="I8" s="29"/>
      <c r="J8" s="29"/>
      <c r="K8" s="20">
        <f>SUM(K3:K7)</f>
        <v>4873</v>
      </c>
    </row>
    <row r="9" spans="1:11" x14ac:dyDescent="0.25">
      <c r="A9" s="18">
        <v>7</v>
      </c>
      <c r="B9" t="s">
        <v>36</v>
      </c>
      <c r="C9">
        <v>6</v>
      </c>
      <c r="D9" s="16">
        <v>90</v>
      </c>
      <c r="E9" s="16">
        <f t="shared" si="0"/>
        <v>540</v>
      </c>
      <c r="G9" s="21"/>
      <c r="J9" s="22"/>
      <c r="K9" s="22"/>
    </row>
    <row r="10" spans="1:11" x14ac:dyDescent="0.25">
      <c r="A10" s="18">
        <v>8</v>
      </c>
      <c r="B10" t="s">
        <v>37</v>
      </c>
      <c r="C10">
        <v>1</v>
      </c>
      <c r="D10" s="16">
        <v>350</v>
      </c>
      <c r="E10" s="16">
        <f t="shared" si="0"/>
        <v>350</v>
      </c>
      <c r="G10" s="21"/>
      <c r="J10" s="22"/>
      <c r="K10" s="22"/>
    </row>
    <row r="11" spans="1:11" x14ac:dyDescent="0.25">
      <c r="A11" s="18">
        <v>9</v>
      </c>
      <c r="B11" t="s">
        <v>38</v>
      </c>
      <c r="C11">
        <v>1</v>
      </c>
      <c r="D11" s="16">
        <v>250</v>
      </c>
      <c r="E11" s="16">
        <f t="shared" si="0"/>
        <v>250</v>
      </c>
      <c r="G11" s="21"/>
      <c r="J11" s="22"/>
      <c r="K11" s="22"/>
    </row>
    <row r="12" spans="1:11" x14ac:dyDescent="0.25">
      <c r="A12" s="18">
        <v>10</v>
      </c>
      <c r="B12" t="s">
        <v>33</v>
      </c>
      <c r="C12">
        <v>1</v>
      </c>
      <c r="D12" s="16">
        <v>500</v>
      </c>
      <c r="E12" s="16">
        <f t="shared" si="0"/>
        <v>500</v>
      </c>
      <c r="G12" s="21"/>
      <c r="J12" s="22"/>
      <c r="K12" s="22"/>
    </row>
    <row r="13" spans="1:11" x14ac:dyDescent="0.25">
      <c r="A13" s="18">
        <v>11</v>
      </c>
      <c r="B13" t="s">
        <v>39</v>
      </c>
      <c r="C13">
        <v>1</v>
      </c>
      <c r="D13" s="16">
        <v>150</v>
      </c>
      <c r="E13" s="16">
        <f t="shared" si="0"/>
        <v>150</v>
      </c>
      <c r="G13" s="21"/>
      <c r="J13" s="22"/>
      <c r="K13" s="22"/>
    </row>
    <row r="14" spans="1:11" x14ac:dyDescent="0.25">
      <c r="A14" s="18">
        <v>12</v>
      </c>
      <c r="B14" t="s">
        <v>40</v>
      </c>
      <c r="C14">
        <v>1</v>
      </c>
      <c r="D14" s="16">
        <v>300</v>
      </c>
      <c r="E14" s="16">
        <f t="shared" si="0"/>
        <v>300</v>
      </c>
      <c r="G14" s="21"/>
      <c r="J14" s="22"/>
      <c r="K14" s="22"/>
    </row>
    <row r="15" spans="1:11" x14ac:dyDescent="0.25">
      <c r="A15" s="18">
        <v>13</v>
      </c>
      <c r="B15" t="s">
        <v>41</v>
      </c>
      <c r="C15">
        <v>1</v>
      </c>
      <c r="D15" s="16">
        <v>350</v>
      </c>
      <c r="E15" s="16">
        <f t="shared" si="0"/>
        <v>350</v>
      </c>
      <c r="G15" s="21"/>
      <c r="J15" s="22"/>
      <c r="K15" s="22"/>
    </row>
    <row r="16" spans="1:11" x14ac:dyDescent="0.25">
      <c r="A16" s="18">
        <v>14</v>
      </c>
      <c r="B16" t="s">
        <v>42</v>
      </c>
      <c r="C16">
        <v>1</v>
      </c>
      <c r="D16" s="16">
        <v>350</v>
      </c>
      <c r="E16" s="16">
        <f t="shared" si="0"/>
        <v>350</v>
      </c>
      <c r="G16" s="21"/>
      <c r="J16" s="22"/>
      <c r="K16" s="22"/>
    </row>
    <row r="17" spans="1:11" x14ac:dyDescent="0.25">
      <c r="A17" s="18">
        <v>15</v>
      </c>
      <c r="B17" t="s">
        <v>51</v>
      </c>
      <c r="C17">
        <v>2</v>
      </c>
      <c r="D17" s="16">
        <v>250</v>
      </c>
      <c r="E17" s="16">
        <f t="shared" si="0"/>
        <v>500</v>
      </c>
      <c r="G17" s="21"/>
      <c r="J17" s="22"/>
      <c r="K17" s="22"/>
    </row>
    <row r="18" spans="1:11" x14ac:dyDescent="0.25">
      <c r="A18" s="18">
        <v>16</v>
      </c>
      <c r="B18" t="s">
        <v>53</v>
      </c>
      <c r="C18">
        <v>1</v>
      </c>
      <c r="D18" s="16">
        <v>200</v>
      </c>
      <c r="E18" s="16">
        <f t="shared" si="0"/>
        <v>200</v>
      </c>
    </row>
    <row r="19" spans="1:11" x14ac:dyDescent="0.25">
      <c r="A19" s="18">
        <v>17</v>
      </c>
      <c r="B19" t="s">
        <v>54</v>
      </c>
      <c r="C19">
        <v>1</v>
      </c>
      <c r="D19" s="16">
        <v>210</v>
      </c>
      <c r="E19" s="16">
        <f t="shared" si="0"/>
        <v>210</v>
      </c>
    </row>
    <row r="20" spans="1:11" x14ac:dyDescent="0.25">
      <c r="A20" s="18">
        <v>18</v>
      </c>
      <c r="B20" t="s">
        <v>55</v>
      </c>
      <c r="C20">
        <v>1</v>
      </c>
      <c r="D20" s="16">
        <v>255</v>
      </c>
      <c r="E20" s="16">
        <f t="shared" si="0"/>
        <v>255</v>
      </c>
    </row>
    <row r="21" spans="1:11" x14ac:dyDescent="0.25">
      <c r="A21" s="18">
        <v>19</v>
      </c>
      <c r="B21" t="s">
        <v>58</v>
      </c>
      <c r="C21">
        <v>1</v>
      </c>
      <c r="D21" s="16">
        <v>350</v>
      </c>
      <c r="E21" s="16">
        <f t="shared" si="0"/>
        <v>350</v>
      </c>
    </row>
    <row r="22" spans="1:11" x14ac:dyDescent="0.25">
      <c r="A22" s="18">
        <v>20</v>
      </c>
      <c r="B22" t="s">
        <v>59</v>
      </c>
      <c r="C22">
        <v>1</v>
      </c>
      <c r="D22" s="16">
        <v>240</v>
      </c>
      <c r="E22" s="16">
        <f t="shared" si="0"/>
        <v>240</v>
      </c>
    </row>
    <row r="23" spans="1:11" x14ac:dyDescent="0.25">
      <c r="A23" s="18">
        <v>15</v>
      </c>
      <c r="B23" t="s">
        <v>52</v>
      </c>
      <c r="C23">
        <v>3</v>
      </c>
      <c r="D23" s="16">
        <v>500</v>
      </c>
      <c r="E23" s="16">
        <f>C23*D23</f>
        <v>1500</v>
      </c>
    </row>
    <row r="24" spans="1:11" x14ac:dyDescent="0.25">
      <c r="A24" s="28" t="s">
        <v>61</v>
      </c>
      <c r="B24" s="28"/>
      <c r="C24" s="28"/>
      <c r="D24" s="28"/>
      <c r="E24" s="20">
        <f>SUM(E3:E23)</f>
        <v>6908</v>
      </c>
    </row>
  </sheetData>
  <mergeCells count="4">
    <mergeCell ref="G1:K1"/>
    <mergeCell ref="A1:E1"/>
    <mergeCell ref="A24:D24"/>
    <mergeCell ref="G8:J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Февраль 2026</vt:lpstr>
      <vt:lpstr>Март 2026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2026-02-21T11:19:57Z</dcterms:modified>
</cp:coreProperties>
</file>