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" i="4" l="1"/>
  <c r="Q3" i="4"/>
  <c r="S3" i="4"/>
  <c r="O19" i="4"/>
  <c r="I19" i="4"/>
  <c r="H19" i="4"/>
  <c r="F19" i="4"/>
  <c r="C19" i="4"/>
  <c r="W32" i="4" l="1"/>
  <c r="W33" i="4"/>
  <c r="W34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C35" i="4"/>
  <c r="X35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Y19" i="4" l="1"/>
  <c r="W35" i="4"/>
  <c r="Y35" i="4" s="1"/>
  <c r="F32" i="1"/>
  <c r="R5" i="1"/>
  <c r="R32" i="1" s="1"/>
  <c r="G5" i="1"/>
  <c r="N4" i="1" l="1"/>
  <c r="S4" i="1"/>
  <c r="C3" i="1"/>
  <c r="V3" i="1" s="1"/>
  <c r="H32" i="1"/>
  <c r="N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V12" i="3" s="1"/>
  <c r="P11" i="3"/>
  <c r="P31" i="3" s="1"/>
  <c r="G11" i="3"/>
  <c r="G31" i="3" s="1"/>
  <c r="C11" i="3"/>
  <c r="N6" i="3"/>
  <c r="V6" i="3" s="1"/>
  <c r="N5" i="3"/>
  <c r="V5" i="3" s="1"/>
  <c r="N4" i="3"/>
  <c r="C3" i="3"/>
  <c r="V3" i="3" s="1"/>
  <c r="K7" i="2"/>
  <c r="E22" i="2"/>
  <c r="E21" i="2"/>
  <c r="K5" i="2"/>
  <c r="K6" i="2"/>
  <c r="E20" i="2"/>
  <c r="E19" i="2"/>
  <c r="E18" i="2"/>
  <c r="E17" i="2"/>
  <c r="K4" i="2"/>
  <c r="K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N31" i="3" l="1"/>
  <c r="C31" i="3"/>
  <c r="V11" i="3"/>
  <c r="K8" i="2"/>
  <c r="E24" i="2"/>
  <c r="V4" i="3"/>
  <c r="X30" i="3"/>
  <c r="V31" i="3" l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charset val="1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Брекфаст бенд</t>
        </r>
      </text>
    </comment>
    <comment ref="K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сотовую связь</t>
        </r>
      </text>
    </comment>
    <comment ref="V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кино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<sst xmlns="http://schemas.openxmlformats.org/spreadsheetml/2006/main" count="208" uniqueCount="68">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</sst>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6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2" fillId="13" borderId="4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4" t="s">
        <v>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spans="1:46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 x14ac:dyDescent="0.25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 x14ac:dyDescent="0.25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 x14ac:dyDescent="0.25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 x14ac:dyDescent="0.25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 x14ac:dyDescent="0.25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 x14ac:dyDescent="0.25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 x14ac:dyDescent="0.25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 x14ac:dyDescent="0.25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 x14ac:dyDescent="0.25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 x14ac:dyDescent="0.25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 x14ac:dyDescent="0.25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 x14ac:dyDescent="0.25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 x14ac:dyDescent="0.25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 x14ac:dyDescent="0.25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 x14ac:dyDescent="0.25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 x14ac:dyDescent="0.25">
      <c r="A31" s="55" t="s">
        <v>20</v>
      </c>
      <c r="B31" s="5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 x14ac:dyDescent="0.25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46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 x14ac:dyDescent="0.25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 x14ac:dyDescent="0.25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 x14ac:dyDescent="0.25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 x14ac:dyDescent="0.25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 x14ac:dyDescent="0.25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 x14ac:dyDescent="0.25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 x14ac:dyDescent="0.25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 x14ac:dyDescent="0.25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 x14ac:dyDescent="0.25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 x14ac:dyDescent="0.25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 x14ac:dyDescent="0.25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 x14ac:dyDescent="0.25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 x14ac:dyDescent="0.25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 x14ac:dyDescent="0.25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 x14ac:dyDescent="0.25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 x14ac:dyDescent="0.25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 x14ac:dyDescent="0.25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 x14ac:dyDescent="0.25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 x14ac:dyDescent="0.25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 x14ac:dyDescent="0.25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 x14ac:dyDescent="0.25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 x14ac:dyDescent="0.25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 x14ac:dyDescent="0.25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 x14ac:dyDescent="0.25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 x14ac:dyDescent="0.25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 x14ac:dyDescent="0.25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 x14ac:dyDescent="0.25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 x14ac:dyDescent="0.25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 x14ac:dyDescent="0.25">
      <c r="A32" s="56" t="s">
        <v>20</v>
      </c>
      <c r="B32" s="56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 x14ac:dyDescent="0.25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W3" sqref="W3:W4"/>
    </sheetView>
  </sheetViews>
  <sheetFormatPr defaultRowHeight="15" x14ac:dyDescent="0.2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 x14ac:dyDescent="0.25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</row>
    <row r="2" spans="1:47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8">
        <f>22000+3500</f>
        <v>25500</v>
      </c>
      <c r="R3" s="48"/>
      <c r="S3" s="48">
        <f>4660+702+799</f>
        <v>6161</v>
      </c>
      <c r="T3" s="48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 x14ac:dyDescent="0.25">
      <c r="A4" s="47">
        <v>4</v>
      </c>
      <c r="B4" s="47" t="s">
        <v>5</v>
      </c>
      <c r="C4" s="48">
        <v>100</v>
      </c>
      <c r="D4" s="48"/>
      <c r="E4" s="48"/>
      <c r="F4" s="48"/>
      <c r="G4" s="48"/>
      <c r="H4" s="48">
        <v>2320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/>
      <c r="V4" s="48">
        <f>1320+1330+210</f>
        <v>2860</v>
      </c>
      <c r="W4" s="48">
        <f t="shared" ref="W4:W34" si="0">SUM(C4:V4)</f>
        <v>15418.22</v>
      </c>
      <c r="X4" s="49"/>
      <c r="Y4" s="50"/>
    </row>
    <row r="5" spans="1:47" x14ac:dyDescent="0.25">
      <c r="A5" s="47">
        <v>5</v>
      </c>
      <c r="B5" s="47" t="s">
        <v>6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>
        <f t="shared" si="0"/>
        <v>0</v>
      </c>
      <c r="X5" s="49"/>
      <c r="Y5" s="50"/>
    </row>
    <row r="6" spans="1:47" x14ac:dyDescent="0.25">
      <c r="A6" s="47">
        <v>6</v>
      </c>
      <c r="B6" s="47" t="s">
        <v>7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52">
        <v>10000</v>
      </c>
      <c r="S6" s="48"/>
      <c r="T6" s="48"/>
      <c r="U6" s="48"/>
      <c r="V6" s="48"/>
      <c r="W6" s="48">
        <f t="shared" si="0"/>
        <v>10000</v>
      </c>
      <c r="X6" s="49"/>
      <c r="Y6" s="50"/>
    </row>
    <row r="7" spans="1:47" x14ac:dyDescent="0.25">
      <c r="A7" s="47">
        <v>7</v>
      </c>
      <c r="B7" s="47" t="s">
        <v>8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>
        <f t="shared" si="0"/>
        <v>0</v>
      </c>
      <c r="X7" s="49"/>
      <c r="Y7" s="50"/>
    </row>
    <row r="8" spans="1:47" x14ac:dyDescent="0.25">
      <c r="A8" s="47">
        <v>8</v>
      </c>
      <c r="B8" s="47" t="s">
        <v>2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0</v>
      </c>
      <c r="X8" s="49"/>
      <c r="Y8" s="50"/>
    </row>
    <row r="9" spans="1:47" x14ac:dyDescent="0.25">
      <c r="A9" s="47">
        <v>9</v>
      </c>
      <c r="B9" s="47" t="s">
        <v>3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>
        <f t="shared" si="0"/>
        <v>0</v>
      </c>
      <c r="X9" s="49"/>
      <c r="Y9" s="50"/>
    </row>
    <row r="10" spans="1:47" x14ac:dyDescent="0.25">
      <c r="A10" s="47">
        <v>10</v>
      </c>
      <c r="B10" s="47" t="s">
        <v>4</v>
      </c>
      <c r="C10" s="48"/>
      <c r="D10" s="48"/>
      <c r="E10" s="48"/>
      <c r="F10" s="48"/>
      <c r="G10" s="48"/>
      <c r="H10" s="48"/>
      <c r="I10" s="48"/>
      <c r="J10" s="48"/>
      <c r="K10" s="52">
        <v>10000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>
        <f t="shared" si="0"/>
        <v>10000</v>
      </c>
      <c r="X10" s="49"/>
      <c r="Y10" s="50"/>
    </row>
    <row r="11" spans="1:47" x14ac:dyDescent="0.25">
      <c r="A11" s="47">
        <v>11</v>
      </c>
      <c r="B11" s="47" t="s">
        <v>5</v>
      </c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>
        <f t="shared" si="0"/>
        <v>0</v>
      </c>
      <c r="X11" s="49"/>
      <c r="Y11" s="50"/>
    </row>
    <row r="12" spans="1:47" x14ac:dyDescent="0.25">
      <c r="A12" s="47">
        <v>12</v>
      </c>
      <c r="B12" s="47" t="s">
        <v>6</v>
      </c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0</v>
      </c>
      <c r="X12" s="49"/>
      <c r="Y12" s="50"/>
    </row>
    <row r="13" spans="1:47" x14ac:dyDescent="0.25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 x14ac:dyDescent="0.25">
      <c r="A14" s="47">
        <v>14</v>
      </c>
      <c r="B14" s="47" t="s">
        <v>8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>
        <f t="shared" si="0"/>
        <v>0</v>
      </c>
      <c r="X14" s="49"/>
      <c r="Y14" s="50"/>
    </row>
    <row r="15" spans="1:47" x14ac:dyDescent="0.25">
      <c r="A15" s="47">
        <v>15</v>
      </c>
      <c r="B15" s="47" t="s">
        <v>2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>
        <f t="shared" si="0"/>
        <v>0</v>
      </c>
      <c r="X15" s="49"/>
      <c r="Y15" s="50"/>
    </row>
    <row r="16" spans="1:47" x14ac:dyDescent="0.25">
      <c r="A16" s="47">
        <v>16</v>
      </c>
      <c r="B16" s="47" t="s">
        <v>3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>
        <f t="shared" si="0"/>
        <v>0</v>
      </c>
      <c r="X16" s="49"/>
      <c r="Y16" s="50"/>
    </row>
    <row r="17" spans="1:27" x14ac:dyDescent="0.25">
      <c r="A17" s="47">
        <v>17</v>
      </c>
      <c r="B17" s="47" t="s">
        <v>4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>
        <f t="shared" si="0"/>
        <v>0</v>
      </c>
      <c r="X17" s="49"/>
      <c r="Y17" s="50"/>
    </row>
    <row r="18" spans="1:27" x14ac:dyDescent="0.25">
      <c r="A18" s="47">
        <v>18</v>
      </c>
      <c r="B18" s="47" t="s">
        <v>5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 t="shared" si="0"/>
        <v>0</v>
      </c>
      <c r="X18" s="49"/>
      <c r="Y18" s="50"/>
    </row>
    <row r="19" spans="1:27" x14ac:dyDescent="0.25">
      <c r="A19" s="47">
        <v>19</v>
      </c>
      <c r="B19" s="47" t="s">
        <v>6</v>
      </c>
      <c r="C19" s="52">
        <f>10000-SUM(C3:C18)</f>
        <v>9900</v>
      </c>
      <c r="D19" s="48"/>
      <c r="E19" s="48"/>
      <c r="F19" s="52">
        <f>7300-SUM(F3:F18)</f>
        <v>7300</v>
      </c>
      <c r="G19" s="48"/>
      <c r="H19" s="52">
        <f>8700-SUM(H3:H18)</f>
        <v>6380</v>
      </c>
      <c r="I19" s="52">
        <f>2000-SUM(I3:I18)</f>
        <v>2000</v>
      </c>
      <c r="J19" s="48"/>
      <c r="K19" s="48"/>
      <c r="L19" s="48"/>
      <c r="M19" s="48"/>
      <c r="N19" s="48"/>
      <c r="O19" s="52">
        <f>4000-SUM(O3:O18)</f>
        <v>4000</v>
      </c>
      <c r="P19" s="48"/>
      <c r="Q19" s="48"/>
      <c r="R19" s="48"/>
      <c r="S19" s="48"/>
      <c r="T19" s="48"/>
      <c r="U19" s="48"/>
      <c r="V19" s="48"/>
      <c r="W19" s="48">
        <f t="shared" si="0"/>
        <v>29580</v>
      </c>
      <c r="X19" s="49"/>
      <c r="Y19" s="50">
        <f>X3-SUM(W3:W19)</f>
        <v>-3721.2200000000012</v>
      </c>
    </row>
    <row r="20" spans="1:27" x14ac:dyDescent="0.25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7" x14ac:dyDescent="0.25">
      <c r="A21" s="47">
        <v>21</v>
      </c>
      <c r="B21" s="47" t="s">
        <v>8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>
        <f t="shared" si="0"/>
        <v>0</v>
      </c>
      <c r="X21" s="49"/>
      <c r="Y21" s="50"/>
      <c r="AA21" s="53"/>
    </row>
    <row r="22" spans="1:27" x14ac:dyDescent="0.25">
      <c r="A22" s="47">
        <v>22</v>
      </c>
      <c r="B22" s="47" t="s">
        <v>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>
        <f t="shared" si="0"/>
        <v>0</v>
      </c>
      <c r="X22" s="49"/>
      <c r="Y22" s="50"/>
    </row>
    <row r="23" spans="1:27" x14ac:dyDescent="0.25">
      <c r="A23" s="47">
        <v>23</v>
      </c>
      <c r="B23" s="47" t="s">
        <v>3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>
        <f t="shared" si="0"/>
        <v>0</v>
      </c>
      <c r="X23" s="49"/>
      <c r="Y23" s="50"/>
    </row>
    <row r="24" spans="1:27" x14ac:dyDescent="0.25">
      <c r="A24" s="47">
        <v>24</v>
      </c>
      <c r="B24" s="47" t="s">
        <v>4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>
        <f t="shared" si="0"/>
        <v>0</v>
      </c>
      <c r="X24" s="49"/>
      <c r="Y24" s="50"/>
    </row>
    <row r="25" spans="1:27" x14ac:dyDescent="0.25">
      <c r="A25" s="47">
        <v>25</v>
      </c>
      <c r="B25" s="47" t="s">
        <v>5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>
        <f t="shared" si="0"/>
        <v>0</v>
      </c>
      <c r="X25" s="49"/>
      <c r="Y25" s="50"/>
    </row>
    <row r="26" spans="1:27" x14ac:dyDescent="0.25">
      <c r="A26" s="47">
        <v>26</v>
      </c>
      <c r="B26" s="47" t="s">
        <v>6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>
        <f t="shared" si="0"/>
        <v>0</v>
      </c>
      <c r="X26" s="49"/>
      <c r="Y26" s="50"/>
    </row>
    <row r="27" spans="1:27" x14ac:dyDescent="0.25">
      <c r="A27" s="47">
        <v>27</v>
      </c>
      <c r="B27" s="47" t="s">
        <v>7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>
        <f t="shared" si="0"/>
        <v>0</v>
      </c>
      <c r="X27" s="49"/>
      <c r="Y27" s="50"/>
    </row>
    <row r="28" spans="1:27" x14ac:dyDescent="0.25">
      <c r="A28" s="47">
        <v>28</v>
      </c>
      <c r="B28" s="47" t="s">
        <v>8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>
        <f t="shared" si="0"/>
        <v>0</v>
      </c>
      <c r="X28" s="49"/>
      <c r="Y28" s="50"/>
    </row>
    <row r="29" spans="1:27" x14ac:dyDescent="0.25">
      <c r="A29" s="47">
        <v>29</v>
      </c>
      <c r="B29" s="47" t="s">
        <v>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f t="shared" si="0"/>
        <v>0</v>
      </c>
      <c r="X29" s="49"/>
      <c r="Y29" s="50"/>
    </row>
    <row r="30" spans="1:27" x14ac:dyDescent="0.25">
      <c r="A30" s="47">
        <v>30</v>
      </c>
      <c r="B30" s="47" t="s">
        <v>3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0</v>
      </c>
      <c r="X30" s="49"/>
      <c r="Y30" s="50"/>
    </row>
    <row r="31" spans="1:27" x14ac:dyDescent="0.25">
      <c r="A31" s="47">
        <v>1</v>
      </c>
      <c r="B31" s="47" t="s">
        <v>4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 x14ac:dyDescent="0.25">
      <c r="A32" s="47">
        <v>2</v>
      </c>
      <c r="B32" s="47" t="s">
        <v>5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 x14ac:dyDescent="0.25">
      <c r="A33" s="47">
        <v>3</v>
      </c>
      <c r="B33" s="47" t="s">
        <v>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 x14ac:dyDescent="0.25">
      <c r="A34" s="47">
        <v>4</v>
      </c>
      <c r="B34" s="47" t="s">
        <v>7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>
        <f t="shared" si="0"/>
        <v>0</v>
      </c>
      <c r="X34" s="49"/>
      <c r="Y34" s="50"/>
    </row>
    <row r="35" spans="1:25" x14ac:dyDescent="0.25">
      <c r="A35" s="58" t="s">
        <v>20</v>
      </c>
      <c r="B35" s="58"/>
      <c r="C35" s="51">
        <f>SUM(C3:C34)</f>
        <v>10000</v>
      </c>
      <c r="D35" s="51">
        <f t="shared" ref="D35:W35" si="1">SUM(D3:D34)</f>
        <v>0</v>
      </c>
      <c r="E35" s="51">
        <f t="shared" si="1"/>
        <v>0</v>
      </c>
      <c r="F35" s="51">
        <f t="shared" si="1"/>
        <v>7300</v>
      </c>
      <c r="G35" s="51">
        <f t="shared" si="1"/>
        <v>0</v>
      </c>
      <c r="H35" s="51">
        <f t="shared" si="1"/>
        <v>8700</v>
      </c>
      <c r="I35" s="51">
        <f t="shared" si="1"/>
        <v>2000</v>
      </c>
      <c r="J35" s="51">
        <f t="shared" si="1"/>
        <v>0</v>
      </c>
      <c r="K35" s="51">
        <f t="shared" si="1"/>
        <v>13663.22</v>
      </c>
      <c r="L35" s="51">
        <f t="shared" si="1"/>
        <v>0</v>
      </c>
      <c r="M35" s="51">
        <f t="shared" si="1"/>
        <v>0</v>
      </c>
      <c r="N35" s="51">
        <f t="shared" si="1"/>
        <v>5350</v>
      </c>
      <c r="O35" s="51">
        <f t="shared" si="1"/>
        <v>4000</v>
      </c>
      <c r="P35" s="51">
        <f t="shared" si="1"/>
        <v>0</v>
      </c>
      <c r="Q35" s="51">
        <f t="shared" si="1"/>
        <v>26525</v>
      </c>
      <c r="R35" s="51">
        <f>SUM(R4:R34)</f>
        <v>10000</v>
      </c>
      <c r="S35" s="51">
        <f t="shared" si="1"/>
        <v>6261</v>
      </c>
      <c r="T35" s="51">
        <f t="shared" si="1"/>
        <v>7000</v>
      </c>
      <c r="U35" s="51">
        <f t="shared" si="1"/>
        <v>750</v>
      </c>
      <c r="V35" s="51">
        <f t="shared" si="1"/>
        <v>2860</v>
      </c>
      <c r="W35" s="51">
        <f t="shared" si="1"/>
        <v>104409.22</v>
      </c>
      <c r="X35" s="49">
        <f>SUM(X3:X29)</f>
        <v>100688</v>
      </c>
      <c r="Y35" s="50">
        <f>X35-W35</f>
        <v>-3721.2200000000012</v>
      </c>
    </row>
    <row r="39" spans="1:25" x14ac:dyDescent="0.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59" t="s">
        <v>49</v>
      </c>
      <c r="B1" s="59"/>
      <c r="C1" s="59"/>
      <c r="D1" s="59"/>
      <c r="E1" s="59"/>
      <c r="G1" s="59" t="s">
        <v>50</v>
      </c>
      <c r="H1" s="59"/>
      <c r="I1" s="59"/>
      <c r="J1" s="59"/>
      <c r="K1" s="59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1" t="s">
        <v>61</v>
      </c>
      <c r="H8" s="61"/>
      <c r="I8" s="61"/>
      <c r="J8" s="61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60" t="s">
        <v>61</v>
      </c>
      <c r="B24" s="60"/>
      <c r="C24" s="60"/>
      <c r="D24" s="60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2026-04-04T16:02:16Z</dcterms:modified>
</cp:coreProperties>
</file>