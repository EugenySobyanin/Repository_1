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1"/>
  </bookViews>
  <sheets>
    <sheet name="Февраль 2026" sheetId="3" r:id="rId1"/>
    <sheet name="Март 2026" sheetId="1" r:id="rId2"/>
    <sheet name="Лист1" sheetId="2" r:id="rId3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3" i="1"/>
  <c r="F23"/>
  <c r="C23"/>
  <c r="C20"/>
  <c r="C19"/>
  <c r="R19"/>
  <c r="R32" s="1"/>
  <c r="C18"/>
  <c r="N17"/>
  <c r="F16"/>
  <c r="F14"/>
  <c r="C13"/>
  <c r="N11"/>
  <c r="F11"/>
  <c r="G10"/>
  <c r="S10"/>
  <c r="S32" s="1"/>
  <c r="F10"/>
  <c r="F9"/>
  <c r="C6"/>
  <c r="D32"/>
  <c r="E32"/>
  <c r="I32"/>
  <c r="J32"/>
  <c r="K32"/>
  <c r="L32"/>
  <c r="M32"/>
  <c r="O32"/>
  <c r="P32"/>
  <c r="Q32"/>
  <c r="T32"/>
  <c r="U32"/>
  <c r="V30"/>
  <c r="V31"/>
  <c r="F32" l="1"/>
  <c r="R5"/>
  <c r="G5"/>
  <c r="C32" l="1"/>
  <c r="N4"/>
  <c r="S4"/>
  <c r="V4" s="1"/>
  <c r="C3"/>
  <c r="V3" s="1"/>
  <c r="H32"/>
  <c r="N32"/>
  <c r="G32"/>
  <c r="S27" i="3"/>
  <c r="F28"/>
  <c r="W32" i="1"/>
  <c r="V5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32" l="1"/>
  <c r="X32" s="1"/>
  <c r="F23" i="3"/>
  <c r="S23"/>
  <c r="N23"/>
  <c r="N24"/>
  <c r="U25"/>
  <c r="N25"/>
  <c r="N26"/>
  <c r="L26"/>
  <c r="F31"/>
  <c r="C20"/>
  <c r="G19"/>
  <c r="V17" i="1" l="1"/>
  <c r="V19" i="3"/>
  <c r="V20"/>
  <c r="V21"/>
  <c r="V22"/>
  <c r="V23"/>
  <c r="V24"/>
  <c r="V25"/>
  <c r="V26"/>
  <c r="V27"/>
  <c r="V28"/>
  <c r="V29"/>
  <c r="V30"/>
  <c r="V6"/>
  <c r="V7"/>
  <c r="V8"/>
  <c r="V9"/>
  <c r="V10"/>
  <c r="V14"/>
  <c r="V15"/>
  <c r="V16"/>
  <c r="V17"/>
  <c r="E31"/>
  <c r="G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V12" s="1"/>
  <c r="P11"/>
  <c r="P31" s="1"/>
  <c r="G11"/>
  <c r="C11"/>
  <c r="N6"/>
  <c r="N5"/>
  <c r="V5" s="1"/>
  <c r="N4"/>
  <c r="C3"/>
  <c r="V3" s="1"/>
  <c r="K7" i="2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N31" i="3" l="1"/>
  <c r="C31"/>
  <c r="V11"/>
  <c r="K8" i="2"/>
  <c r="E24"/>
  <c r="V4" i="3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</commentList>
</comments>
</file>

<file path=xl/sharedStrings.xml><?xml version="1.0" encoding="utf-8"?>
<sst xmlns="http://schemas.openxmlformats.org/spreadsheetml/2006/main" count="149" uniqueCount="67">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</sst>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4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I34" sqref="I34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47" t="s">
        <v>27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>
      <c r="A31" s="48" t="s">
        <v>20</v>
      </c>
      <c r="B31" s="48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6"/>
  <sheetViews>
    <sheetView tabSelected="1" zoomScale="86" zoomScaleNormal="86" workbookViewId="0">
      <pane xSplit="2" ySplit="32" topLeftCell="C33" activePane="bottomRight" state="frozen"/>
      <selection pane="topRight" activeCell="C1" sqref="C1"/>
      <selection pane="bottomLeft" activeCell="A28" sqref="A28"/>
      <selection pane="bottomRight" activeCell="A25" sqref="A25:XFD31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0" t="s">
        <v>65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</row>
    <row r="2" spans="1:46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31" si="0">SUM(C4:U4)</f>
        <v>11685.95</v>
      </c>
      <c r="W4" s="35"/>
      <c r="X4" s="38"/>
    </row>
    <row r="5" spans="1:46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>
      <c r="A6" s="33">
        <v>8</v>
      </c>
      <c r="B6" s="33" t="s">
        <v>6</v>
      </c>
      <c r="C6" s="34">
        <f>284+995</f>
        <v>1279</v>
      </c>
      <c r="D6" s="34"/>
      <c r="E6" s="34"/>
      <c r="F6" s="34"/>
      <c r="G6" s="34"/>
      <c r="H6" s="34">
        <v>1117</v>
      </c>
      <c r="I6" s="34"/>
      <c r="J6" s="34"/>
      <c r="K6" s="34"/>
      <c r="L6" s="34"/>
      <c r="M6" s="34"/>
      <c r="N6" s="34">
        <v>400</v>
      </c>
      <c r="O6" s="34"/>
      <c r="P6" s="34">
        <v>1330</v>
      </c>
      <c r="Q6" s="34"/>
      <c r="R6" s="34"/>
      <c r="S6" s="34"/>
      <c r="T6" s="34"/>
      <c r="U6" s="34"/>
      <c r="V6" s="34">
        <f t="shared" si="0"/>
        <v>4126</v>
      </c>
      <c r="W6" s="35"/>
      <c r="X6" s="38"/>
    </row>
    <row r="7" spans="1:46">
      <c r="A7" s="33">
        <v>9</v>
      </c>
      <c r="B7" s="33" t="s">
        <v>7</v>
      </c>
      <c r="C7" s="34">
        <v>769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769</v>
      </c>
      <c r="W7" s="35"/>
      <c r="X7" s="38"/>
    </row>
    <row r="8" spans="1:46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302</v>
      </c>
      <c r="P8" s="34"/>
      <c r="Q8" s="34"/>
      <c r="R8" s="34"/>
      <c r="S8" s="34"/>
      <c r="T8" s="34"/>
      <c r="U8" s="34"/>
      <c r="V8" s="34">
        <f t="shared" si="0"/>
        <v>302</v>
      </c>
      <c r="W8" s="35"/>
      <c r="X8" s="38"/>
    </row>
    <row r="9" spans="1:46">
      <c r="A9" s="33">
        <v>11</v>
      </c>
      <c r="B9" s="33" t="s">
        <v>2</v>
      </c>
      <c r="C9" s="34"/>
      <c r="D9" s="34">
        <v>1191</v>
      </c>
      <c r="E9" s="34"/>
      <c r="F9" s="34">
        <f>1070+109</f>
        <v>1179</v>
      </c>
      <c r="G9" s="34"/>
      <c r="H9" s="34"/>
      <c r="I9" s="34"/>
      <c r="J9" s="34"/>
      <c r="K9" s="34"/>
      <c r="L9" s="34"/>
      <c r="M9" s="34"/>
      <c r="N9" s="34">
        <v>400</v>
      </c>
      <c r="O9" s="34">
        <v>277</v>
      </c>
      <c r="P9" s="34"/>
      <c r="Q9" s="34"/>
      <c r="R9" s="34"/>
      <c r="S9" s="34"/>
      <c r="T9" s="34"/>
      <c r="U9" s="34"/>
      <c r="V9" s="34">
        <f t="shared" si="0"/>
        <v>3047</v>
      </c>
      <c r="W9" s="35"/>
      <c r="X9" s="38"/>
    </row>
    <row r="10" spans="1:46">
      <c r="A10" s="33">
        <v>12</v>
      </c>
      <c r="B10" s="33" t="s">
        <v>3</v>
      </c>
      <c r="C10" s="34"/>
      <c r="D10" s="34"/>
      <c r="E10" s="34"/>
      <c r="F10" s="34">
        <f>420+700</f>
        <v>1120</v>
      </c>
      <c r="G10" s="34">
        <f>1421+331</f>
        <v>1752</v>
      </c>
      <c r="H10" s="34"/>
      <c r="I10" s="34"/>
      <c r="J10" s="34"/>
      <c r="K10" s="34"/>
      <c r="L10" s="34"/>
      <c r="M10" s="34"/>
      <c r="N10" s="34">
        <v>294</v>
      </c>
      <c r="O10" s="34"/>
      <c r="P10" s="34"/>
      <c r="Q10" s="34"/>
      <c r="R10" s="34"/>
      <c r="S10" s="34">
        <f>387+864</f>
        <v>1251</v>
      </c>
      <c r="T10" s="34"/>
      <c r="U10" s="34"/>
      <c r="V10" s="34">
        <f t="shared" si="0"/>
        <v>4417</v>
      </c>
      <c r="W10" s="35"/>
      <c r="X10" s="38"/>
    </row>
    <row r="11" spans="1:46">
      <c r="A11" s="43">
        <v>13</v>
      </c>
      <c r="B11" s="43" t="s">
        <v>4</v>
      </c>
      <c r="C11" s="44"/>
      <c r="D11" s="44"/>
      <c r="E11" s="44"/>
      <c r="F11" s="44">
        <f>1070+60</f>
        <v>1130</v>
      </c>
      <c r="G11" s="44"/>
      <c r="H11" s="44"/>
      <c r="I11" s="44"/>
      <c r="J11" s="44"/>
      <c r="K11" s="44"/>
      <c r="L11" s="44"/>
      <c r="M11" s="44"/>
      <c r="N11" s="44">
        <f>251+328+262</f>
        <v>841</v>
      </c>
      <c r="O11" s="44"/>
      <c r="P11" s="44"/>
      <c r="Q11" s="44"/>
      <c r="R11" s="44"/>
      <c r="S11" s="44"/>
      <c r="T11" s="44"/>
      <c r="U11" s="44"/>
      <c r="V11" s="44">
        <f t="shared" si="0"/>
        <v>1971</v>
      </c>
      <c r="W11" s="45"/>
      <c r="X11" s="46"/>
    </row>
    <row r="12" spans="1:46">
      <c r="A12" s="33">
        <v>14</v>
      </c>
      <c r="B12" s="33" t="s">
        <v>5</v>
      </c>
      <c r="C12" s="34"/>
      <c r="D12" s="34"/>
      <c r="E12" s="34"/>
      <c r="F12" s="34"/>
      <c r="G12" s="44">
        <v>3605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3605</v>
      </c>
      <c r="W12" s="35"/>
      <c r="X12" s="38"/>
    </row>
    <row r="13" spans="1:46">
      <c r="A13" s="33">
        <v>15</v>
      </c>
      <c r="B13" s="33" t="s">
        <v>6</v>
      </c>
      <c r="C13" s="44">
        <f>318+2115</f>
        <v>2433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2433</v>
      </c>
      <c r="W13" s="35"/>
      <c r="X13" s="38"/>
    </row>
    <row r="14" spans="1:46">
      <c r="A14" s="33">
        <v>16</v>
      </c>
      <c r="B14" s="33" t="s">
        <v>7</v>
      </c>
      <c r="C14" s="34"/>
      <c r="D14" s="34"/>
      <c r="E14" s="34"/>
      <c r="F14" s="44">
        <f>350</f>
        <v>350</v>
      </c>
      <c r="G14" s="34"/>
      <c r="H14" s="34"/>
      <c r="I14" s="34"/>
      <c r="J14" s="34"/>
      <c r="K14" s="34"/>
      <c r="L14" s="34"/>
      <c r="M14" s="34"/>
      <c r="N14" s="34"/>
      <c r="O14" s="44">
        <v>291</v>
      </c>
      <c r="P14" s="34"/>
      <c r="Q14" s="34"/>
      <c r="R14" s="34"/>
      <c r="S14" s="34"/>
      <c r="T14" s="34"/>
      <c r="U14" s="34"/>
      <c r="V14" s="34">
        <f t="shared" si="0"/>
        <v>641</v>
      </c>
      <c r="W14" s="35"/>
      <c r="X14" s="38"/>
    </row>
    <row r="15" spans="1:46">
      <c r="A15" s="33">
        <v>17</v>
      </c>
      <c r="B15" s="33" t="s">
        <v>8</v>
      </c>
      <c r="C15" s="34"/>
      <c r="D15" s="34"/>
      <c r="E15" s="34"/>
      <c r="F15" s="44">
        <v>350</v>
      </c>
      <c r="G15" s="34"/>
      <c r="H15" s="34"/>
      <c r="I15" s="34"/>
      <c r="J15" s="34"/>
      <c r="K15" s="34"/>
      <c r="L15" s="34"/>
      <c r="M15" s="34"/>
      <c r="N15" s="34"/>
      <c r="O15" s="44">
        <v>1000</v>
      </c>
      <c r="P15" s="34"/>
      <c r="Q15" s="34"/>
      <c r="R15" s="34"/>
      <c r="S15" s="34"/>
      <c r="T15" s="34"/>
      <c r="U15" s="34"/>
      <c r="V15" s="34">
        <f t="shared" si="0"/>
        <v>1350</v>
      </c>
      <c r="W15" s="35"/>
      <c r="X15" s="38"/>
    </row>
    <row r="16" spans="1:46">
      <c r="A16" s="33">
        <v>18</v>
      </c>
      <c r="B16" s="33" t="s">
        <v>2</v>
      </c>
      <c r="C16" s="34"/>
      <c r="D16" s="34"/>
      <c r="E16" s="34"/>
      <c r="F16" s="44">
        <f>1080+109+350</f>
        <v>1539</v>
      </c>
      <c r="G16" s="34"/>
      <c r="H16" s="34"/>
      <c r="I16" s="34"/>
      <c r="J16" s="34"/>
      <c r="K16" s="34"/>
      <c r="L16" s="34"/>
      <c r="M16" s="34"/>
      <c r="N16" s="44">
        <v>400</v>
      </c>
      <c r="O16" s="34"/>
      <c r="P16" s="34"/>
      <c r="Q16" s="34"/>
      <c r="R16" s="34"/>
      <c r="S16" s="34"/>
      <c r="T16" s="34"/>
      <c r="U16" s="34"/>
      <c r="V16" s="34">
        <f t="shared" si="0"/>
        <v>1939</v>
      </c>
      <c r="W16" s="35"/>
      <c r="X16" s="38"/>
    </row>
    <row r="17" spans="1:24">
      <c r="A17" s="33">
        <v>19</v>
      </c>
      <c r="B17" s="33" t="s">
        <v>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44">
        <f>159+358</f>
        <v>517</v>
      </c>
      <c r="O17" s="34"/>
      <c r="P17" s="34"/>
      <c r="Q17" s="34"/>
      <c r="R17" s="34"/>
      <c r="S17" s="34"/>
      <c r="T17" s="34"/>
      <c r="U17" s="34"/>
      <c r="V17" s="34">
        <f t="shared" si="0"/>
        <v>517</v>
      </c>
      <c r="W17" s="35"/>
      <c r="X17" s="38"/>
    </row>
    <row r="18" spans="1:24">
      <c r="A18" s="39">
        <v>20</v>
      </c>
      <c r="B18" s="39" t="s">
        <v>4</v>
      </c>
      <c r="C18" s="40">
        <f>220+2225+135</f>
        <v>2580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>
        <v>499</v>
      </c>
      <c r="S18" s="40">
        <v>130</v>
      </c>
      <c r="T18" s="40"/>
      <c r="U18" s="40"/>
      <c r="V18" s="40">
        <f t="shared" si="0"/>
        <v>3209</v>
      </c>
      <c r="W18" s="41">
        <v>24676</v>
      </c>
      <c r="X18" s="42"/>
    </row>
    <row r="19" spans="1:24">
      <c r="A19" s="33">
        <v>21</v>
      </c>
      <c r="B19" s="33" t="s">
        <v>5</v>
      </c>
      <c r="C19" s="34">
        <f>780+65</f>
        <v>845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>
        <f>570+120</f>
        <v>690</v>
      </c>
      <c r="S19" s="34">
        <v>4661</v>
      </c>
      <c r="T19" s="34">
        <v>1200</v>
      </c>
      <c r="U19" s="34"/>
      <c r="V19" s="34">
        <f t="shared" si="0"/>
        <v>7396</v>
      </c>
      <c r="W19" s="35"/>
      <c r="X19" s="38"/>
    </row>
    <row r="20" spans="1:24">
      <c r="A20" s="33">
        <v>22</v>
      </c>
      <c r="B20" s="33" t="s">
        <v>6</v>
      </c>
      <c r="C20" s="34">
        <f>5500-2600</f>
        <v>2900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>
        <v>2600</v>
      </c>
      <c r="T20" s="34"/>
      <c r="U20" s="34"/>
      <c r="V20" s="34">
        <f t="shared" si="0"/>
        <v>5500</v>
      </c>
      <c r="W20" s="35"/>
      <c r="X20" s="38"/>
    </row>
    <row r="21" spans="1:24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>
        <f t="shared" si="0"/>
        <v>0</v>
      </c>
      <c r="W21" s="35"/>
      <c r="X21" s="38"/>
    </row>
    <row r="22" spans="1:24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>
        <f t="shared" si="0"/>
        <v>0</v>
      </c>
      <c r="W22" s="35"/>
      <c r="X22" s="38"/>
    </row>
    <row r="23" spans="1:24">
      <c r="A23" s="33">
        <v>25</v>
      </c>
      <c r="B23" s="33" t="s">
        <v>2</v>
      </c>
      <c r="C23" s="34">
        <f>633</f>
        <v>633</v>
      </c>
      <c r="D23" s="34"/>
      <c r="E23" s="34"/>
      <c r="F23" s="34">
        <f>392+352</f>
        <v>744</v>
      </c>
      <c r="G23" s="34"/>
      <c r="H23" s="34"/>
      <c r="I23" s="34"/>
      <c r="J23" s="34"/>
      <c r="K23" s="34"/>
      <c r="L23" s="34"/>
      <c r="M23" s="34"/>
      <c r="N23" s="34">
        <f>204+188+400</f>
        <v>792</v>
      </c>
      <c r="O23" s="34"/>
      <c r="P23" s="34"/>
      <c r="Q23" s="34"/>
      <c r="R23" s="34"/>
      <c r="S23" s="34"/>
      <c r="T23" s="34"/>
      <c r="U23" s="34"/>
      <c r="V23" s="34">
        <f t="shared" si="0"/>
        <v>2169</v>
      </c>
      <c r="W23" s="35"/>
      <c r="X23" s="38"/>
    </row>
    <row r="24" spans="1:24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>
      <c r="A25" s="33">
        <v>27</v>
      </c>
      <c r="B25" s="33" t="s">
        <v>4</v>
      </c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>
        <f t="shared" si="0"/>
        <v>0</v>
      </c>
      <c r="W25" s="35"/>
      <c r="X25" s="38"/>
    </row>
    <row r="26" spans="1:24">
      <c r="A26" s="33">
        <v>28</v>
      </c>
      <c r="B26" s="33" t="s">
        <v>5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>
        <f t="shared" si="0"/>
        <v>0</v>
      </c>
      <c r="W26" s="35"/>
      <c r="X26" s="38"/>
    </row>
    <row r="27" spans="1:24">
      <c r="A27" s="33">
        <v>29</v>
      </c>
      <c r="B27" s="33" t="s">
        <v>6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>
        <f t="shared" si="0"/>
        <v>0</v>
      </c>
      <c r="W27" s="35"/>
      <c r="X27" s="38"/>
    </row>
    <row r="28" spans="1:24">
      <c r="A28" s="33">
        <v>30</v>
      </c>
      <c r="B28" s="33" t="s">
        <v>7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>
        <f t="shared" si="0"/>
        <v>0</v>
      </c>
      <c r="W28" s="35"/>
      <c r="X28" s="38"/>
    </row>
    <row r="29" spans="1:24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>
      <c r="A30" s="33">
        <v>1</v>
      </c>
      <c r="B30" s="33" t="s">
        <v>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>
        <f t="shared" si="0"/>
        <v>0</v>
      </c>
      <c r="W30" s="35"/>
      <c r="X30" s="38"/>
    </row>
    <row r="31" spans="1:24">
      <c r="A31" s="33">
        <v>2</v>
      </c>
      <c r="B31" s="33" t="s">
        <v>3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>
        <f t="shared" si="0"/>
        <v>0</v>
      </c>
      <c r="W31" s="35"/>
      <c r="X31" s="38"/>
    </row>
    <row r="32" spans="1:24">
      <c r="A32" s="49" t="s">
        <v>20</v>
      </c>
      <c r="B32" s="49"/>
      <c r="C32" s="35">
        <f>SUM(C3:C31)</f>
        <v>14136.35</v>
      </c>
      <c r="D32" s="35">
        <f t="shared" ref="D32:U32" si="1">SUM(D3:D31)</f>
        <v>1191</v>
      </c>
      <c r="E32" s="35">
        <f t="shared" si="1"/>
        <v>0</v>
      </c>
      <c r="F32" s="35">
        <f t="shared" si="1"/>
        <v>8022</v>
      </c>
      <c r="G32" s="35">
        <f t="shared" si="1"/>
        <v>8765</v>
      </c>
      <c r="H32" s="35">
        <f t="shared" si="1"/>
        <v>1117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4975</v>
      </c>
      <c r="O32" s="35">
        <f t="shared" si="1"/>
        <v>1870</v>
      </c>
      <c r="P32" s="35">
        <f t="shared" si="1"/>
        <v>9758</v>
      </c>
      <c r="Q32" s="35">
        <f t="shared" si="1"/>
        <v>0</v>
      </c>
      <c r="R32" s="35">
        <f t="shared" si="1"/>
        <v>3180</v>
      </c>
      <c r="S32" s="35">
        <f t="shared" si="1"/>
        <v>11767.95</v>
      </c>
      <c r="T32" s="35">
        <f t="shared" si="1"/>
        <v>7200</v>
      </c>
      <c r="U32" s="35">
        <f t="shared" si="1"/>
        <v>0</v>
      </c>
      <c r="V32" s="36">
        <f>SUM(V3:V31)</f>
        <v>71982.3</v>
      </c>
      <c r="W32" s="35">
        <f>SUM(W3:W29)</f>
        <v>68400</v>
      </c>
      <c r="X32" s="38">
        <f>W32-V32</f>
        <v>-3582.3000000000029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51" t="s">
        <v>49</v>
      </c>
      <c r="B1" s="51"/>
      <c r="C1" s="51"/>
      <c r="D1" s="51"/>
      <c r="E1" s="51"/>
      <c r="G1" s="51" t="s">
        <v>50</v>
      </c>
      <c r="H1" s="51"/>
      <c r="I1" s="51"/>
      <c r="J1" s="51"/>
      <c r="K1" s="51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53" t="s">
        <v>61</v>
      </c>
      <c r="H8" s="53"/>
      <c r="I8" s="53"/>
      <c r="J8" s="53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52" t="s">
        <v>61</v>
      </c>
      <c r="B24" s="52"/>
      <c r="C24" s="52"/>
      <c r="D24" s="52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Февраль 2026</vt:lpstr>
      <vt:lpstr>Март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2026-03-26T11:21:03Z</dcterms:modified>
</cp:coreProperties>
</file>