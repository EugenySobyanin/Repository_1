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5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U36" s="1"/>
  <c r="T35"/>
  <c r="S35"/>
  <c r="R35"/>
  <c r="Q35"/>
  <c r="P35"/>
  <c r="N35"/>
  <c r="M35"/>
  <c r="L35"/>
  <c r="K35"/>
  <c r="K36" s="1"/>
  <c r="J35"/>
  <c r="J36" s="1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P18"/>
  <c r="N18"/>
  <c r="N36" s="1"/>
  <c r="M18"/>
  <c r="L18"/>
  <c r="K18"/>
  <c r="J18"/>
  <c r="I18"/>
  <c r="H18"/>
  <c r="H36" s="1"/>
  <c r="G18"/>
  <c r="E18"/>
  <c r="D18"/>
  <c r="W17"/>
  <c r="W16"/>
  <c r="W15"/>
  <c r="W14"/>
  <c r="W13"/>
  <c r="W12"/>
  <c r="W11"/>
  <c r="W10"/>
  <c r="W9"/>
  <c r="W8"/>
  <c r="W7"/>
  <c r="W6"/>
  <c r="W5"/>
  <c r="F18"/>
  <c r="C18"/>
  <c r="W4"/>
  <c r="O18"/>
  <c r="T9" i="6"/>
  <c r="D9"/>
  <c r="C9"/>
  <c r="Q10"/>
  <c r="H11"/>
  <c r="C14"/>
  <c r="W21"/>
  <c r="W22"/>
  <c r="W23"/>
  <c r="W26"/>
  <c r="W32"/>
  <c r="W33"/>
  <c r="W34"/>
  <c r="W20"/>
  <c r="W19"/>
  <c r="C23"/>
  <c r="I21"/>
  <c r="H21"/>
  <c r="O20"/>
  <c r="D20"/>
  <c r="W24" l="1"/>
  <c r="W25"/>
  <c r="W27"/>
  <c r="W28"/>
  <c r="W31"/>
  <c r="V36" i="7"/>
  <c r="W3"/>
  <c r="W18" s="1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C5"/>
  <c r="F5"/>
  <c r="O4"/>
  <c r="H4"/>
  <c r="P3"/>
  <c r="W5"/>
  <c r="W6"/>
  <c r="W7"/>
  <c r="W8"/>
  <c r="W9"/>
  <c r="W10"/>
  <c r="W11"/>
  <c r="W12"/>
  <c r="W13"/>
  <c r="W14"/>
  <c r="W15"/>
  <c r="W16"/>
  <c r="W17"/>
  <c r="W4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F18"/>
  <c r="E18"/>
  <c r="O18"/>
  <c r="N18"/>
  <c r="H18"/>
  <c r="Q18"/>
  <c r="H31" i="4"/>
  <c r="H36" s="1"/>
  <c r="C31"/>
  <c r="C32"/>
  <c r="C33"/>
  <c r="C35"/>
  <c r="W35" s="1"/>
  <c r="H7" i="5"/>
  <c r="H6"/>
  <c r="O28" i="4"/>
  <c r="O29"/>
  <c r="X36"/>
  <c r="D36"/>
  <c r="E36"/>
  <c r="E37" s="1"/>
  <c r="F36"/>
  <c r="G36"/>
  <c r="I36"/>
  <c r="J36"/>
  <c r="K36"/>
  <c r="L36"/>
  <c r="M36"/>
  <c r="M37" s="1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36" i="7" l="1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C37" s="1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W18" i="6" l="1"/>
  <c r="W36" s="1"/>
  <c r="W35"/>
  <c r="Y35" s="1"/>
  <c r="C36"/>
  <c r="V4" i="4"/>
  <c r="V20" s="1"/>
  <c r="V37" s="1"/>
  <c r="Q3"/>
  <c r="Q20" s="1"/>
  <c r="Q37" s="1"/>
  <c r="S3"/>
  <c r="S20" s="1"/>
  <c r="S37" s="1"/>
  <c r="Y18" i="6" l="1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</commentList>
</comments>
</file>

<file path=xl/sharedStrings.xml><?xml version="1.0" encoding="utf-8"?>
<sst xmlns="http://schemas.openxmlformats.org/spreadsheetml/2006/main" count="314" uniqueCount="58">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</sst>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29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9"/>
      <color indexed="81"/>
      <name val="Tahoma"/>
      <charset val="1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Franklin Gothic Demi"/>
      <family val="2"/>
      <charset val="204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6" fillId="5" borderId="8" xfId="0" applyFont="1" applyFill="1" applyBorder="1" applyAlignment="1">
      <alignment horizontal="center" vertical="center"/>
    </xf>
    <xf numFmtId="164" fontId="17" fillId="0" borderId="7" xfId="0" applyNumberFormat="1" applyFont="1" applyBorder="1"/>
    <xf numFmtId="0" fontId="18" fillId="0" borderId="7" xfId="0" applyFont="1" applyBorder="1"/>
    <xf numFmtId="0" fontId="18" fillId="0" borderId="9" xfId="0" applyFont="1" applyBorder="1"/>
    <xf numFmtId="164" fontId="17" fillId="0" borderId="9" xfId="0" applyNumberFormat="1" applyFont="1" applyBorder="1"/>
    <xf numFmtId="0" fontId="18" fillId="15" borderId="10" xfId="0" applyFont="1" applyFill="1" applyBorder="1"/>
    <xf numFmtId="164" fontId="17" fillId="15" borderId="11" xfId="0" applyNumberFormat="1" applyFont="1" applyFill="1" applyBorder="1"/>
    <xf numFmtId="164" fontId="17" fillId="15" borderId="12" xfId="0" applyNumberFormat="1" applyFont="1" applyFill="1" applyBorder="1"/>
    <xf numFmtId="164" fontId="17" fillId="0" borderId="7" xfId="0" applyNumberFormat="1" applyFont="1" applyBorder="1" applyAlignment="1">
      <alignment horizontal="center"/>
    </xf>
    <xf numFmtId="0" fontId="21" fillId="5" borderId="1" xfId="0" applyFont="1" applyFill="1" applyBorder="1" applyAlignment="1">
      <alignment horizontal="center" vertical="center" wrapText="1"/>
    </xf>
    <xf numFmtId="164" fontId="23" fillId="6" borderId="7" xfId="0" applyNumberFormat="1" applyFont="1" applyFill="1" applyBorder="1"/>
    <xf numFmtId="164" fontId="23" fillId="6" borderId="7" xfId="0" applyNumberFormat="1" applyFont="1" applyFill="1" applyBorder="1" applyAlignment="1">
      <alignment vertical="center"/>
    </xf>
    <xf numFmtId="0" fontId="24" fillId="7" borderId="7" xfId="0" applyFont="1" applyFill="1" applyBorder="1" applyAlignment="1">
      <alignment horizontal="center" vertical="center"/>
    </xf>
    <xf numFmtId="0" fontId="25" fillId="7" borderId="7" xfId="0" applyFont="1" applyFill="1" applyBorder="1" applyAlignment="1">
      <alignment horizontal="center" vertical="center"/>
    </xf>
    <xf numFmtId="164" fontId="25" fillId="7" borderId="7" xfId="0" applyNumberFormat="1" applyFont="1" applyFill="1" applyBorder="1"/>
    <xf numFmtId="164" fontId="25" fillId="7" borderId="7" xfId="0" applyNumberFormat="1" applyFont="1" applyFill="1" applyBorder="1" applyAlignment="1">
      <alignment vertical="center"/>
    </xf>
    <xf numFmtId="0" fontId="24" fillId="17" borderId="7" xfId="0" applyFont="1" applyFill="1" applyBorder="1" applyAlignment="1">
      <alignment horizontal="center" vertical="center"/>
    </xf>
    <xf numFmtId="0" fontId="25" fillId="17" borderId="7" xfId="0" applyFont="1" applyFill="1" applyBorder="1" applyAlignment="1">
      <alignment horizontal="center" vertical="center"/>
    </xf>
    <xf numFmtId="164" fontId="25" fillId="17" borderId="7" xfId="0" applyNumberFormat="1" applyFont="1" applyFill="1" applyBorder="1"/>
    <xf numFmtId="164" fontId="25" fillId="17" borderId="7" xfId="0" applyNumberFormat="1" applyFont="1" applyFill="1" applyBorder="1" applyAlignment="1">
      <alignment vertical="center"/>
    </xf>
    <xf numFmtId="164" fontId="22" fillId="6" borderId="7" xfId="0" applyNumberFormat="1" applyFont="1" applyFill="1" applyBorder="1" applyAlignment="1">
      <alignment horizontal="right" vertical="center"/>
    </xf>
    <xf numFmtId="164" fontId="25" fillId="7" borderId="7" xfId="0" applyNumberFormat="1" applyFont="1" applyFill="1" applyBorder="1" applyAlignment="1">
      <alignment horizontal="right" vertical="center"/>
    </xf>
    <xf numFmtId="164" fontId="25" fillId="17" borderId="7" xfId="0" applyNumberFormat="1" applyFont="1" applyFill="1" applyBorder="1" applyAlignment="1">
      <alignment horizontal="right" vertical="center"/>
    </xf>
    <xf numFmtId="164" fontId="23" fillId="6" borderId="7" xfId="0" applyNumberFormat="1" applyFont="1" applyFill="1" applyBorder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20" fillId="5" borderId="0" xfId="0" applyFont="1" applyFill="1" applyAlignment="1">
      <alignment horizontal="center" vertical="center"/>
    </xf>
    <xf numFmtId="0" fontId="23" fillId="6" borderId="7" xfId="0" applyFont="1" applyFill="1" applyBorder="1" applyAlignment="1">
      <alignment horizontal="right" vertical="center"/>
    </xf>
    <xf numFmtId="0" fontId="22" fillId="6" borderId="7" xfId="0" applyFont="1" applyFill="1" applyBorder="1" applyAlignment="1">
      <alignment horizontal="right" vertical="center"/>
    </xf>
    <xf numFmtId="0" fontId="26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0" fontId="28" fillId="5" borderId="1" xfId="0" applyFont="1" applyFill="1" applyBorder="1" applyAlignment="1">
      <alignment horizontal="center" vertical="center" wrapText="1"/>
    </xf>
    <xf numFmtId="164" fontId="27" fillId="6" borderId="7" xfId="0" applyNumberFormat="1" applyFont="1" applyFill="1" applyBorder="1"/>
  </cellXfs>
  <cellStyles count="1">
    <cellStyle name="Обычный" xfId="0" builtinId="0"/>
  </cellStyles>
  <dxfs count="8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EC1606"/>
      </font>
    </dxf>
    <dxf>
      <font>
        <color rgb="FF57B418"/>
      </font>
    </dxf>
  </dxfs>
  <tableStyles count="0" defaultTableStyle="TableStyleMedium2" defaultPivotStyle="PivotStyleLight16"/>
  <colors>
    <mruColors>
      <color rgb="FF57B418"/>
      <color rgb="FFFF8585"/>
      <color rgb="FF6C0000"/>
      <color rgb="FFEC1606"/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7" priority="4">
      <formula>H5&gt;0</formula>
    </cfRule>
    <cfRule type="expression" dxfId="6" priority="3">
      <formula>H5&lt;0</formula>
    </cfRule>
  </conditionalFormatting>
  <conditionalFormatting sqref="H17">
    <cfRule type="expression" dxfId="5" priority="1">
      <formula>H17&lt;0</formula>
    </cfRule>
    <cfRule type="expression" dxfId="4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4" t="s">
        <v>27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75" t="s">
        <v>20</v>
      </c>
      <c r="B31" s="75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77" t="s">
        <v>32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76" t="s">
        <v>20</v>
      </c>
      <c r="B32" s="76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M38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77" t="s">
        <v>38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79" t="s">
        <v>35</v>
      </c>
      <c r="B20" s="80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42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79" t="s">
        <v>36</v>
      </c>
      <c r="B36" s="80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78" t="s">
        <v>37</v>
      </c>
      <c r="B37" s="78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V24" sqref="V24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1" t="s">
        <v>57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82" t="s">
        <v>35</v>
      </c>
      <c r="B18" s="82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68"/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64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82" t="s">
        <v>36</v>
      </c>
      <c r="B35" s="82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41088.14</v>
      </c>
      <c r="Y35" s="61">
        <f>X35-W35</f>
        <v>-6498.6900000000023</v>
      </c>
    </row>
    <row r="36" spans="1:25" ht="31.5" customHeight="1">
      <c r="A36" s="83" t="s">
        <v>37</v>
      </c>
      <c r="B36" s="83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98059.05</v>
      </c>
      <c r="Y36" s="70">
        <f>SUM(Y18,Y35)</f>
        <v>-7729.010000000002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tabSelected="1" zoomScale="85" zoomScaleNormal="85" workbookViewId="0">
      <pane xSplit="2" ySplit="36" topLeftCell="M37" activePane="bottomRight" state="frozen"/>
      <selection pane="topRight" activeCell="C1" sqref="C1"/>
      <selection pane="bottomLeft" activeCell="A28" sqref="A28"/>
      <selection pane="bottomRight" activeCell="O4" sqref="O4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84" t="s">
        <v>57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</row>
    <row r="2" spans="1:47" ht="45" customHeight="1">
      <c r="A2" s="87" t="s">
        <v>0</v>
      </c>
      <c r="B2" s="87" t="s">
        <v>1</v>
      </c>
      <c r="C2" s="87" t="s">
        <v>9</v>
      </c>
      <c r="D2" s="87" t="s">
        <v>29</v>
      </c>
      <c r="E2" s="87" t="s">
        <v>10</v>
      </c>
      <c r="F2" s="87" t="s">
        <v>33</v>
      </c>
      <c r="G2" s="87" t="s">
        <v>34</v>
      </c>
      <c r="H2" s="87" t="s">
        <v>11</v>
      </c>
      <c r="I2" s="87" t="s">
        <v>30</v>
      </c>
      <c r="J2" s="87" t="s">
        <v>12</v>
      </c>
      <c r="K2" s="87" t="s">
        <v>24</v>
      </c>
      <c r="L2" s="87" t="s">
        <v>23</v>
      </c>
      <c r="M2" s="87" t="s">
        <v>13</v>
      </c>
      <c r="N2" s="87" t="s">
        <v>14</v>
      </c>
      <c r="O2" s="87" t="s">
        <v>15</v>
      </c>
      <c r="P2" s="87" t="s">
        <v>16</v>
      </c>
      <c r="Q2" s="87" t="s">
        <v>28</v>
      </c>
      <c r="R2" s="87" t="s">
        <v>17</v>
      </c>
      <c r="S2" s="87" t="s">
        <v>18</v>
      </c>
      <c r="T2" s="87" t="s">
        <v>25</v>
      </c>
      <c r="U2" s="87" t="s">
        <v>25</v>
      </c>
      <c r="V2" s="87" t="s">
        <v>26</v>
      </c>
      <c r="W2" s="87" t="s">
        <v>22</v>
      </c>
      <c r="X2" s="87" t="s">
        <v>19</v>
      </c>
      <c r="Y2" s="8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/>
      <c r="D3" s="71"/>
      <c r="E3" s="71"/>
      <c r="F3" s="71">
        <v>596</v>
      </c>
      <c r="G3" s="71"/>
      <c r="H3" s="71"/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/>
      <c r="U3" s="71"/>
      <c r="V3" s="71">
        <f>850</f>
        <v>850</v>
      </c>
      <c r="W3" s="71">
        <f>SUM(C3:V3)</f>
        <v>2916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>
        <f>SUM(C4:V4)</f>
        <v>0</v>
      </c>
      <c r="X4" s="68"/>
      <c r="Y4" s="69"/>
    </row>
    <row r="5" spans="1:47" ht="15.75">
      <c r="A5" s="62">
        <v>7</v>
      </c>
      <c r="B5" s="63" t="s">
        <v>6</v>
      </c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>
        <f t="shared" ref="W5:W17" si="0">SUM(C5:V5)</f>
        <v>0</v>
      </c>
      <c r="X5" s="64"/>
      <c r="Y5" s="65"/>
    </row>
    <row r="6" spans="1:47" ht="15.75">
      <c r="A6" s="66">
        <v>8</v>
      </c>
      <c r="B6" s="67" t="s">
        <v>7</v>
      </c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>
        <f t="shared" si="0"/>
        <v>0</v>
      </c>
      <c r="X6" s="68"/>
      <c r="Y6" s="69"/>
    </row>
    <row r="7" spans="1:47" ht="15.75">
      <c r="A7" s="62">
        <v>9</v>
      </c>
      <c r="B7" s="63" t="s">
        <v>8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0</v>
      </c>
      <c r="X7" s="64"/>
      <c r="Y7" s="65"/>
    </row>
    <row r="8" spans="1:47" ht="15.75">
      <c r="A8" s="66">
        <v>10</v>
      </c>
      <c r="B8" s="67" t="s">
        <v>2</v>
      </c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0</v>
      </c>
      <c r="X8" s="68"/>
      <c r="Y8" s="69"/>
    </row>
    <row r="9" spans="1:47" ht="15.75">
      <c r="A9" s="62">
        <v>11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>
        <f t="shared" si="0"/>
        <v>0</v>
      </c>
      <c r="X9" s="64"/>
      <c r="Y9" s="65"/>
    </row>
    <row r="10" spans="1:47" ht="15.75">
      <c r="A10" s="66">
        <v>12</v>
      </c>
      <c r="B10" s="67" t="s">
        <v>4</v>
      </c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0</v>
      </c>
      <c r="X10" s="68"/>
      <c r="Y10" s="69"/>
    </row>
    <row r="11" spans="1:47" ht="15.75">
      <c r="A11" s="62">
        <v>13</v>
      </c>
      <c r="B11" s="63" t="s">
        <v>5</v>
      </c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>
        <f t="shared" si="0"/>
        <v>0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>
        <f t="shared" si="0"/>
        <v>0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>
        <f t="shared" si="0"/>
        <v>0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68"/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68"/>
      <c r="Y16" s="69"/>
    </row>
    <row r="17" spans="1:27" ht="15.75">
      <c r="A17" s="62">
        <v>19</v>
      </c>
      <c r="B17" s="63" t="s">
        <v>4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85" t="s">
        <v>35</v>
      </c>
      <c r="B18" s="85"/>
      <c r="C18" s="86">
        <f t="shared" ref="C18:X18" si="1">SUM(C3:C17)</f>
        <v>0</v>
      </c>
      <c r="D18" s="86">
        <f t="shared" si="1"/>
        <v>0</v>
      </c>
      <c r="E18" s="86">
        <f t="shared" si="1"/>
        <v>0</v>
      </c>
      <c r="F18" s="86">
        <f t="shared" si="1"/>
        <v>596</v>
      </c>
      <c r="G18" s="86">
        <f t="shared" si="1"/>
        <v>0</v>
      </c>
      <c r="H18" s="86">
        <f t="shared" si="1"/>
        <v>0</v>
      </c>
      <c r="I18" s="86">
        <f t="shared" si="1"/>
        <v>0</v>
      </c>
      <c r="J18" s="86">
        <f t="shared" si="1"/>
        <v>0</v>
      </c>
      <c r="K18" s="86">
        <f t="shared" si="1"/>
        <v>0</v>
      </c>
      <c r="L18" s="86">
        <f t="shared" si="1"/>
        <v>0</v>
      </c>
      <c r="M18" s="86">
        <f t="shared" si="1"/>
        <v>0</v>
      </c>
      <c r="N18" s="86">
        <f t="shared" si="1"/>
        <v>0</v>
      </c>
      <c r="O18" s="86">
        <f t="shared" si="1"/>
        <v>271</v>
      </c>
      <c r="P18" s="86">
        <f t="shared" si="1"/>
        <v>1000</v>
      </c>
      <c r="Q18" s="86">
        <f t="shared" si="1"/>
        <v>0</v>
      </c>
      <c r="R18" s="86">
        <f t="shared" si="1"/>
        <v>0</v>
      </c>
      <c r="S18" s="86">
        <f t="shared" si="1"/>
        <v>199</v>
      </c>
      <c r="T18" s="86">
        <f t="shared" si="1"/>
        <v>0</v>
      </c>
      <c r="U18" s="86">
        <f t="shared" si="1"/>
        <v>0</v>
      </c>
      <c r="V18" s="86">
        <f t="shared" si="1"/>
        <v>850</v>
      </c>
      <c r="W18" s="86">
        <f t="shared" si="1"/>
        <v>2916</v>
      </c>
      <c r="X18" s="88">
        <f t="shared" si="1"/>
        <v>58234.26</v>
      </c>
      <c r="Y18" s="61">
        <f>X18-W18</f>
        <v>55318.26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>
        <f>SUM(C19:V19)</f>
        <v>0</v>
      </c>
      <c r="X19" s="64"/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85" t="s">
        <v>36</v>
      </c>
      <c r="B35" s="85"/>
      <c r="C35" s="86">
        <f>SUM(C19:C34)</f>
        <v>0</v>
      </c>
      <c r="D35" s="86">
        <f t="shared" ref="D35:V35" si="3">SUM(D19:D34)</f>
        <v>0</v>
      </c>
      <c r="E35" s="86">
        <f t="shared" si="3"/>
        <v>0</v>
      </c>
      <c r="F35" s="86">
        <f t="shared" si="3"/>
        <v>0</v>
      </c>
      <c r="G35" s="86">
        <f t="shared" si="3"/>
        <v>0</v>
      </c>
      <c r="H35" s="86">
        <f t="shared" si="3"/>
        <v>0</v>
      </c>
      <c r="I35" s="86">
        <f t="shared" si="3"/>
        <v>0</v>
      </c>
      <c r="J35" s="86">
        <f t="shared" si="3"/>
        <v>0</v>
      </c>
      <c r="K35" s="86">
        <f t="shared" si="3"/>
        <v>0</v>
      </c>
      <c r="L35" s="86">
        <f t="shared" si="3"/>
        <v>0</v>
      </c>
      <c r="M35" s="86">
        <f t="shared" si="3"/>
        <v>0</v>
      </c>
      <c r="N35" s="86">
        <f t="shared" si="3"/>
        <v>0</v>
      </c>
      <c r="O35" s="86">
        <f t="shared" si="3"/>
        <v>0</v>
      </c>
      <c r="P35" s="86">
        <f t="shared" si="3"/>
        <v>0</v>
      </c>
      <c r="Q35" s="86">
        <f t="shared" si="3"/>
        <v>0</v>
      </c>
      <c r="R35" s="86">
        <f t="shared" si="3"/>
        <v>0</v>
      </c>
      <c r="S35" s="86">
        <f t="shared" si="3"/>
        <v>0</v>
      </c>
      <c r="T35" s="86">
        <f>SUM(T19:T34)</f>
        <v>0</v>
      </c>
      <c r="U35" s="86">
        <f t="shared" si="3"/>
        <v>0</v>
      </c>
      <c r="V35" s="86">
        <f t="shared" si="3"/>
        <v>0</v>
      </c>
      <c r="W35" s="86">
        <f>SUM(W19:W34)</f>
        <v>0</v>
      </c>
      <c r="X35" s="88">
        <f>SUM(X19:X34)</f>
        <v>0</v>
      </c>
      <c r="Y35" s="61">
        <f>X35-W35</f>
        <v>0</v>
      </c>
    </row>
    <row r="36" spans="1:25" ht="31.5" customHeight="1">
      <c r="A36" s="82" t="s">
        <v>37</v>
      </c>
      <c r="B36" s="82"/>
      <c r="C36" s="73">
        <f>SUM(C18,C35)</f>
        <v>0</v>
      </c>
      <c r="D36" s="73">
        <f t="shared" ref="D36:W36" si="4">SUM(D18,D35)</f>
        <v>0</v>
      </c>
      <c r="E36" s="73">
        <f t="shared" si="4"/>
        <v>0</v>
      </c>
      <c r="F36" s="73">
        <f t="shared" si="4"/>
        <v>596</v>
      </c>
      <c r="G36" s="73">
        <f t="shared" si="4"/>
        <v>0</v>
      </c>
      <c r="H36" s="73">
        <f t="shared" si="4"/>
        <v>0</v>
      </c>
      <c r="I36" s="73">
        <f t="shared" si="4"/>
        <v>0</v>
      </c>
      <c r="J36" s="73">
        <f t="shared" si="4"/>
        <v>0</v>
      </c>
      <c r="K36" s="73">
        <f t="shared" si="4"/>
        <v>0</v>
      </c>
      <c r="L36" s="73">
        <f t="shared" si="4"/>
        <v>0</v>
      </c>
      <c r="M36" s="73">
        <f t="shared" si="4"/>
        <v>0</v>
      </c>
      <c r="N36" s="73">
        <f t="shared" si="4"/>
        <v>0</v>
      </c>
      <c r="O36" s="73">
        <f t="shared" si="4"/>
        <v>271</v>
      </c>
      <c r="P36" s="73">
        <f t="shared" si="4"/>
        <v>1000</v>
      </c>
      <c r="Q36" s="73">
        <f t="shared" si="4"/>
        <v>0</v>
      </c>
      <c r="R36" s="73">
        <f t="shared" si="4"/>
        <v>0</v>
      </c>
      <c r="S36" s="73">
        <f>SUM(S18,S35)</f>
        <v>199</v>
      </c>
      <c r="T36" s="73">
        <f t="shared" si="4"/>
        <v>0</v>
      </c>
      <c r="U36" s="73">
        <f t="shared" si="4"/>
        <v>0</v>
      </c>
      <c r="V36" s="73">
        <f t="shared" si="4"/>
        <v>850</v>
      </c>
      <c r="W36" s="73">
        <f t="shared" si="4"/>
        <v>2916</v>
      </c>
      <c r="X36" s="73">
        <f>SUM(X18,X35)</f>
        <v>58234.26</v>
      </c>
      <c r="Y36" s="70">
        <f>SUM(Y18,Y35)</f>
        <v>55318.26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1" priority="1">
      <formula>Y18&lt;0</formula>
    </cfRule>
    <cfRule type="expression" dxfId="0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2026-06-05T13:45:37Z</dcterms:modified>
</cp:coreProperties>
</file>