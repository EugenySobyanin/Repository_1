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9" i="4"/>
  <c r="I19"/>
  <c r="H19"/>
  <c r="F19"/>
  <c r="C19"/>
  <c r="W32" l="1"/>
  <c r="W33"/>
  <c r="W34"/>
  <c r="D35"/>
  <c r="E35"/>
  <c r="F35"/>
  <c r="G35"/>
  <c r="H35"/>
  <c r="I35"/>
  <c r="J35"/>
  <c r="K35"/>
  <c r="L35"/>
  <c r="M35"/>
  <c r="N35"/>
  <c r="O35"/>
  <c r="P35"/>
  <c r="Q35"/>
  <c r="R35"/>
  <c r="S35"/>
  <c r="T35"/>
  <c r="U35"/>
  <c r="V35"/>
  <c r="C35"/>
  <c r="X35"/>
  <c r="W31"/>
  <c r="W30"/>
  <c r="W29"/>
  <c r="W28"/>
  <c r="W27"/>
  <c r="W26"/>
  <c r="W25"/>
  <c r="W24"/>
  <c r="W23"/>
  <c r="W22"/>
  <c r="W21"/>
  <c r="W20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R32" s="1"/>
  <c r="C18"/>
  <c r="N17"/>
  <c r="F16"/>
  <c r="F14"/>
  <c r="C13"/>
  <c r="N11"/>
  <c r="F11"/>
  <c r="G10"/>
  <c r="S10"/>
  <c r="S32" s="1"/>
  <c r="F10"/>
  <c r="F9"/>
  <c r="C6"/>
  <c r="D32"/>
  <c r="E32"/>
  <c r="I32"/>
  <c r="J32"/>
  <c r="K32"/>
  <c r="L32"/>
  <c r="M32"/>
  <c r="O32"/>
  <c r="P32"/>
  <c r="Q32"/>
  <c r="T32"/>
  <c r="U32"/>
  <c r="V30"/>
  <c r="V31"/>
  <c r="Y19" i="4" l="1"/>
  <c r="W35"/>
  <c r="Y35" s="1"/>
  <c r="F32" i="1"/>
  <c r="R5"/>
  <c r="G5"/>
  <c r="C32" l="1"/>
  <c r="N4"/>
  <c r="S4"/>
  <c r="V4" s="1"/>
  <c r="C3"/>
  <c r="V3" s="1"/>
  <c r="H32"/>
  <c r="N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W32" l="1"/>
  <c r="V32"/>
  <c r="F23" i="3"/>
  <c r="S23"/>
  <c r="N23"/>
  <c r="N24"/>
  <c r="U25"/>
  <c r="N25"/>
  <c r="N26"/>
  <c r="L26"/>
  <c r="F31"/>
  <c r="C20"/>
  <c r="G19"/>
  <c r="X32" i="1" l="1"/>
  <c r="V17"/>
  <c r="V19" i="3"/>
  <c r="V20"/>
  <c r="V21"/>
  <c r="V22"/>
  <c r="V23"/>
  <c r="V24"/>
  <c r="V25"/>
  <c r="V26"/>
  <c r="V27"/>
  <c r="V28"/>
  <c r="V29"/>
  <c r="V30"/>
  <c r="V6"/>
  <c r="V7"/>
  <c r="V8"/>
  <c r="V9"/>
  <c r="V10"/>
  <c r="V14"/>
  <c r="V15"/>
  <c r="V16"/>
  <c r="V17"/>
  <c r="E31"/>
  <c r="G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C11"/>
  <c r="N6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 + штрафы за парковку
</t>
        </r>
      </text>
    </comment>
  </commentList>
</comments>
</file>

<file path=xl/sharedStrings.xml><?xml version="1.0" encoding="utf-8"?>
<sst xmlns="http://schemas.openxmlformats.org/spreadsheetml/2006/main" count="208" uniqueCount="68">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</sst>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right"/>
    </xf>
    <xf numFmtId="164" fontId="12" fillId="13" borderId="4" xfId="0" applyNumberFormat="1" applyFont="1" applyFill="1" applyBorder="1" applyAlignment="1">
      <alignment horizontal="center"/>
    </xf>
    <xf numFmtId="164" fontId="12" fillId="14" borderId="4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I34" sqref="I34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47" t="s">
        <v>27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48" t="s">
        <v>20</v>
      </c>
      <c r="B31" s="48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G33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0" t="s">
        <v>65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49" t="s">
        <v>20</v>
      </c>
      <c r="B32" s="49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39"/>
  <sheetViews>
    <sheetView tabSelected="1" zoomScale="85" zoomScaleNormal="85" workbookViewId="0">
      <pane xSplit="2" ySplit="35" topLeftCell="C36" activePane="bottomRight" state="frozen"/>
      <selection pane="topRight" activeCell="C1" sqref="C1"/>
      <selection pane="bottomLeft" activeCell="A28" sqref="A28"/>
      <selection pane="bottomRight" activeCell="AA23" sqref="AA23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50" t="s">
        <v>65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60">
        <v>44000</v>
      </c>
      <c r="R3" s="60">
        <v>10000</v>
      </c>
      <c r="S3" s="60">
        <v>4660</v>
      </c>
      <c r="T3" s="60">
        <v>7000</v>
      </c>
      <c r="U3" s="40"/>
      <c r="V3" s="40"/>
      <c r="W3" s="40">
        <f>SUM(C3:V3)</f>
        <v>65660</v>
      </c>
      <c r="X3" s="41">
        <v>80000</v>
      </c>
      <c r="Y3" s="42"/>
    </row>
    <row r="4" spans="1:47">
      <c r="A4" s="54">
        <v>4</v>
      </c>
      <c r="B4" s="54" t="s">
        <v>5</v>
      </c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60">
        <v>5000</v>
      </c>
      <c r="O4" s="55"/>
      <c r="P4" s="55"/>
      <c r="Q4" s="55"/>
      <c r="R4" s="55"/>
      <c r="S4" s="60">
        <v>2000</v>
      </c>
      <c r="T4" s="55"/>
      <c r="U4" s="55"/>
      <c r="V4" s="55"/>
      <c r="W4" s="55">
        <f t="shared" ref="W4:W34" si="0">SUM(C4:V4)</f>
        <v>7000</v>
      </c>
      <c r="X4" s="56"/>
      <c r="Y4" s="57"/>
    </row>
    <row r="5" spans="1:47">
      <c r="A5" s="54">
        <v>5</v>
      </c>
      <c r="B5" s="54" t="s">
        <v>6</v>
      </c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>
        <f t="shared" si="0"/>
        <v>0</v>
      </c>
      <c r="X5" s="56"/>
      <c r="Y5" s="57"/>
    </row>
    <row r="6" spans="1:47">
      <c r="A6" s="54">
        <v>6</v>
      </c>
      <c r="B6" s="54" t="s">
        <v>7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>
        <f t="shared" si="0"/>
        <v>0</v>
      </c>
      <c r="X6" s="56"/>
      <c r="Y6" s="57"/>
    </row>
    <row r="7" spans="1:47">
      <c r="A7" s="54">
        <v>7</v>
      </c>
      <c r="B7" s="54" t="s">
        <v>8</v>
      </c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>
        <f t="shared" si="0"/>
        <v>0</v>
      </c>
      <c r="X7" s="56"/>
      <c r="Y7" s="57"/>
    </row>
    <row r="8" spans="1:47">
      <c r="A8" s="54">
        <v>8</v>
      </c>
      <c r="B8" s="54" t="s">
        <v>2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>
        <f t="shared" si="0"/>
        <v>0</v>
      </c>
      <c r="X8" s="56"/>
      <c r="Y8" s="57"/>
    </row>
    <row r="9" spans="1:47">
      <c r="A9" s="54">
        <v>9</v>
      </c>
      <c r="B9" s="54" t="s">
        <v>3</v>
      </c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>
        <f t="shared" si="0"/>
        <v>0</v>
      </c>
      <c r="X9" s="56"/>
      <c r="Y9" s="57"/>
    </row>
    <row r="10" spans="1:47">
      <c r="A10" s="54">
        <v>10</v>
      </c>
      <c r="B10" s="54" t="s">
        <v>4</v>
      </c>
      <c r="C10" s="55"/>
      <c r="D10" s="55"/>
      <c r="E10" s="55"/>
      <c r="F10" s="55"/>
      <c r="G10" s="55"/>
      <c r="H10" s="55"/>
      <c r="I10" s="55"/>
      <c r="J10" s="55"/>
      <c r="K10" s="60">
        <v>10000</v>
      </c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>
        <f t="shared" si="0"/>
        <v>10000</v>
      </c>
      <c r="X10" s="56"/>
      <c r="Y10" s="57"/>
    </row>
    <row r="11" spans="1:47">
      <c r="A11" s="54">
        <v>11</v>
      </c>
      <c r="B11" s="54" t="s">
        <v>5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>
        <f t="shared" si="0"/>
        <v>0</v>
      </c>
      <c r="X11" s="56"/>
      <c r="Y11" s="57"/>
    </row>
    <row r="12" spans="1:47">
      <c r="A12" s="54">
        <v>12</v>
      </c>
      <c r="B12" s="54" t="s">
        <v>6</v>
      </c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>
        <f t="shared" si="0"/>
        <v>0</v>
      </c>
      <c r="X12" s="56"/>
      <c r="Y12" s="57"/>
    </row>
    <row r="13" spans="1:47">
      <c r="A13" s="54">
        <v>13</v>
      </c>
      <c r="B13" s="54" t="s">
        <v>7</v>
      </c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>
        <f t="shared" si="0"/>
        <v>0</v>
      </c>
      <c r="X13" s="56"/>
      <c r="Y13" s="57"/>
    </row>
    <row r="14" spans="1:47">
      <c r="A14" s="54">
        <v>14</v>
      </c>
      <c r="B14" s="54" t="s">
        <v>8</v>
      </c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>
        <f t="shared" si="0"/>
        <v>0</v>
      </c>
      <c r="X14" s="56"/>
      <c r="Y14" s="57"/>
    </row>
    <row r="15" spans="1:47">
      <c r="A15" s="54">
        <v>15</v>
      </c>
      <c r="B15" s="54" t="s">
        <v>2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>
        <f t="shared" si="0"/>
        <v>0</v>
      </c>
      <c r="X15" s="56"/>
      <c r="Y15" s="57"/>
    </row>
    <row r="16" spans="1:47">
      <c r="A16" s="54">
        <v>16</v>
      </c>
      <c r="B16" s="54" t="s">
        <v>3</v>
      </c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>
        <f t="shared" si="0"/>
        <v>0</v>
      </c>
      <c r="X16" s="56"/>
      <c r="Y16" s="57"/>
    </row>
    <row r="17" spans="1:25">
      <c r="A17" s="54">
        <v>17</v>
      </c>
      <c r="B17" s="54" t="s">
        <v>4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>
        <f t="shared" si="0"/>
        <v>0</v>
      </c>
      <c r="X17" s="56"/>
      <c r="Y17" s="57"/>
    </row>
    <row r="18" spans="1:25">
      <c r="A18" s="54">
        <v>18</v>
      </c>
      <c r="B18" s="54" t="s">
        <v>5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>
        <f t="shared" si="0"/>
        <v>0</v>
      </c>
      <c r="X18" s="56"/>
      <c r="Y18" s="57"/>
    </row>
    <row r="19" spans="1:25">
      <c r="A19" s="54">
        <v>19</v>
      </c>
      <c r="B19" s="54" t="s">
        <v>6</v>
      </c>
      <c r="C19" s="60">
        <f>10000-SUM(C3:C18)</f>
        <v>10000</v>
      </c>
      <c r="D19" s="55"/>
      <c r="E19" s="55"/>
      <c r="F19" s="60">
        <f>7300-SUM(F3:F18)</f>
        <v>7300</v>
      </c>
      <c r="G19" s="55"/>
      <c r="H19" s="60">
        <f>8700-SUM(H3:H18)</f>
        <v>8700</v>
      </c>
      <c r="I19" s="60">
        <f>2000-SUM(I3:I18)</f>
        <v>2000</v>
      </c>
      <c r="J19" s="55"/>
      <c r="K19" s="55"/>
      <c r="L19" s="55"/>
      <c r="M19" s="55"/>
      <c r="N19" s="55"/>
      <c r="O19" s="60">
        <f>4000-SUM(O3:O18)</f>
        <v>4000</v>
      </c>
      <c r="P19" s="55"/>
      <c r="Q19" s="55"/>
      <c r="R19" s="55"/>
      <c r="S19" s="55"/>
      <c r="T19" s="55"/>
      <c r="U19" s="55"/>
      <c r="V19" s="55"/>
      <c r="W19" s="55">
        <f t="shared" si="0"/>
        <v>32000</v>
      </c>
      <c r="X19" s="56"/>
      <c r="Y19" s="57">
        <f>X3-SUM(W3:W19)</f>
        <v>-34660</v>
      </c>
    </row>
    <row r="20" spans="1:25">
      <c r="A20" s="39">
        <v>20</v>
      </c>
      <c r="B20" s="39" t="s">
        <v>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f t="shared" si="0"/>
        <v>0</v>
      </c>
      <c r="X20" s="41"/>
      <c r="Y20" s="42"/>
    </row>
    <row r="21" spans="1:25">
      <c r="A21" s="54">
        <v>21</v>
      </c>
      <c r="B21" s="54" t="s">
        <v>8</v>
      </c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>
        <f t="shared" si="0"/>
        <v>0</v>
      </c>
      <c r="X21" s="56"/>
      <c r="Y21" s="57"/>
    </row>
    <row r="22" spans="1:25">
      <c r="A22" s="54">
        <v>22</v>
      </c>
      <c r="B22" s="54" t="s">
        <v>2</v>
      </c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>
        <f t="shared" si="0"/>
        <v>0</v>
      </c>
      <c r="X22" s="56"/>
      <c r="Y22" s="57"/>
    </row>
    <row r="23" spans="1:25">
      <c r="A23" s="54">
        <v>23</v>
      </c>
      <c r="B23" s="54" t="s">
        <v>3</v>
      </c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>
        <f t="shared" si="0"/>
        <v>0</v>
      </c>
      <c r="X23" s="56"/>
      <c r="Y23" s="57"/>
    </row>
    <row r="24" spans="1:25">
      <c r="A24" s="54">
        <v>24</v>
      </c>
      <c r="B24" s="54" t="s">
        <v>4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>
        <f t="shared" si="0"/>
        <v>0</v>
      </c>
      <c r="X24" s="56"/>
      <c r="Y24" s="57"/>
    </row>
    <row r="25" spans="1:25">
      <c r="A25" s="54">
        <v>25</v>
      </c>
      <c r="B25" s="54" t="s">
        <v>5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>
        <f t="shared" si="0"/>
        <v>0</v>
      </c>
      <c r="X25" s="56"/>
      <c r="Y25" s="57"/>
    </row>
    <row r="26" spans="1:25">
      <c r="A26" s="54">
        <v>26</v>
      </c>
      <c r="B26" s="54" t="s">
        <v>6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>
        <f t="shared" si="0"/>
        <v>0</v>
      </c>
      <c r="X26" s="56"/>
      <c r="Y26" s="57"/>
    </row>
    <row r="27" spans="1:25">
      <c r="A27" s="54">
        <v>27</v>
      </c>
      <c r="B27" s="54" t="s">
        <v>7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>
        <f t="shared" si="0"/>
        <v>0</v>
      </c>
      <c r="X27" s="56"/>
      <c r="Y27" s="57"/>
    </row>
    <row r="28" spans="1:25">
      <c r="A28" s="54">
        <v>28</v>
      </c>
      <c r="B28" s="54" t="s">
        <v>8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>
        <f t="shared" si="0"/>
        <v>0</v>
      </c>
      <c r="X28" s="56"/>
      <c r="Y28" s="57"/>
    </row>
    <row r="29" spans="1:25">
      <c r="A29" s="54">
        <v>29</v>
      </c>
      <c r="B29" s="54" t="s">
        <v>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>
        <f t="shared" si="0"/>
        <v>0</v>
      </c>
      <c r="X29" s="56"/>
      <c r="Y29" s="57"/>
    </row>
    <row r="30" spans="1:25">
      <c r="A30" s="54">
        <v>30</v>
      </c>
      <c r="B30" s="54" t="s">
        <v>3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>
        <f t="shared" si="0"/>
        <v>0</v>
      </c>
      <c r="X30" s="56"/>
      <c r="Y30" s="57"/>
    </row>
    <row r="31" spans="1:25">
      <c r="A31" s="54">
        <v>1</v>
      </c>
      <c r="B31" s="54" t="s">
        <v>4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>
        <f t="shared" si="0"/>
        <v>0</v>
      </c>
      <c r="X31" s="56"/>
      <c r="Y31" s="57"/>
    </row>
    <row r="32" spans="1:25">
      <c r="A32" s="54">
        <v>2</v>
      </c>
      <c r="B32" s="54" t="s">
        <v>5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>
        <f t="shared" si="0"/>
        <v>0</v>
      </c>
      <c r="X32" s="56"/>
      <c r="Y32" s="57"/>
    </row>
    <row r="33" spans="1:25">
      <c r="A33" s="54">
        <v>3</v>
      </c>
      <c r="B33" s="54" t="s">
        <v>6</v>
      </c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>
        <f t="shared" si="0"/>
        <v>0</v>
      </c>
      <c r="X33" s="56"/>
      <c r="Y33" s="57"/>
    </row>
    <row r="34" spans="1:25">
      <c r="A34" s="54">
        <v>4</v>
      </c>
      <c r="B34" s="54" t="s">
        <v>7</v>
      </c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>
        <f t="shared" si="0"/>
        <v>0</v>
      </c>
      <c r="X34" s="56"/>
      <c r="Y34" s="57"/>
    </row>
    <row r="35" spans="1:25">
      <c r="A35" s="58" t="s">
        <v>20</v>
      </c>
      <c r="B35" s="58"/>
      <c r="C35" s="59">
        <f>SUM(C3:C34)</f>
        <v>10000</v>
      </c>
      <c r="D35" s="59">
        <f t="shared" ref="D35:W35" si="1">SUM(D3:D34)</f>
        <v>0</v>
      </c>
      <c r="E35" s="59">
        <f t="shared" si="1"/>
        <v>0</v>
      </c>
      <c r="F35" s="59">
        <f t="shared" si="1"/>
        <v>7300</v>
      </c>
      <c r="G35" s="59">
        <f t="shared" si="1"/>
        <v>0</v>
      </c>
      <c r="H35" s="59">
        <f t="shared" si="1"/>
        <v>8700</v>
      </c>
      <c r="I35" s="59">
        <f t="shared" si="1"/>
        <v>2000</v>
      </c>
      <c r="J35" s="59">
        <f t="shared" si="1"/>
        <v>0</v>
      </c>
      <c r="K35" s="59">
        <f t="shared" si="1"/>
        <v>10000</v>
      </c>
      <c r="L35" s="59">
        <f t="shared" si="1"/>
        <v>0</v>
      </c>
      <c r="M35" s="59">
        <f t="shared" si="1"/>
        <v>0</v>
      </c>
      <c r="N35" s="59">
        <f t="shared" si="1"/>
        <v>5000</v>
      </c>
      <c r="O35" s="59">
        <f t="shared" si="1"/>
        <v>4000</v>
      </c>
      <c r="P35" s="59">
        <f t="shared" si="1"/>
        <v>0</v>
      </c>
      <c r="Q35" s="59">
        <f t="shared" si="1"/>
        <v>44000</v>
      </c>
      <c r="R35" s="59">
        <f t="shared" si="1"/>
        <v>10000</v>
      </c>
      <c r="S35" s="59">
        <f t="shared" si="1"/>
        <v>6660</v>
      </c>
      <c r="T35" s="59">
        <f t="shared" si="1"/>
        <v>7000</v>
      </c>
      <c r="U35" s="59">
        <f t="shared" si="1"/>
        <v>0</v>
      </c>
      <c r="V35" s="59">
        <f t="shared" si="1"/>
        <v>0</v>
      </c>
      <c r="W35" s="59">
        <f t="shared" si="1"/>
        <v>114660</v>
      </c>
      <c r="X35" s="56">
        <f>SUM(X3:X29)</f>
        <v>80000</v>
      </c>
      <c r="Y35" s="57">
        <f>X35-W35</f>
        <v>-34660</v>
      </c>
    </row>
    <row r="39" spans="1:25"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mergeCells count="2">
    <mergeCell ref="A1:Y1"/>
    <mergeCell ref="A35:B35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1" t="s">
        <v>49</v>
      </c>
      <c r="B1" s="51"/>
      <c r="C1" s="51"/>
      <c r="D1" s="51"/>
      <c r="E1" s="51"/>
      <c r="G1" s="51" t="s">
        <v>50</v>
      </c>
      <c r="H1" s="51"/>
      <c r="I1" s="51"/>
      <c r="J1" s="51"/>
      <c r="K1" s="51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53" t="s">
        <v>61</v>
      </c>
      <c r="H8" s="53"/>
      <c r="I8" s="53"/>
      <c r="J8" s="53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52" t="s">
        <v>61</v>
      </c>
      <c r="B24" s="52"/>
      <c r="C24" s="52"/>
      <c r="D24" s="52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2026-03-30T12:18:18Z</dcterms:modified>
</cp:coreProperties>
</file>