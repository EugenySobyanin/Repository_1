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1"/>
  </bookViews>
  <sheets>
    <sheet name="Февраль 2026" sheetId="3" r:id="rId1"/>
    <sheet name="Март 2026" sheetId="1" r:id="rId2"/>
    <sheet name="Лист1" sheetId="2" r:id="rId3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4" i="1"/>
  <c r="V4" s="1"/>
  <c r="C3"/>
  <c r="V3" s="1"/>
  <c r="H17"/>
  <c r="H30" s="1"/>
  <c r="N17"/>
  <c r="N30" s="1"/>
  <c r="G17"/>
  <c r="G30" s="1"/>
  <c r="E17"/>
  <c r="E30" s="1"/>
  <c r="S27" i="3"/>
  <c r="F28"/>
  <c r="W30" i="1"/>
  <c r="V5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D30"/>
  <c r="F30"/>
  <c r="I30"/>
  <c r="J30"/>
  <c r="K30"/>
  <c r="L30"/>
  <c r="M30"/>
  <c r="O30"/>
  <c r="P30"/>
  <c r="Q30"/>
  <c r="R30"/>
  <c r="T30"/>
  <c r="U30"/>
  <c r="S30" l="1"/>
  <c r="C17"/>
  <c r="C30" s="1"/>
  <c r="F23" i="3"/>
  <c r="S23"/>
  <c r="N23"/>
  <c r="N24"/>
  <c r="U25"/>
  <c r="N25"/>
  <c r="N26"/>
  <c r="L26"/>
  <c r="F31"/>
  <c r="C20"/>
  <c r="G19"/>
  <c r="V17" i="1" l="1"/>
  <c r="X17" s="1"/>
  <c r="V19" i="3"/>
  <c r="V20"/>
  <c r="V21"/>
  <c r="V22"/>
  <c r="V23"/>
  <c r="V24"/>
  <c r="V25"/>
  <c r="V26"/>
  <c r="V27"/>
  <c r="V28"/>
  <c r="V29"/>
  <c r="V30"/>
  <c r="V6"/>
  <c r="V7"/>
  <c r="V8"/>
  <c r="V9"/>
  <c r="V10"/>
  <c r="V13"/>
  <c r="V14"/>
  <c r="V15"/>
  <c r="V16"/>
  <c r="V17"/>
  <c r="D31"/>
  <c r="E31"/>
  <c r="G31"/>
  <c r="H31"/>
  <c r="I31"/>
  <c r="J31"/>
  <c r="K31"/>
  <c r="L31"/>
  <c r="M31"/>
  <c r="O31"/>
  <c r="P31"/>
  <c r="Q31"/>
  <c r="R31"/>
  <c r="S31"/>
  <c r="T31"/>
  <c r="U31"/>
  <c r="C31"/>
  <c r="N18"/>
  <c r="V18" s="1"/>
  <c r="W18"/>
  <c r="W31" s="1"/>
  <c r="C13"/>
  <c r="P12"/>
  <c r="N12"/>
  <c r="D12"/>
  <c r="C12"/>
  <c r="V12" s="1"/>
  <c r="P11"/>
  <c r="G11"/>
  <c r="C11"/>
  <c r="V11" s="1"/>
  <c r="N6"/>
  <c r="N5"/>
  <c r="V5" s="1"/>
  <c r="N4"/>
  <c r="N31" s="1"/>
  <c r="C3"/>
  <c r="V3" s="1"/>
  <c r="K7" i="2"/>
  <c r="E22"/>
  <c r="E21"/>
  <c r="K5"/>
  <c r="K6"/>
  <c r="E20"/>
  <c r="E19"/>
  <c r="E18"/>
  <c r="E17"/>
  <c r="K4"/>
  <c r="K3"/>
  <c r="K8" s="1"/>
  <c r="E4"/>
  <c r="E5"/>
  <c r="E6"/>
  <c r="E7"/>
  <c r="E8"/>
  <c r="E9"/>
  <c r="E10"/>
  <c r="E11"/>
  <c r="E12"/>
  <c r="E13"/>
  <c r="E14"/>
  <c r="E15"/>
  <c r="E16"/>
  <c r="E23"/>
  <c r="E3"/>
  <c r="V30" i="1" l="1"/>
  <c r="E24" i="2"/>
  <c r="V4" i="3"/>
  <c r="X30"/>
  <c r="V31" l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
</t>
        </r>
      </text>
    </comment>
  </commentList>
</comments>
</file>

<file path=xl/sharedStrings.xml><?xml version="1.0" encoding="utf-8"?>
<sst xmlns="http://schemas.openxmlformats.org/spreadsheetml/2006/main" count="147" uniqueCount="67">
  <si>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</si>
  <si>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</si>
  <si>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</si>
  <si>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</si>
  <si>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</si>
  <si>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</si>
  <si>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</si>
  <si>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</si>
  <si>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</si>
  <si>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</si>
  <si>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</si>
  <si>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</si>
  <si>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</si>
  <si>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</si>
  <si>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</si>
  <si>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</si>
  <si>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</si>
  <si>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</si>
  <si>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</si>
  <si>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</si>
  <si>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</si>
  <si>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</si>
  <si>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</si>
  <si>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</si>
  <si>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</si>
  <si>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</si>
  <si>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</si>
  <si>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</si>
  <si>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</si>
  <si>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</si>
  <si>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</si>
  <si>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</si>
  <si>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</si>
  <si>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</si>
  <si>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</si>
  <si>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</si>
  <si>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</si>
  <si>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</si>
  <si>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</si>
  <si>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</si>
  <si>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</si>
  <si>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</si>
  <si>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</si>
  <si>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</si>
  <si>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</si>
  <si>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</si>
  <si>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</si>
  <si>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</si>
  <si>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</si>
  <si>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</si>
  <si>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</si>
  <si>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</si>
  <si>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</si>
  <si>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</si>
  <si>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</si>
  <si>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</si>
  <si>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</si>
  <si>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</si>
  <si>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</si>
  <si>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</si>
  <si>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</si>
  <si>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</si>
  <si>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Вкус Вилл</t>
  </si>
  <si>
    <t>Алкоголь</t>
  </si>
  <si>
    <t>Столовая (обед)</t>
  </si>
  <si>
    <t>Доходы - Расходы Март 2026</t>
  </si>
  <si>
    <t>Обед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</si>
</sst>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17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7" borderId="0" xfId="0" applyFill="1"/>
    <xf numFmtId="164" fontId="9" fillId="0" borderId="0" xfId="0" applyNumberFormat="1" applyFont="1"/>
    <xf numFmtId="0" fontId="0" fillId="7" borderId="0" xfId="0" applyFill="1" applyAlignment="1">
      <alignment horizontal="center" vertical="center"/>
    </xf>
    <xf numFmtId="164" fontId="0" fillId="7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2" fillId="10" borderId="4" xfId="0" applyFont="1" applyFill="1" applyBorder="1" applyAlignment="1">
      <alignment horizontal="center" vertical="center"/>
    </xf>
    <xf numFmtId="164" fontId="12" fillId="10" borderId="4" xfId="0" applyNumberFormat="1" applyFont="1" applyFill="1" applyBorder="1" applyAlignment="1">
      <alignment horizontal="center" vertical="center"/>
    </xf>
    <xf numFmtId="164" fontId="12" fillId="10" borderId="4" xfId="0" applyNumberFormat="1" applyFont="1" applyFill="1" applyBorder="1"/>
    <xf numFmtId="164" fontId="12" fillId="10" borderId="4" xfId="0" applyNumberFormat="1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 vertical="center" wrapText="1"/>
    </xf>
    <xf numFmtId="164" fontId="12" fillId="10" borderId="4" xfId="0" applyNumberFormat="1" applyFont="1" applyFill="1" applyBorder="1" applyAlignment="1">
      <alignment vertical="center"/>
    </xf>
    <xf numFmtId="0" fontId="12" fillId="12" borderId="4" xfId="0" applyFont="1" applyFill="1" applyBorder="1" applyAlignment="1">
      <alignment horizontal="center" vertical="center"/>
    </xf>
    <xf numFmtId="164" fontId="12" fillId="12" borderId="4" xfId="0" applyNumberFormat="1" applyFont="1" applyFill="1" applyBorder="1" applyAlignment="1">
      <alignment horizontal="center" vertical="center"/>
    </xf>
    <xf numFmtId="164" fontId="12" fillId="12" borderId="4" xfId="0" applyNumberFormat="1" applyFont="1" applyFill="1" applyBorder="1"/>
    <xf numFmtId="164" fontId="12" fillId="12" borderId="4" xfId="0" applyNumberFormat="1" applyFont="1" applyFill="1" applyBorder="1" applyAlignment="1">
      <alignment vertical="center"/>
    </xf>
    <xf numFmtId="0" fontId="12" fillId="11" borderId="4" xfId="0" applyFont="1" applyFill="1" applyBorder="1" applyAlignment="1">
      <alignment horizontal="center" vertical="center"/>
    </xf>
    <xf numFmtId="164" fontId="12" fillId="11" borderId="4" xfId="0" applyNumberFormat="1" applyFont="1" applyFill="1" applyBorder="1" applyAlignment="1">
      <alignment horizontal="center" vertical="center"/>
    </xf>
    <xf numFmtId="164" fontId="12" fillId="11" borderId="4" xfId="0" applyNumberFormat="1" applyFont="1" applyFill="1" applyBorder="1"/>
    <xf numFmtId="164" fontId="12" fillId="11" borderId="4" xfId="0" applyNumberFormat="1" applyFont="1" applyFill="1" applyBorder="1" applyAlignment="1">
      <alignment vertical="center"/>
    </xf>
    <xf numFmtId="164" fontId="16" fillId="12" borderId="4" xfId="0" applyNumberFormat="1" applyFont="1" applyFill="1" applyBorder="1" applyAlignment="1">
      <alignment vertical="center"/>
    </xf>
    <xf numFmtId="164" fontId="12" fillId="13" borderId="4" xfId="0" applyNumberFormat="1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2" fillId="10" borderId="4" xfId="0" applyFont="1" applyFill="1" applyBorder="1" applyAlignment="1">
      <alignment horizontal="right"/>
    </xf>
    <xf numFmtId="0" fontId="11" fillId="8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N3" sqref="N3:N1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49" t="s">
        <v>27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62</v>
      </c>
      <c r="F2" s="3" t="s">
        <v>64</v>
      </c>
      <c r="G2" s="3" t="s">
        <v>11</v>
      </c>
      <c r="H2" s="3" t="s">
        <v>63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60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7">
        <v>5</v>
      </c>
      <c r="B3" s="27" t="s">
        <v>3</v>
      </c>
      <c r="C3" s="29">
        <f>183+2168</f>
        <v>2351</v>
      </c>
      <c r="D3" s="29">
        <v>3131</v>
      </c>
      <c r="E3" s="29"/>
      <c r="F3" s="29"/>
      <c r="G3" s="28"/>
      <c r="H3" s="28"/>
      <c r="I3" s="29"/>
      <c r="J3" s="29">
        <v>450</v>
      </c>
      <c r="K3" s="29"/>
      <c r="L3" s="29"/>
      <c r="M3" s="29"/>
      <c r="N3" s="29">
        <v>40</v>
      </c>
      <c r="O3" s="29"/>
      <c r="P3" s="29"/>
      <c r="Q3" s="29">
        <v>14418</v>
      </c>
      <c r="R3" s="29"/>
      <c r="S3" s="29">
        <v>5000</v>
      </c>
      <c r="T3" s="29"/>
      <c r="U3" s="29"/>
      <c r="V3" s="30">
        <f>SUM(C3:U3)</f>
        <v>25390</v>
      </c>
      <c r="W3" s="31">
        <v>53739.4</v>
      </c>
      <c r="X3" s="25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23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25"/>
    </row>
    <row r="5" spans="1:46">
      <c r="A5" s="4">
        <v>7</v>
      </c>
      <c r="B5" s="4" t="s">
        <v>5</v>
      </c>
      <c r="C5" s="15"/>
      <c r="D5" s="24">
        <v>1110</v>
      </c>
      <c r="E5" s="24"/>
      <c r="F5" s="24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25"/>
    </row>
    <row r="6" spans="1:46">
      <c r="A6" s="5">
        <v>8</v>
      </c>
      <c r="B6" s="5" t="s">
        <v>6</v>
      </c>
      <c r="C6" s="23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23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25"/>
    </row>
    <row r="7" spans="1:46">
      <c r="A7" s="4">
        <v>9</v>
      </c>
      <c r="B7" s="4" t="s">
        <v>7</v>
      </c>
      <c r="C7" s="24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25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25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25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25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25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25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25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25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25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25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25">
        <f>W3-SUM(V3:V16)</f>
        <v>-6655.0499999999956</v>
      </c>
    </row>
    <row r="18" spans="1:24" ht="14.25" customHeight="1">
      <c r="A18" s="27">
        <v>20</v>
      </c>
      <c r="B18" s="27" t="s">
        <v>4</v>
      </c>
      <c r="C18" s="29"/>
      <c r="D18" s="28"/>
      <c r="E18" s="28"/>
      <c r="F18" s="28"/>
      <c r="G18" s="28"/>
      <c r="H18" s="28"/>
      <c r="I18" s="29">
        <v>1300</v>
      </c>
      <c r="J18" s="29"/>
      <c r="K18" s="29"/>
      <c r="L18" s="29"/>
      <c r="M18" s="29"/>
      <c r="N18" s="29">
        <f>1587+618</f>
        <v>2205</v>
      </c>
      <c r="O18" s="29"/>
      <c r="P18" s="29"/>
      <c r="Q18" s="29"/>
      <c r="R18" s="29"/>
      <c r="S18" s="29"/>
      <c r="T18" s="29"/>
      <c r="U18" s="29"/>
      <c r="V18" s="30">
        <f>SUM(C18:U18)</f>
        <v>3505</v>
      </c>
      <c r="W18" s="31">
        <f>30304+16451</f>
        <v>46755</v>
      </c>
      <c r="X18" s="32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25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25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25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25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25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25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25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25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25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25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25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25">
        <f>W18+W21-SUM(V18:V30)</f>
        <v>278.36000000000058</v>
      </c>
    </row>
    <row r="31" spans="1:24">
      <c r="A31" s="50" t="s">
        <v>20</v>
      </c>
      <c r="B31" s="50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26"/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4"/>
  <sheetViews>
    <sheetView tabSelected="1" zoomScale="86" zoomScaleNormal="86" workbookViewId="0">
      <pane xSplit="2" ySplit="30" topLeftCell="C31" activePane="bottomRight" state="frozen"/>
      <selection pane="topRight" activeCell="C1" sqref="C1"/>
      <selection pane="bottomLeft" activeCell="A28" sqref="A28"/>
      <selection pane="bottomRight" activeCell="H9" sqref="H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52" t="s">
        <v>65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46" ht="45" customHeight="1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11</v>
      </c>
      <c r="H2" s="37" t="s">
        <v>63</v>
      </c>
      <c r="I2" s="37" t="s">
        <v>12</v>
      </c>
      <c r="J2" s="37" t="s">
        <v>24</v>
      </c>
      <c r="K2" s="37" t="s">
        <v>23</v>
      </c>
      <c r="L2" s="37" t="s">
        <v>13</v>
      </c>
      <c r="M2" s="37" t="s">
        <v>14</v>
      </c>
      <c r="N2" s="37" t="s">
        <v>15</v>
      </c>
      <c r="O2" s="37" t="s">
        <v>16</v>
      </c>
      <c r="P2" s="37" t="s">
        <v>60</v>
      </c>
      <c r="Q2" s="37" t="s">
        <v>17</v>
      </c>
      <c r="R2" s="37" t="s">
        <v>18</v>
      </c>
      <c r="S2" s="37" t="s">
        <v>25</v>
      </c>
      <c r="T2" s="37" t="s">
        <v>25</v>
      </c>
      <c r="U2" s="37" t="s">
        <v>26</v>
      </c>
      <c r="V2" s="37" t="s">
        <v>22</v>
      </c>
      <c r="W2" s="37" t="s">
        <v>19</v>
      </c>
      <c r="X2" s="37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9">
        <v>5</v>
      </c>
      <c r="B3" s="39" t="s">
        <v>3</v>
      </c>
      <c r="C3" s="40">
        <f>2497.35+200</f>
        <v>2697.35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>
        <v>312</v>
      </c>
      <c r="O3" s="40"/>
      <c r="P3" s="40"/>
      <c r="Q3" s="40"/>
      <c r="R3" s="40">
        <v>990</v>
      </c>
      <c r="S3" s="40"/>
      <c r="T3" s="40"/>
      <c r="U3" s="40"/>
      <c r="V3" s="40">
        <f>SUM(C3:U3)</f>
        <v>3999.35</v>
      </c>
      <c r="W3" s="41">
        <v>43724</v>
      </c>
      <c r="X3" s="42"/>
    </row>
    <row r="4" spans="1:46">
      <c r="A4" s="33">
        <v>6</v>
      </c>
      <c r="B4" s="33" t="s">
        <v>4</v>
      </c>
      <c r="C4" s="34"/>
      <c r="D4" s="34"/>
      <c r="E4" s="34"/>
      <c r="F4" s="34">
        <v>1610</v>
      </c>
      <c r="G4" s="34"/>
      <c r="H4" s="34"/>
      <c r="I4" s="34"/>
      <c r="J4" s="34"/>
      <c r="K4" s="34"/>
      <c r="L4" s="34"/>
      <c r="M4" s="34"/>
      <c r="N4" s="34">
        <v>387</v>
      </c>
      <c r="O4" s="34"/>
      <c r="P4" s="34"/>
      <c r="Q4" s="34"/>
      <c r="R4" s="34">
        <v>199</v>
      </c>
      <c r="S4" s="34">
        <f>2411.96/2+116.97+2148/2+729</f>
        <v>3125.95</v>
      </c>
      <c r="T4" s="34"/>
      <c r="U4" s="34"/>
      <c r="V4" s="34">
        <f t="shared" ref="V4:V29" si="0">SUM(C4:U4)</f>
        <v>5321.95</v>
      </c>
      <c r="W4" s="35"/>
      <c r="X4" s="38"/>
    </row>
    <row r="5" spans="1:46">
      <c r="A5" s="33">
        <v>7</v>
      </c>
      <c r="B5" s="33" t="s">
        <v>5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>
        <f t="shared" si="0"/>
        <v>0</v>
      </c>
      <c r="W5" s="35"/>
      <c r="X5" s="38"/>
    </row>
    <row r="6" spans="1:46">
      <c r="A6" s="33">
        <v>8</v>
      </c>
      <c r="B6" s="33" t="s">
        <v>6</v>
      </c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48">
        <v>8000</v>
      </c>
      <c r="R6" s="34"/>
      <c r="S6" s="34"/>
      <c r="T6" s="34"/>
      <c r="U6" s="34"/>
      <c r="V6" s="34">
        <f t="shared" si="0"/>
        <v>8000</v>
      </c>
      <c r="W6" s="35"/>
      <c r="X6" s="38"/>
    </row>
    <row r="7" spans="1:46">
      <c r="A7" s="33">
        <v>9</v>
      </c>
      <c r="B7" s="33" t="s">
        <v>7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>
        <f t="shared" si="0"/>
        <v>0</v>
      </c>
      <c r="W7" s="35"/>
      <c r="X7" s="38"/>
    </row>
    <row r="8" spans="1:46">
      <c r="A8" s="33">
        <v>10</v>
      </c>
      <c r="B8" s="33" t="s">
        <v>8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>
        <f t="shared" si="0"/>
        <v>0</v>
      </c>
      <c r="W8" s="35"/>
      <c r="X8" s="38"/>
    </row>
    <row r="9" spans="1:46">
      <c r="A9" s="33">
        <v>11</v>
      </c>
      <c r="B9" s="33" t="s">
        <v>2</v>
      </c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>
        <f t="shared" si="0"/>
        <v>0</v>
      </c>
      <c r="W9" s="35"/>
      <c r="X9" s="38"/>
    </row>
    <row r="10" spans="1:46">
      <c r="A10" s="33">
        <v>12</v>
      </c>
      <c r="B10" s="33" t="s">
        <v>3</v>
      </c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>
        <f t="shared" si="0"/>
        <v>0</v>
      </c>
      <c r="W10" s="35"/>
      <c r="X10" s="38"/>
    </row>
    <row r="11" spans="1:46">
      <c r="A11" s="33">
        <v>13</v>
      </c>
      <c r="B11" s="33" t="s">
        <v>4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>
        <f t="shared" si="0"/>
        <v>0</v>
      </c>
      <c r="W11" s="35"/>
      <c r="X11" s="38"/>
    </row>
    <row r="12" spans="1:46">
      <c r="A12" s="33">
        <v>14</v>
      </c>
      <c r="B12" s="33" t="s">
        <v>5</v>
      </c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>
        <f t="shared" si="0"/>
        <v>0</v>
      </c>
      <c r="W12" s="35"/>
      <c r="X12" s="38"/>
    </row>
    <row r="13" spans="1:46">
      <c r="A13" s="33">
        <v>15</v>
      </c>
      <c r="B13" s="33" t="s">
        <v>6</v>
      </c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>
        <f t="shared" si="0"/>
        <v>0</v>
      </c>
      <c r="W13" s="35"/>
      <c r="X13" s="38"/>
    </row>
    <row r="14" spans="1:46">
      <c r="A14" s="33">
        <v>16</v>
      </c>
      <c r="B14" s="33" t="s">
        <v>7</v>
      </c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>
        <f t="shared" si="0"/>
        <v>0</v>
      </c>
      <c r="W14" s="35"/>
      <c r="X14" s="38"/>
    </row>
    <row r="15" spans="1:46">
      <c r="A15" s="33">
        <v>17</v>
      </c>
      <c r="B15" s="33" t="s">
        <v>8</v>
      </c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>
        <f t="shared" si="0"/>
        <v>0</v>
      </c>
      <c r="W15" s="35"/>
      <c r="X15" s="38"/>
    </row>
    <row r="16" spans="1:46">
      <c r="A16" s="33">
        <v>18</v>
      </c>
      <c r="B16" s="33" t="s">
        <v>2</v>
      </c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>
        <f t="shared" si="0"/>
        <v>0</v>
      </c>
      <c r="W16" s="35"/>
      <c r="X16" s="38"/>
    </row>
    <row r="17" spans="1:24">
      <c r="A17" s="33">
        <v>19</v>
      </c>
      <c r="B17" s="33" t="s">
        <v>3</v>
      </c>
      <c r="C17" s="48">
        <f>14500-SUM(C3:C16)</f>
        <v>11802.65</v>
      </c>
      <c r="D17" s="34"/>
      <c r="E17" s="48">
        <f>12000-SUM(E3:E16)</f>
        <v>12000</v>
      </c>
      <c r="F17" s="34"/>
      <c r="G17" s="48">
        <f>4400-SUM(G3:G16)</f>
        <v>4400</v>
      </c>
      <c r="H17" s="48">
        <f>1300-SUM(H3:H16)</f>
        <v>1300</v>
      </c>
      <c r="I17" s="34"/>
      <c r="J17" s="34"/>
      <c r="K17" s="34"/>
      <c r="L17" s="34"/>
      <c r="M17" s="34"/>
      <c r="N17" s="48">
        <f>3200-SUM(N3:N16)</f>
        <v>2501</v>
      </c>
      <c r="O17" s="34"/>
      <c r="P17" s="34"/>
      <c r="Q17" s="34"/>
      <c r="R17" s="34"/>
      <c r="S17" s="34"/>
      <c r="T17" s="34"/>
      <c r="U17" s="34"/>
      <c r="V17" s="34">
        <f t="shared" si="0"/>
        <v>32003.65</v>
      </c>
      <c r="W17" s="35"/>
      <c r="X17" s="47">
        <f>SUM(W3:W17)-SUM(V3:V17)</f>
        <v>-5600.9499999999971</v>
      </c>
    </row>
    <row r="18" spans="1:24">
      <c r="A18" s="43">
        <v>20</v>
      </c>
      <c r="B18" s="43" t="s">
        <v>4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>
        <f t="shared" si="0"/>
        <v>0</v>
      </c>
      <c r="W18" s="45"/>
      <c r="X18" s="46"/>
    </row>
    <row r="19" spans="1:24">
      <c r="A19" s="33">
        <v>21</v>
      </c>
      <c r="B19" s="33" t="s">
        <v>5</v>
      </c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>
        <f t="shared" si="0"/>
        <v>0</v>
      </c>
      <c r="W19" s="35"/>
      <c r="X19" s="38"/>
    </row>
    <row r="20" spans="1:24">
      <c r="A20" s="33">
        <v>22</v>
      </c>
      <c r="B20" s="33" t="s">
        <v>6</v>
      </c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>
        <f t="shared" si="0"/>
        <v>0</v>
      </c>
      <c r="W20" s="35"/>
      <c r="X20" s="38"/>
    </row>
    <row r="21" spans="1:24">
      <c r="A21" s="33">
        <v>23</v>
      </c>
      <c r="B21" s="33" t="s">
        <v>7</v>
      </c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>
        <f t="shared" si="0"/>
        <v>0</v>
      </c>
      <c r="W21" s="35"/>
      <c r="X21" s="38"/>
    </row>
    <row r="22" spans="1:24">
      <c r="A22" s="33">
        <v>24</v>
      </c>
      <c r="B22" s="33" t="s">
        <v>8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>
        <f t="shared" si="0"/>
        <v>0</v>
      </c>
      <c r="W22" s="35"/>
      <c r="X22" s="38"/>
    </row>
    <row r="23" spans="1:24">
      <c r="A23" s="33">
        <v>25</v>
      </c>
      <c r="B23" s="33" t="s">
        <v>2</v>
      </c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>
        <f t="shared" si="0"/>
        <v>0</v>
      </c>
      <c r="W23" s="35"/>
      <c r="X23" s="38"/>
    </row>
    <row r="24" spans="1:24">
      <c r="A24" s="33">
        <v>26</v>
      </c>
      <c r="B24" s="33" t="s">
        <v>3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>
        <f t="shared" si="0"/>
        <v>0</v>
      </c>
      <c r="W24" s="35"/>
      <c r="X24" s="38"/>
    </row>
    <row r="25" spans="1:24">
      <c r="A25" s="33">
        <v>27</v>
      </c>
      <c r="B25" s="33" t="s">
        <v>4</v>
      </c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>
        <f t="shared" si="0"/>
        <v>0</v>
      </c>
      <c r="W25" s="35"/>
      <c r="X25" s="38"/>
    </row>
    <row r="26" spans="1:24">
      <c r="A26" s="33">
        <v>28</v>
      </c>
      <c r="B26" s="33" t="s">
        <v>5</v>
      </c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>
        <f t="shared" si="0"/>
        <v>0</v>
      </c>
      <c r="W26" s="35"/>
      <c r="X26" s="38"/>
    </row>
    <row r="27" spans="1:24">
      <c r="A27" s="33">
        <v>29</v>
      </c>
      <c r="B27" s="33" t="s">
        <v>6</v>
      </c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>
        <f t="shared" si="0"/>
        <v>0</v>
      </c>
      <c r="W27" s="35"/>
      <c r="X27" s="38"/>
    </row>
    <row r="28" spans="1:24">
      <c r="A28" s="33">
        <v>30</v>
      </c>
      <c r="B28" s="33" t="s">
        <v>7</v>
      </c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>
        <f t="shared" si="0"/>
        <v>0</v>
      </c>
      <c r="W28" s="35"/>
      <c r="X28" s="38"/>
    </row>
    <row r="29" spans="1:24">
      <c r="A29" s="33">
        <v>31</v>
      </c>
      <c r="B29" s="33" t="s">
        <v>8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>
        <f t="shared" si="0"/>
        <v>0</v>
      </c>
      <c r="W29" s="35"/>
      <c r="X29" s="38"/>
    </row>
    <row r="30" spans="1:24">
      <c r="A30" s="51" t="s">
        <v>20</v>
      </c>
      <c r="B30" s="51"/>
      <c r="C30" s="35">
        <f>SUM(C3:C29)</f>
        <v>14500</v>
      </c>
      <c r="D30" s="35">
        <f t="shared" ref="D30:V30" si="1">SUM(D3:D29)</f>
        <v>0</v>
      </c>
      <c r="E30" s="35">
        <f t="shared" si="1"/>
        <v>12000</v>
      </c>
      <c r="F30" s="35">
        <f t="shared" si="1"/>
        <v>1610</v>
      </c>
      <c r="G30" s="35">
        <f t="shared" si="1"/>
        <v>4400</v>
      </c>
      <c r="H30" s="35">
        <f t="shared" si="1"/>
        <v>1300</v>
      </c>
      <c r="I30" s="35">
        <f t="shared" si="1"/>
        <v>0</v>
      </c>
      <c r="J30" s="35">
        <f t="shared" si="1"/>
        <v>0</v>
      </c>
      <c r="K30" s="35">
        <f t="shared" si="1"/>
        <v>0</v>
      </c>
      <c r="L30" s="35">
        <f t="shared" si="1"/>
        <v>0</v>
      </c>
      <c r="M30" s="35">
        <f t="shared" si="1"/>
        <v>0</v>
      </c>
      <c r="N30" s="35">
        <f t="shared" si="1"/>
        <v>3200</v>
      </c>
      <c r="O30" s="35">
        <f t="shared" si="1"/>
        <v>0</v>
      </c>
      <c r="P30" s="35">
        <f t="shared" si="1"/>
        <v>0</v>
      </c>
      <c r="Q30" s="35">
        <f>SUM(Q4:Q29)</f>
        <v>8000</v>
      </c>
      <c r="R30" s="35">
        <f t="shared" si="1"/>
        <v>1189</v>
      </c>
      <c r="S30" s="35">
        <f t="shared" si="1"/>
        <v>3125.95</v>
      </c>
      <c r="T30" s="35">
        <f t="shared" si="1"/>
        <v>0</v>
      </c>
      <c r="U30" s="35">
        <f t="shared" si="1"/>
        <v>0</v>
      </c>
      <c r="V30" s="36">
        <f t="shared" si="1"/>
        <v>49324.95</v>
      </c>
      <c r="W30" s="35">
        <f>SUM(W3:W29)</f>
        <v>43724</v>
      </c>
      <c r="X30" s="38"/>
    </row>
    <row r="34" spans="2:10">
      <c r="B34" s="6"/>
      <c r="C34" s="6"/>
      <c r="D34" s="6"/>
      <c r="E34" s="6"/>
      <c r="F34" s="6"/>
      <c r="G34" s="6"/>
      <c r="H34" s="6"/>
      <c r="I34" s="6"/>
      <c r="J34" s="6"/>
    </row>
  </sheetData>
  <mergeCells count="2">
    <mergeCell ref="A30:B30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4"/>
  <sheetViews>
    <sheetView workbookViewId="0">
      <selection activeCell="B20" sqref="B20"/>
    </sheetView>
  </sheetViews>
  <sheetFormatPr defaultRowHeight="15"/>
  <cols>
    <col min="1" max="1" width="9.140625" style="19"/>
    <col min="2" max="2" width="22.5703125" style="19" customWidth="1"/>
    <col min="3" max="3" width="12.42578125" style="19" customWidth="1"/>
    <col min="4" max="4" width="10.85546875" style="19" customWidth="1"/>
    <col min="5" max="5" width="17" style="19" bestFit="1" customWidth="1"/>
    <col min="6" max="7" width="9.140625" style="19"/>
    <col min="8" max="8" width="18.42578125" style="19" customWidth="1"/>
    <col min="9" max="9" width="13.140625" style="19" customWidth="1"/>
    <col min="10" max="10" width="9.7109375" style="19" customWidth="1"/>
    <col min="11" max="11" width="16.7109375" style="19" customWidth="1"/>
    <col min="12" max="16384" width="9.140625" style="19"/>
  </cols>
  <sheetData>
    <row r="1" spans="1:11">
      <c r="A1" s="53" t="s">
        <v>49</v>
      </c>
      <c r="B1" s="53"/>
      <c r="C1" s="53"/>
      <c r="D1" s="53"/>
      <c r="E1" s="53"/>
      <c r="G1" s="53" t="s">
        <v>50</v>
      </c>
      <c r="H1" s="53"/>
      <c r="I1" s="53"/>
      <c r="J1" s="53"/>
      <c r="K1" s="53"/>
    </row>
    <row r="2" spans="1:11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>
      <c r="A3" s="18">
        <v>1</v>
      </c>
      <c r="B3" t="s">
        <v>35</v>
      </c>
      <c r="C3">
        <v>1</v>
      </c>
      <c r="D3" s="16">
        <v>90</v>
      </c>
      <c r="E3" s="16">
        <f>C3*D3</f>
        <v>90</v>
      </c>
      <c r="G3" s="18">
        <v>1</v>
      </c>
      <c r="H3" t="s">
        <v>48</v>
      </c>
      <c r="I3">
        <v>1</v>
      </c>
      <c r="J3" s="16">
        <v>318</v>
      </c>
      <c r="K3" s="16">
        <f>I3*J3</f>
        <v>318</v>
      </c>
    </row>
    <row r="4" spans="1:11" ht="30">
      <c r="A4" s="18">
        <v>2</v>
      </c>
      <c r="B4" t="s">
        <v>44</v>
      </c>
      <c r="C4">
        <v>1</v>
      </c>
      <c r="D4" s="16">
        <v>90</v>
      </c>
      <c r="E4" s="16">
        <f t="shared" ref="E4:E22" si="0">C4*D4</f>
        <v>90</v>
      </c>
      <c r="G4" s="18">
        <v>2</v>
      </c>
      <c r="H4" s="17" t="s">
        <v>43</v>
      </c>
      <c r="I4">
        <v>1</v>
      </c>
      <c r="J4" s="16">
        <v>255</v>
      </c>
      <c r="K4" s="16">
        <f>I4*J4</f>
        <v>255</v>
      </c>
    </row>
    <row r="5" spans="1:11">
      <c r="A5" s="18">
        <v>3</v>
      </c>
      <c r="B5" t="s">
        <v>45</v>
      </c>
      <c r="C5">
        <v>1</v>
      </c>
      <c r="D5" s="16">
        <v>90</v>
      </c>
      <c r="E5" s="16">
        <f t="shared" si="0"/>
        <v>90</v>
      </c>
      <c r="G5" s="18">
        <v>3</v>
      </c>
      <c r="H5" t="s">
        <v>56</v>
      </c>
      <c r="I5">
        <v>1</v>
      </c>
      <c r="J5" s="16">
        <v>1200</v>
      </c>
      <c r="K5" s="16">
        <f t="shared" ref="K5:K7" si="1">I5*J5</f>
        <v>1200</v>
      </c>
    </row>
    <row r="6" spans="1:11">
      <c r="A6" s="18">
        <v>4</v>
      </c>
      <c r="B6" t="s">
        <v>46</v>
      </c>
      <c r="C6">
        <v>1</v>
      </c>
      <c r="D6" s="16">
        <v>200</v>
      </c>
      <c r="E6" s="16">
        <f t="shared" si="0"/>
        <v>200</v>
      </c>
      <c r="G6" s="18">
        <v>4</v>
      </c>
      <c r="H6" t="s">
        <v>57</v>
      </c>
      <c r="I6">
        <v>1</v>
      </c>
      <c r="J6" s="16">
        <v>1100</v>
      </c>
      <c r="K6" s="16">
        <f t="shared" si="1"/>
        <v>1100</v>
      </c>
    </row>
    <row r="7" spans="1:11">
      <c r="A7" s="18">
        <v>5</v>
      </c>
      <c r="B7" t="s">
        <v>47</v>
      </c>
      <c r="C7">
        <v>1</v>
      </c>
      <c r="D7" s="16">
        <v>200</v>
      </c>
      <c r="E7" s="16">
        <f t="shared" si="0"/>
        <v>200</v>
      </c>
      <c r="G7" s="18">
        <v>5</v>
      </c>
      <c r="H7" t="s">
        <v>52</v>
      </c>
      <c r="I7">
        <v>1</v>
      </c>
      <c r="J7" s="16">
        <v>2000</v>
      </c>
      <c r="K7" s="16">
        <f t="shared" si="1"/>
        <v>2000</v>
      </c>
    </row>
    <row r="8" spans="1:11">
      <c r="A8" s="18">
        <v>6</v>
      </c>
      <c r="B8" t="s">
        <v>34</v>
      </c>
      <c r="C8">
        <v>1</v>
      </c>
      <c r="D8" s="16">
        <v>193</v>
      </c>
      <c r="E8" s="16">
        <f t="shared" si="0"/>
        <v>193</v>
      </c>
      <c r="G8" s="55" t="s">
        <v>61</v>
      </c>
      <c r="H8" s="55"/>
      <c r="I8" s="55"/>
      <c r="J8" s="55"/>
      <c r="K8" s="20">
        <f>SUM(K3:K7)</f>
        <v>4873</v>
      </c>
    </row>
    <row r="9" spans="1:11">
      <c r="A9" s="18">
        <v>7</v>
      </c>
      <c r="B9" t="s">
        <v>36</v>
      </c>
      <c r="C9">
        <v>6</v>
      </c>
      <c r="D9" s="16">
        <v>90</v>
      </c>
      <c r="E9" s="16">
        <f t="shared" si="0"/>
        <v>540</v>
      </c>
      <c r="G9" s="21"/>
      <c r="J9" s="22"/>
      <c r="K9" s="22"/>
    </row>
    <row r="10" spans="1:11">
      <c r="A10" s="18">
        <v>8</v>
      </c>
      <c r="B10" t="s">
        <v>37</v>
      </c>
      <c r="C10">
        <v>1</v>
      </c>
      <c r="D10" s="16">
        <v>350</v>
      </c>
      <c r="E10" s="16">
        <f t="shared" si="0"/>
        <v>350</v>
      </c>
      <c r="G10" s="21"/>
      <c r="J10" s="22"/>
      <c r="K10" s="22"/>
    </row>
    <row r="11" spans="1:11">
      <c r="A11" s="18">
        <v>9</v>
      </c>
      <c r="B11" t="s">
        <v>38</v>
      </c>
      <c r="C11">
        <v>1</v>
      </c>
      <c r="D11" s="16">
        <v>250</v>
      </c>
      <c r="E11" s="16">
        <f t="shared" si="0"/>
        <v>250</v>
      </c>
      <c r="G11" s="21"/>
      <c r="J11" s="22"/>
      <c r="K11" s="22"/>
    </row>
    <row r="12" spans="1:11">
      <c r="A12" s="18">
        <v>10</v>
      </c>
      <c r="B12" t="s">
        <v>33</v>
      </c>
      <c r="C12">
        <v>1</v>
      </c>
      <c r="D12" s="16">
        <v>500</v>
      </c>
      <c r="E12" s="16">
        <f t="shared" si="0"/>
        <v>500</v>
      </c>
      <c r="G12" s="21"/>
      <c r="J12" s="22"/>
      <c r="K12" s="22"/>
    </row>
    <row r="13" spans="1:11">
      <c r="A13" s="18">
        <v>11</v>
      </c>
      <c r="B13" t="s">
        <v>39</v>
      </c>
      <c r="C13">
        <v>1</v>
      </c>
      <c r="D13" s="16">
        <v>150</v>
      </c>
      <c r="E13" s="16">
        <f t="shared" si="0"/>
        <v>150</v>
      </c>
      <c r="G13" s="21"/>
      <c r="J13" s="22"/>
      <c r="K13" s="22"/>
    </row>
    <row r="14" spans="1:11">
      <c r="A14" s="18">
        <v>12</v>
      </c>
      <c r="B14" t="s">
        <v>40</v>
      </c>
      <c r="C14">
        <v>1</v>
      </c>
      <c r="D14" s="16">
        <v>300</v>
      </c>
      <c r="E14" s="16">
        <f t="shared" si="0"/>
        <v>300</v>
      </c>
      <c r="G14" s="21"/>
      <c r="J14" s="22"/>
      <c r="K14" s="22"/>
    </row>
    <row r="15" spans="1:11">
      <c r="A15" s="18">
        <v>13</v>
      </c>
      <c r="B15" t="s">
        <v>41</v>
      </c>
      <c r="C15">
        <v>1</v>
      </c>
      <c r="D15" s="16">
        <v>350</v>
      </c>
      <c r="E15" s="16">
        <f t="shared" si="0"/>
        <v>350</v>
      </c>
      <c r="G15" s="21"/>
      <c r="J15" s="22"/>
      <c r="K15" s="22"/>
    </row>
    <row r="16" spans="1:11">
      <c r="A16" s="18">
        <v>14</v>
      </c>
      <c r="B16" t="s">
        <v>42</v>
      </c>
      <c r="C16">
        <v>1</v>
      </c>
      <c r="D16" s="16">
        <v>350</v>
      </c>
      <c r="E16" s="16">
        <f t="shared" si="0"/>
        <v>350</v>
      </c>
      <c r="G16" s="21"/>
      <c r="J16" s="22"/>
      <c r="K16" s="22"/>
    </row>
    <row r="17" spans="1:11">
      <c r="A17" s="18">
        <v>15</v>
      </c>
      <c r="B17" t="s">
        <v>51</v>
      </c>
      <c r="C17">
        <v>2</v>
      </c>
      <c r="D17" s="16">
        <v>250</v>
      </c>
      <c r="E17" s="16">
        <f t="shared" si="0"/>
        <v>500</v>
      </c>
      <c r="G17" s="21"/>
      <c r="J17" s="22"/>
      <c r="K17" s="22"/>
    </row>
    <row r="18" spans="1:11">
      <c r="A18" s="18">
        <v>16</v>
      </c>
      <c r="B18" t="s">
        <v>53</v>
      </c>
      <c r="C18">
        <v>1</v>
      </c>
      <c r="D18" s="16">
        <v>200</v>
      </c>
      <c r="E18" s="16">
        <f t="shared" si="0"/>
        <v>200</v>
      </c>
    </row>
    <row r="19" spans="1:11">
      <c r="A19" s="18">
        <v>17</v>
      </c>
      <c r="B19" t="s">
        <v>54</v>
      </c>
      <c r="C19">
        <v>1</v>
      </c>
      <c r="D19" s="16">
        <v>210</v>
      </c>
      <c r="E19" s="16">
        <f t="shared" si="0"/>
        <v>210</v>
      </c>
    </row>
    <row r="20" spans="1:11">
      <c r="A20" s="18">
        <v>18</v>
      </c>
      <c r="B20" t="s">
        <v>55</v>
      </c>
      <c r="C20">
        <v>1</v>
      </c>
      <c r="D20" s="16">
        <v>255</v>
      </c>
      <c r="E20" s="16">
        <f t="shared" si="0"/>
        <v>255</v>
      </c>
    </row>
    <row r="21" spans="1:11">
      <c r="A21" s="18">
        <v>19</v>
      </c>
      <c r="B21" t="s">
        <v>58</v>
      </c>
      <c r="C21">
        <v>1</v>
      </c>
      <c r="D21" s="16">
        <v>350</v>
      </c>
      <c r="E21" s="16">
        <f t="shared" si="0"/>
        <v>350</v>
      </c>
    </row>
    <row r="22" spans="1:11">
      <c r="A22" s="18">
        <v>20</v>
      </c>
      <c r="B22" t="s">
        <v>59</v>
      </c>
      <c r="C22">
        <v>1</v>
      </c>
      <c r="D22" s="16">
        <v>240</v>
      </c>
      <c r="E22" s="16">
        <f t="shared" si="0"/>
        <v>240</v>
      </c>
    </row>
    <row r="23" spans="1:11">
      <c r="A23" s="18">
        <v>15</v>
      </c>
      <c r="B23" t="s">
        <v>52</v>
      </c>
      <c r="C23">
        <v>3</v>
      </c>
      <c r="D23" s="16">
        <v>500</v>
      </c>
      <c r="E23" s="16">
        <f>C23*D23</f>
        <v>1500</v>
      </c>
    </row>
    <row r="24" spans="1:11">
      <c r="A24" s="54" t="s">
        <v>61</v>
      </c>
      <c r="B24" s="54"/>
      <c r="C24" s="54"/>
      <c r="D24" s="54"/>
      <c r="E24" s="20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Февраль 2026</vt:lpstr>
      <vt:lpstr>Март 2026</vt:lpstr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2026-03-06T11:46:03Z</dcterms:modified>
</cp:coreProperties>
</file>