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/>
  </bookViews>
  <sheets>
    <sheet name="Февраль 2026" sheetId="1" r:id="rId1"/>
    <sheet name="Лист1" sheetId="2" r:id="rId2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1"/>
  <c r="U13" s="1"/>
  <c r="E12"/>
  <c r="O12"/>
  <c r="M12"/>
  <c r="F12"/>
  <c r="F27" s="1"/>
  <c r="O11"/>
  <c r="G11"/>
  <c r="G27" s="1"/>
  <c r="E11"/>
  <c r="M6"/>
  <c r="U6" s="1"/>
  <c r="M5"/>
  <c r="U5" s="1"/>
  <c r="M4"/>
  <c r="U4" s="1"/>
  <c r="E3"/>
  <c r="U3" s="1"/>
  <c r="K8" i="2"/>
  <c r="K7"/>
  <c r="E24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K27" i="1"/>
  <c r="I27"/>
  <c r="J27"/>
  <c r="U7"/>
  <c r="U8"/>
  <c r="U9"/>
  <c r="U10"/>
  <c r="U14"/>
  <c r="U15"/>
  <c r="U16"/>
  <c r="U17"/>
  <c r="U18"/>
  <c r="U19"/>
  <c r="U20"/>
  <c r="U22"/>
  <c r="U23"/>
  <c r="U24"/>
  <c r="U25"/>
  <c r="U26"/>
  <c r="D27"/>
  <c r="H27"/>
  <c r="L27"/>
  <c r="N27"/>
  <c r="P27"/>
  <c r="Q27"/>
  <c r="R27"/>
  <c r="S27"/>
  <c r="T27"/>
  <c r="V27"/>
  <c r="C27"/>
  <c r="O27" l="1"/>
  <c r="U12"/>
  <c r="U11"/>
  <c r="M27"/>
  <c r="E27"/>
  <c r="U21"/>
  <c r="U27" l="1"/>
  <c r="W3" s="1"/>
</calcChain>
</file>

<file path=xl/comments1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O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I1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Электричество
</t>
        </r>
      </text>
    </comment>
    <comment ref="I1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Вода
</t>
        </r>
      </text>
    </comment>
    <comment ref="I1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
</t>
        </r>
      </text>
    </comment>
    <comment ref="Q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</commentList>
</comments>
</file>

<file path=xl/sharedStrings.xml><?xml version="1.0" encoding="utf-8"?>
<sst xmlns="http://schemas.openxmlformats.org/spreadsheetml/2006/main" count="89" uniqueCount="64">
  <si>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</si>
  <si>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</si>
  <si>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</si>
  <si>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</si>
  <si>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</si>
  <si>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</si>
  <si>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</si>
  <si>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</si>
  <si>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</si>
  <si>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</si>
  <si>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</si>
  <si>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</si>
  <si>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</si>
  <si>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</si>
  <si>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</si>
  <si>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</si>
  <si>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</si>
  <si>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</si>
  <si>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</si>
  <si>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</si>
  <si>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</si>
  <si>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</si>
  <si>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</si>
  <si>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</si>
  <si>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</si>
  <si>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</si>
  <si>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</si>
  <si>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</si>
  <si>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</si>
  <si>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</si>
  <si>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</si>
  <si>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</si>
  <si>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</si>
  <si>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</si>
  <si>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</si>
  <si>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</si>
  <si>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</si>
  <si>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</si>
  <si>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</si>
  <si>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</si>
  <si>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</si>
  <si>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</si>
  <si>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</si>
  <si>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</si>
  <si>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</si>
  <si>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</si>
  <si>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</si>
  <si>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</si>
  <si>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</si>
  <si>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</si>
  <si>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</si>
  <si>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</si>
  <si>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</si>
  <si>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</si>
  <si>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</si>
  <si>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</si>
  <si>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</si>
  <si>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</si>
  <si>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</si>
  <si>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</si>
  <si>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</si>
  <si>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</si>
  <si>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Базовая корзина</t>
  </si>
  <si>
    <t>Доп. корзина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</si>
</sst>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 vertical="center"/>
    </xf>
    <xf numFmtId="164" fontId="6" fillId="7" borderId="3" xfId="0" applyNumberFormat="1" applyFont="1" applyFill="1" applyBorder="1" applyAlignment="1">
      <alignment horizontal="center" vertical="center"/>
    </xf>
    <xf numFmtId="164" fontId="3" fillId="7" borderId="3" xfId="0" applyNumberFormat="1" applyFont="1" applyFill="1" applyBorder="1" applyAlignment="1">
      <alignment horizontal="center" vertical="center"/>
    </xf>
    <xf numFmtId="164" fontId="5" fillId="7" borderId="3" xfId="0" applyNumberFormat="1" applyFont="1" applyFill="1" applyBorder="1"/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8" borderId="0" xfId="0" applyFill="1"/>
    <xf numFmtId="164" fontId="9" fillId="0" borderId="0" xfId="0" applyNumberFormat="1" applyFont="1"/>
    <xf numFmtId="0" fontId="0" fillId="8" borderId="0" xfId="0" applyFill="1" applyAlignment="1">
      <alignment horizontal="center" vertical="center"/>
    </xf>
    <xf numFmtId="164" fontId="0" fillId="8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2" fillId="4" borderId="0" xfId="0" applyFont="1" applyFill="1" applyAlignment="1">
      <alignment horizontal="center" vertical="center"/>
    </xf>
    <xf numFmtId="164" fontId="6" fillId="6" borderId="0" xfId="0" applyNumberFormat="1" applyFont="1" applyFill="1" applyBorder="1" applyAlignment="1">
      <alignment horizontal="center" vertical="center"/>
    </xf>
    <xf numFmtId="164" fontId="6" fillId="6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S31"/>
  <sheetViews>
    <sheetView tabSelected="1" zoomScale="86" zoomScaleNormal="86" workbookViewId="0">
      <pane xSplit="2" ySplit="27" topLeftCell="C28" activePane="bottomRight" state="frozen"/>
      <selection pane="topRight" activeCell="C1" sqref="C1"/>
      <selection pane="bottomLeft" activeCell="A28" sqref="A28"/>
      <selection pane="bottomRight" activeCell="J21" sqref="J21"/>
    </sheetView>
  </sheetViews>
  <sheetFormatPr defaultRowHeight="1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>
      <c r="A1" s="31" t="s">
        <v>27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</row>
    <row r="2" spans="1:45" ht="45" customHeight="1">
      <c r="A2" s="3" t="s">
        <v>0</v>
      </c>
      <c r="B2" s="3" t="s">
        <v>1</v>
      </c>
      <c r="C2" s="3" t="s">
        <v>62</v>
      </c>
      <c r="D2" s="3" t="s">
        <v>63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24</v>
      </c>
      <c r="J2" s="3" t="s">
        <v>23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60</v>
      </c>
      <c r="P2" s="3" t="s">
        <v>17</v>
      </c>
      <c r="Q2" s="3" t="s">
        <v>18</v>
      </c>
      <c r="R2" s="3" t="s">
        <v>25</v>
      </c>
      <c r="S2" s="3" t="s">
        <v>25</v>
      </c>
      <c r="T2" s="3" t="s">
        <v>26</v>
      </c>
      <c r="U2" s="3" t="s">
        <v>22</v>
      </c>
      <c r="V2" s="3" t="s">
        <v>19</v>
      </c>
      <c r="W2" s="3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>
      <c r="A3" s="4">
        <v>5</v>
      </c>
      <c r="B3" s="4" t="s">
        <v>3</v>
      </c>
      <c r="C3" s="20"/>
      <c r="D3" s="20"/>
      <c r="E3" s="7">
        <f>183+2168</f>
        <v>2351</v>
      </c>
      <c r="F3" s="7">
        <v>3131</v>
      </c>
      <c r="G3" s="20"/>
      <c r="H3" s="7"/>
      <c r="I3" s="7">
        <v>450</v>
      </c>
      <c r="J3" s="7"/>
      <c r="K3" s="7"/>
      <c r="L3" s="7"/>
      <c r="M3" s="7">
        <v>40</v>
      </c>
      <c r="N3" s="7"/>
      <c r="O3" s="7"/>
      <c r="P3" s="7">
        <v>14418</v>
      </c>
      <c r="Q3" s="7"/>
      <c r="R3" s="7">
        <v>5000</v>
      </c>
      <c r="S3" s="7"/>
      <c r="T3" s="7"/>
      <c r="U3" s="8">
        <f t="shared" ref="U3:U26" si="0">SUM(C3:T3)</f>
        <v>25390</v>
      </c>
      <c r="V3" s="9">
        <v>53739.4</v>
      </c>
      <c r="W3" s="32">
        <f>V27-U27</f>
        <v>-12655.05000000001</v>
      </c>
    </row>
    <row r="4" spans="1:45">
      <c r="A4" s="5">
        <v>6</v>
      </c>
      <c r="B4" s="5" t="s">
        <v>4</v>
      </c>
      <c r="C4" s="14"/>
      <c r="D4" s="14"/>
      <c r="E4" s="14"/>
      <c r="F4" s="14"/>
      <c r="G4" s="14"/>
      <c r="H4" s="10"/>
      <c r="I4" s="10"/>
      <c r="J4" s="10"/>
      <c r="K4" s="10"/>
      <c r="L4" s="10"/>
      <c r="M4" s="28">
        <f>131+247</f>
        <v>378</v>
      </c>
      <c r="N4" s="10"/>
      <c r="O4" s="10"/>
      <c r="P4" s="10"/>
      <c r="Q4" s="10"/>
      <c r="R4" s="10"/>
      <c r="S4" s="10"/>
      <c r="T4" s="10"/>
      <c r="U4" s="11">
        <f t="shared" si="0"/>
        <v>378</v>
      </c>
      <c r="V4" s="12"/>
      <c r="W4" s="32"/>
    </row>
    <row r="5" spans="1:45">
      <c r="A5" s="4">
        <v>7</v>
      </c>
      <c r="B5" s="4" t="s">
        <v>5</v>
      </c>
      <c r="C5" s="20"/>
      <c r="D5" s="20"/>
      <c r="E5" s="20"/>
      <c r="F5" s="29">
        <v>1110</v>
      </c>
      <c r="G5" s="20"/>
      <c r="H5" s="7">
        <v>840</v>
      </c>
      <c r="I5" s="7"/>
      <c r="J5" s="7"/>
      <c r="K5" s="7"/>
      <c r="L5" s="7"/>
      <c r="M5" s="7">
        <f>197+259</f>
        <v>456</v>
      </c>
      <c r="N5" s="7"/>
      <c r="O5" s="7"/>
      <c r="P5" s="7"/>
      <c r="Q5" s="7"/>
      <c r="R5" s="7"/>
      <c r="S5" s="7"/>
      <c r="T5" s="7"/>
      <c r="U5" s="8">
        <f t="shared" si="0"/>
        <v>2406</v>
      </c>
      <c r="V5" s="9"/>
      <c r="W5" s="32"/>
    </row>
    <row r="6" spans="1:45">
      <c r="A6" s="5">
        <v>8</v>
      </c>
      <c r="B6" s="5" t="s">
        <v>6</v>
      </c>
      <c r="C6" s="14"/>
      <c r="D6" s="14"/>
      <c r="E6" s="28">
        <v>1006</v>
      </c>
      <c r="F6" s="14"/>
      <c r="G6" s="14"/>
      <c r="H6" s="10"/>
      <c r="I6" s="10"/>
      <c r="J6" s="10"/>
      <c r="K6" s="10"/>
      <c r="L6" s="10"/>
      <c r="M6" s="28">
        <f>221+171</f>
        <v>392</v>
      </c>
      <c r="N6" s="10"/>
      <c r="O6" s="14"/>
      <c r="P6" s="10"/>
      <c r="Q6" s="10"/>
      <c r="R6" s="10"/>
      <c r="S6" s="10"/>
      <c r="T6" s="10"/>
      <c r="U6" s="11">
        <f t="shared" si="0"/>
        <v>1398</v>
      </c>
      <c r="V6" s="12"/>
      <c r="W6" s="32"/>
    </row>
    <row r="7" spans="1:45">
      <c r="A7" s="4">
        <v>9</v>
      </c>
      <c r="B7" s="4" t="s">
        <v>7</v>
      </c>
      <c r="C7" s="20"/>
      <c r="D7" s="20"/>
      <c r="E7" s="29">
        <v>1819</v>
      </c>
      <c r="F7" s="20"/>
      <c r="G7" s="20"/>
      <c r="H7" s="7"/>
      <c r="I7" s="7"/>
      <c r="J7" s="7"/>
      <c r="K7" s="7"/>
      <c r="L7" s="7"/>
      <c r="M7" s="7">
        <v>224</v>
      </c>
      <c r="N7" s="20"/>
      <c r="O7" s="7"/>
      <c r="P7" s="7"/>
      <c r="Q7" s="7"/>
      <c r="R7" s="7">
        <v>1055</v>
      </c>
      <c r="S7" s="7"/>
      <c r="T7" s="7"/>
      <c r="U7" s="8">
        <f t="shared" si="0"/>
        <v>3098</v>
      </c>
      <c r="V7" s="9"/>
      <c r="W7" s="32"/>
    </row>
    <row r="8" spans="1:45">
      <c r="A8" s="5">
        <v>10</v>
      </c>
      <c r="B8" s="5" t="s">
        <v>8</v>
      </c>
      <c r="C8" s="14"/>
      <c r="D8" s="14"/>
      <c r="E8" s="10">
        <v>1266.9000000000001</v>
      </c>
      <c r="F8" s="10">
        <v>1345</v>
      </c>
      <c r="G8" s="14"/>
      <c r="H8" s="10"/>
      <c r="I8" s="10"/>
      <c r="J8" s="10"/>
      <c r="K8" s="10"/>
      <c r="L8" s="10"/>
      <c r="M8" s="10">
        <v>172</v>
      </c>
      <c r="N8" s="10"/>
      <c r="O8" s="10"/>
      <c r="P8" s="10"/>
      <c r="Q8" s="14"/>
      <c r="R8" s="10"/>
      <c r="S8" s="10"/>
      <c r="T8" s="10"/>
      <c r="U8" s="11">
        <f t="shared" si="0"/>
        <v>2783.9</v>
      </c>
      <c r="V8" s="12"/>
      <c r="W8" s="32"/>
    </row>
    <row r="9" spans="1:45">
      <c r="A9" s="4">
        <v>11</v>
      </c>
      <c r="B9" s="4" t="s">
        <v>2</v>
      </c>
      <c r="C9" s="20"/>
      <c r="D9" s="20"/>
      <c r="E9" s="7">
        <v>1403.84</v>
      </c>
      <c r="F9" s="20"/>
      <c r="G9" s="20"/>
      <c r="H9" s="7"/>
      <c r="I9" s="7"/>
      <c r="J9" s="7"/>
      <c r="K9" s="7"/>
      <c r="L9" s="7"/>
      <c r="M9" s="7"/>
      <c r="N9" s="7"/>
      <c r="O9" s="7"/>
      <c r="P9" s="7"/>
      <c r="Q9" s="20"/>
      <c r="R9" s="7"/>
      <c r="S9" s="7"/>
      <c r="T9" s="7"/>
      <c r="U9" s="8">
        <f t="shared" si="0"/>
        <v>1403.84</v>
      </c>
      <c r="V9" s="9"/>
      <c r="W9" s="32"/>
    </row>
    <row r="10" spans="1:45">
      <c r="A10" s="5">
        <v>12</v>
      </c>
      <c r="B10" s="5" t="s">
        <v>3</v>
      </c>
      <c r="C10" s="14"/>
      <c r="D10" s="14"/>
      <c r="E10" s="14"/>
      <c r="F10" s="10">
        <v>959</v>
      </c>
      <c r="G10" s="14"/>
      <c r="H10" s="10"/>
      <c r="I10" s="10"/>
      <c r="J10" s="10"/>
      <c r="K10" s="10"/>
      <c r="L10" s="10"/>
      <c r="M10" s="14"/>
      <c r="N10" s="10"/>
      <c r="O10" s="10"/>
      <c r="P10" s="10"/>
      <c r="Q10" s="14"/>
      <c r="R10" s="10"/>
      <c r="S10" s="10"/>
      <c r="T10" s="10"/>
      <c r="U10" s="11">
        <f t="shared" si="0"/>
        <v>959</v>
      </c>
      <c r="V10" s="12"/>
      <c r="W10" s="32"/>
    </row>
    <row r="11" spans="1:45">
      <c r="A11" s="4">
        <v>13</v>
      </c>
      <c r="B11" s="4" t="s">
        <v>4</v>
      </c>
      <c r="C11" s="20"/>
      <c r="D11" s="20"/>
      <c r="E11" s="7">
        <f>342.99+1260.98</f>
        <v>1603.97</v>
      </c>
      <c r="F11" s="20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>
        <f>773+2000+1767</f>
        <v>4540</v>
      </c>
      <c r="P11" s="7"/>
      <c r="Q11" s="20"/>
      <c r="R11" s="7"/>
      <c r="S11" s="7"/>
      <c r="T11" s="7"/>
      <c r="U11" s="8">
        <f t="shared" si="0"/>
        <v>10553.970000000001</v>
      </c>
      <c r="V11" s="9"/>
      <c r="W11" s="32"/>
    </row>
    <row r="12" spans="1:45">
      <c r="A12" s="5">
        <v>14</v>
      </c>
      <c r="B12" s="5" t="s">
        <v>5</v>
      </c>
      <c r="C12" s="14"/>
      <c r="D12" s="14"/>
      <c r="E12" s="10">
        <f>1260.98+678.97</f>
        <v>1939.95</v>
      </c>
      <c r="F12" s="10">
        <f>4500+149</f>
        <v>4649</v>
      </c>
      <c r="G12" s="14"/>
      <c r="H12" s="10"/>
      <c r="I12" s="14">
        <v>2000</v>
      </c>
      <c r="J12" s="10"/>
      <c r="K12" s="10"/>
      <c r="L12" s="10"/>
      <c r="M12" s="10">
        <f>543+421</f>
        <v>964</v>
      </c>
      <c r="N12" s="10"/>
      <c r="O12" s="10">
        <f>497</f>
        <v>497</v>
      </c>
      <c r="P12" s="10"/>
      <c r="Q12" s="10"/>
      <c r="R12" s="10"/>
      <c r="S12" s="10"/>
      <c r="T12" s="10"/>
      <c r="U12" s="11">
        <f t="shared" si="0"/>
        <v>10049.950000000001</v>
      </c>
      <c r="V12" s="12"/>
      <c r="W12" s="32"/>
    </row>
    <row r="13" spans="1:45">
      <c r="A13" s="4">
        <v>15</v>
      </c>
      <c r="B13" s="4" t="s">
        <v>6</v>
      </c>
      <c r="C13" s="20"/>
      <c r="D13" s="20"/>
      <c r="E13" s="7">
        <f>1569.79</f>
        <v>1569.79</v>
      </c>
      <c r="F13" s="20"/>
      <c r="G13" s="20"/>
      <c r="H13" s="7"/>
      <c r="I13" s="20">
        <v>2000</v>
      </c>
      <c r="J13" s="7"/>
      <c r="K13" s="7"/>
      <c r="L13" s="7"/>
      <c r="M13" s="7">
        <v>135</v>
      </c>
      <c r="N13" s="7"/>
      <c r="O13" s="7"/>
      <c r="P13" s="7"/>
      <c r="Q13" s="7"/>
      <c r="R13" s="7"/>
      <c r="S13" s="7"/>
      <c r="T13" s="7"/>
      <c r="U13" s="8">
        <f t="shared" si="0"/>
        <v>3704.79</v>
      </c>
      <c r="V13" s="9"/>
      <c r="W13" s="32"/>
    </row>
    <row r="14" spans="1:45">
      <c r="A14" s="5">
        <v>16</v>
      </c>
      <c r="B14" s="5" t="s">
        <v>7</v>
      </c>
      <c r="C14" s="14"/>
      <c r="D14" s="14"/>
      <c r="E14" s="10">
        <v>1170</v>
      </c>
      <c r="F14" s="14"/>
      <c r="G14" s="14"/>
      <c r="H14" s="10"/>
      <c r="I14" s="14">
        <v>2000</v>
      </c>
      <c r="J14" s="10"/>
      <c r="K14" s="10"/>
      <c r="L14" s="10"/>
      <c r="M14" s="10"/>
      <c r="N14" s="14"/>
      <c r="O14" s="10"/>
      <c r="P14" s="10"/>
      <c r="Q14" s="10"/>
      <c r="R14" s="10"/>
      <c r="S14" s="10"/>
      <c r="T14" s="10"/>
      <c r="U14" s="11">
        <f t="shared" si="0"/>
        <v>3170</v>
      </c>
      <c r="V14" s="12"/>
      <c r="W14" s="32"/>
    </row>
    <row r="15" spans="1:45">
      <c r="A15" s="4">
        <v>17</v>
      </c>
      <c r="B15" s="4" t="s">
        <v>8</v>
      </c>
      <c r="C15" s="20"/>
      <c r="D15" s="20"/>
      <c r="E15" s="20"/>
      <c r="F15" s="20"/>
      <c r="G15" s="20"/>
      <c r="H15" s="7"/>
      <c r="I15" s="7"/>
      <c r="J15" s="7"/>
      <c r="K15" s="7"/>
      <c r="L15" s="7"/>
      <c r="M15" s="20"/>
      <c r="N15" s="7"/>
      <c r="O15" s="7"/>
      <c r="P15" s="7"/>
      <c r="Q15" s="7"/>
      <c r="R15" s="7"/>
      <c r="S15" s="7"/>
      <c r="T15" s="7"/>
      <c r="U15" s="8">
        <f t="shared" si="0"/>
        <v>0</v>
      </c>
      <c r="V15" s="9"/>
      <c r="W15" s="32"/>
    </row>
    <row r="16" spans="1:45">
      <c r="A16" s="5">
        <v>18</v>
      </c>
      <c r="B16" s="5" t="s">
        <v>2</v>
      </c>
      <c r="C16" s="14"/>
      <c r="D16" s="14"/>
      <c r="E16" s="10">
        <v>200</v>
      </c>
      <c r="F16" s="14"/>
      <c r="G16" s="14"/>
      <c r="H16" s="10"/>
      <c r="I16" s="10"/>
      <c r="J16" s="10"/>
      <c r="K16" s="10"/>
      <c r="L16" s="10"/>
      <c r="M16" s="10">
        <v>400</v>
      </c>
      <c r="N16" s="10"/>
      <c r="O16" s="10"/>
      <c r="P16" s="10"/>
      <c r="Q16" s="10">
        <v>499</v>
      </c>
      <c r="R16" s="10"/>
      <c r="S16" s="10"/>
      <c r="T16" s="10"/>
      <c r="U16" s="11">
        <f t="shared" si="0"/>
        <v>1099</v>
      </c>
      <c r="V16" s="12"/>
      <c r="W16" s="32"/>
    </row>
    <row r="17" spans="1:23">
      <c r="A17" s="4">
        <v>19</v>
      </c>
      <c r="B17" s="4" t="s">
        <v>3</v>
      </c>
      <c r="C17" s="20"/>
      <c r="D17" s="20"/>
      <c r="E17" s="20"/>
      <c r="F17" s="20"/>
      <c r="G17" s="14"/>
      <c r="H17" s="7"/>
      <c r="I17" s="7"/>
      <c r="J17" s="7"/>
      <c r="K17" s="7"/>
      <c r="L17" s="7"/>
      <c r="M17" s="20"/>
      <c r="N17" s="7"/>
      <c r="O17" s="7"/>
      <c r="P17" s="7"/>
      <c r="Q17" s="7"/>
      <c r="R17" s="7"/>
      <c r="S17" s="7"/>
      <c r="T17" s="7"/>
      <c r="U17" s="8">
        <f t="shared" si="0"/>
        <v>0</v>
      </c>
      <c r="V17" s="9"/>
      <c r="W17" s="32"/>
    </row>
    <row r="18" spans="1:23">
      <c r="A18" s="15">
        <v>20</v>
      </c>
      <c r="B18" s="15" t="s">
        <v>4</v>
      </c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7"/>
      <c r="S18" s="16"/>
      <c r="T18" s="16"/>
      <c r="U18" s="18">
        <f t="shared" si="0"/>
        <v>0</v>
      </c>
      <c r="V18" s="19"/>
      <c r="W18" s="32"/>
    </row>
    <row r="19" spans="1:23">
      <c r="A19" s="4">
        <v>21</v>
      </c>
      <c r="B19" s="4" t="s">
        <v>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8">
        <f t="shared" si="0"/>
        <v>0</v>
      </c>
      <c r="V19" s="9"/>
      <c r="W19" s="32"/>
    </row>
    <row r="20" spans="1:23">
      <c r="A20" s="5">
        <v>22</v>
      </c>
      <c r="B20" s="5" t="s">
        <v>6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1">
        <f t="shared" si="0"/>
        <v>0</v>
      </c>
      <c r="V20" s="12"/>
      <c r="W20" s="32"/>
    </row>
    <row r="21" spans="1:23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f t="shared" si="0"/>
        <v>0</v>
      </c>
      <c r="V21" s="9"/>
      <c r="W21" s="32"/>
    </row>
    <row r="22" spans="1:23">
      <c r="A22" s="5">
        <v>24</v>
      </c>
      <c r="B22" s="5" t="s">
        <v>8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f t="shared" si="0"/>
        <v>0</v>
      </c>
      <c r="V22" s="12"/>
      <c r="W22" s="32"/>
    </row>
    <row r="23" spans="1:23">
      <c r="A23" s="4">
        <v>25</v>
      </c>
      <c r="B23" s="4" t="s">
        <v>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8">
        <f t="shared" si="0"/>
        <v>0</v>
      </c>
      <c r="V23" s="9"/>
      <c r="W23" s="32"/>
    </row>
    <row r="24" spans="1:23">
      <c r="A24" s="5">
        <v>26</v>
      </c>
      <c r="B24" s="5" t="s">
        <v>3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f t="shared" si="0"/>
        <v>0</v>
      </c>
      <c r="V24" s="12"/>
      <c r="W24" s="32"/>
    </row>
    <row r="25" spans="1:23">
      <c r="A25" s="4">
        <v>27</v>
      </c>
      <c r="B25" s="4" t="s">
        <v>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f t="shared" si="0"/>
        <v>0</v>
      </c>
      <c r="V25" s="9"/>
      <c r="W25" s="32"/>
    </row>
    <row r="26" spans="1:23">
      <c r="A26" s="5">
        <v>28</v>
      </c>
      <c r="B26" s="5" t="s">
        <v>5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f t="shared" si="0"/>
        <v>0</v>
      </c>
      <c r="V26" s="12"/>
      <c r="W26" s="32"/>
    </row>
    <row r="27" spans="1:23">
      <c r="A27" s="30" t="s">
        <v>20</v>
      </c>
      <c r="B27" s="30"/>
      <c r="C27" s="13">
        <f t="shared" ref="C27:V27" si="1">SUM(C3:C26)</f>
        <v>0</v>
      </c>
      <c r="D27" s="13">
        <f t="shared" si="1"/>
        <v>0</v>
      </c>
      <c r="E27" s="13">
        <f t="shared" si="1"/>
        <v>14330.45</v>
      </c>
      <c r="F27" s="13">
        <f t="shared" si="1"/>
        <v>11194</v>
      </c>
      <c r="G27" s="13">
        <f t="shared" si="1"/>
        <v>4410</v>
      </c>
      <c r="H27" s="13">
        <f t="shared" si="1"/>
        <v>840</v>
      </c>
      <c r="I27" s="13">
        <f t="shared" si="1"/>
        <v>6450</v>
      </c>
      <c r="J27" s="13">
        <f t="shared" si="1"/>
        <v>0</v>
      </c>
      <c r="K27" s="13">
        <f t="shared" si="1"/>
        <v>0</v>
      </c>
      <c r="L27" s="13">
        <f t="shared" si="1"/>
        <v>0</v>
      </c>
      <c r="M27" s="13">
        <f t="shared" si="1"/>
        <v>3161</v>
      </c>
      <c r="N27" s="13">
        <f t="shared" si="1"/>
        <v>0</v>
      </c>
      <c r="O27" s="13">
        <f t="shared" si="1"/>
        <v>5037</v>
      </c>
      <c r="P27" s="13">
        <f t="shared" si="1"/>
        <v>14418</v>
      </c>
      <c r="Q27" s="13">
        <f t="shared" si="1"/>
        <v>499</v>
      </c>
      <c r="R27" s="13">
        <f t="shared" si="1"/>
        <v>6055</v>
      </c>
      <c r="S27" s="13">
        <f t="shared" si="1"/>
        <v>0</v>
      </c>
      <c r="T27" s="13">
        <f t="shared" si="1"/>
        <v>0</v>
      </c>
      <c r="U27" s="13">
        <f t="shared" si="1"/>
        <v>66394.450000000012</v>
      </c>
      <c r="V27" s="13">
        <f t="shared" si="1"/>
        <v>53739.4</v>
      </c>
      <c r="W27" s="33"/>
    </row>
    <row r="31" spans="1:23">
      <c r="B31" s="6"/>
      <c r="C31" s="6"/>
      <c r="D31" s="6"/>
      <c r="E31" s="6"/>
      <c r="F31" s="6"/>
      <c r="G31" s="6"/>
      <c r="H31" s="6"/>
      <c r="I31" s="6"/>
    </row>
  </sheetData>
  <mergeCells count="3">
    <mergeCell ref="A27:B27"/>
    <mergeCell ref="A1:W1"/>
    <mergeCell ref="W3:W27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24"/>
    <col min="2" max="2" width="22.5703125" style="24" customWidth="1"/>
    <col min="3" max="3" width="12.42578125" style="24" customWidth="1"/>
    <col min="4" max="4" width="10.85546875" style="24" customWidth="1"/>
    <col min="5" max="5" width="17" style="24" bestFit="1" customWidth="1"/>
    <col min="6" max="7" width="9.140625" style="24"/>
    <col min="8" max="8" width="18.42578125" style="24" customWidth="1"/>
    <col min="9" max="9" width="13.140625" style="24" customWidth="1"/>
    <col min="10" max="10" width="9.7109375" style="24" customWidth="1"/>
    <col min="11" max="11" width="16.7109375" style="24" customWidth="1"/>
    <col min="12" max="16384" width="9.140625" style="24"/>
  </cols>
  <sheetData>
    <row r="1" spans="1:11">
      <c r="A1" s="34" t="s">
        <v>49</v>
      </c>
      <c r="B1" s="34"/>
      <c r="C1" s="34"/>
      <c r="D1" s="34"/>
      <c r="E1" s="34"/>
      <c r="G1" s="34" t="s">
        <v>50</v>
      </c>
      <c r="H1" s="34"/>
      <c r="I1" s="34"/>
      <c r="J1" s="34"/>
      <c r="K1" s="34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23">
        <v>1</v>
      </c>
      <c r="B3" t="s">
        <v>35</v>
      </c>
      <c r="C3">
        <v>1</v>
      </c>
      <c r="D3" s="21">
        <v>90</v>
      </c>
      <c r="E3" s="21">
        <f>C3*D3</f>
        <v>90</v>
      </c>
      <c r="G3" s="23">
        <v>1</v>
      </c>
      <c r="H3" t="s">
        <v>48</v>
      </c>
      <c r="I3">
        <v>1</v>
      </c>
      <c r="J3" s="21">
        <v>318</v>
      </c>
      <c r="K3" s="21">
        <f>I3*J3</f>
        <v>318</v>
      </c>
    </row>
    <row r="4" spans="1:11" ht="30">
      <c r="A4" s="23">
        <v>2</v>
      </c>
      <c r="B4" t="s">
        <v>44</v>
      </c>
      <c r="C4">
        <v>1</v>
      </c>
      <c r="D4" s="21">
        <v>90</v>
      </c>
      <c r="E4" s="21">
        <f t="shared" ref="E4:E22" si="0">C4*D4</f>
        <v>90</v>
      </c>
      <c r="G4" s="23">
        <v>2</v>
      </c>
      <c r="H4" s="22" t="s">
        <v>43</v>
      </c>
      <c r="I4">
        <v>1</v>
      </c>
      <c r="J4" s="21">
        <v>255</v>
      </c>
      <c r="K4" s="21">
        <f>I4*J4</f>
        <v>255</v>
      </c>
    </row>
    <row r="5" spans="1:11">
      <c r="A5" s="23">
        <v>3</v>
      </c>
      <c r="B5" t="s">
        <v>45</v>
      </c>
      <c r="C5">
        <v>1</v>
      </c>
      <c r="D5" s="21">
        <v>90</v>
      </c>
      <c r="E5" s="21">
        <f t="shared" si="0"/>
        <v>90</v>
      </c>
      <c r="G5" s="23">
        <v>3</v>
      </c>
      <c r="H5" t="s">
        <v>56</v>
      </c>
      <c r="I5">
        <v>1</v>
      </c>
      <c r="J5" s="21">
        <v>1200</v>
      </c>
      <c r="K5" s="21">
        <f t="shared" ref="K5:K7" si="1">I5*J5</f>
        <v>1200</v>
      </c>
    </row>
    <row r="6" spans="1:11">
      <c r="A6" s="23">
        <v>4</v>
      </c>
      <c r="B6" t="s">
        <v>46</v>
      </c>
      <c r="C6">
        <v>1</v>
      </c>
      <c r="D6" s="21">
        <v>200</v>
      </c>
      <c r="E6" s="21">
        <f t="shared" si="0"/>
        <v>200</v>
      </c>
      <c r="G6" s="23">
        <v>4</v>
      </c>
      <c r="H6" t="s">
        <v>57</v>
      </c>
      <c r="I6">
        <v>1</v>
      </c>
      <c r="J6" s="21">
        <v>1100</v>
      </c>
      <c r="K6" s="21">
        <f t="shared" si="1"/>
        <v>1100</v>
      </c>
    </row>
    <row r="7" spans="1:11">
      <c r="A7" s="23">
        <v>5</v>
      </c>
      <c r="B7" t="s">
        <v>47</v>
      </c>
      <c r="C7">
        <v>1</v>
      </c>
      <c r="D7" s="21">
        <v>200</v>
      </c>
      <c r="E7" s="21">
        <f t="shared" si="0"/>
        <v>200</v>
      </c>
      <c r="G7" s="23">
        <v>5</v>
      </c>
      <c r="H7" t="s">
        <v>52</v>
      </c>
      <c r="I7">
        <v>1</v>
      </c>
      <c r="J7" s="21">
        <v>2000</v>
      </c>
      <c r="K7" s="21">
        <f t="shared" si="1"/>
        <v>2000</v>
      </c>
    </row>
    <row r="8" spans="1:11">
      <c r="A8" s="23">
        <v>6</v>
      </c>
      <c r="B8" t="s">
        <v>34</v>
      </c>
      <c r="C8">
        <v>1</v>
      </c>
      <c r="D8" s="21">
        <v>193</v>
      </c>
      <c r="E8" s="21">
        <f t="shared" si="0"/>
        <v>193</v>
      </c>
      <c r="G8" s="36" t="s">
        <v>61</v>
      </c>
      <c r="H8" s="36"/>
      <c r="I8" s="36"/>
      <c r="J8" s="36"/>
      <c r="K8" s="25">
        <f>SUM(K3:K7)</f>
        <v>4873</v>
      </c>
    </row>
    <row r="9" spans="1:11">
      <c r="A9" s="23">
        <v>7</v>
      </c>
      <c r="B9" t="s">
        <v>36</v>
      </c>
      <c r="C9">
        <v>6</v>
      </c>
      <c r="D9" s="21">
        <v>90</v>
      </c>
      <c r="E9" s="21">
        <f t="shared" si="0"/>
        <v>540</v>
      </c>
      <c r="G9" s="26"/>
      <c r="J9" s="27"/>
      <c r="K9" s="27"/>
    </row>
    <row r="10" spans="1:11">
      <c r="A10" s="23">
        <v>8</v>
      </c>
      <c r="B10" t="s">
        <v>37</v>
      </c>
      <c r="C10">
        <v>1</v>
      </c>
      <c r="D10" s="21">
        <v>350</v>
      </c>
      <c r="E10" s="21">
        <f t="shared" si="0"/>
        <v>350</v>
      </c>
      <c r="G10" s="26"/>
      <c r="J10" s="27"/>
      <c r="K10" s="27"/>
    </row>
    <row r="11" spans="1:11">
      <c r="A11" s="23">
        <v>9</v>
      </c>
      <c r="B11" t="s">
        <v>38</v>
      </c>
      <c r="C11">
        <v>1</v>
      </c>
      <c r="D11" s="21">
        <v>250</v>
      </c>
      <c r="E11" s="21">
        <f t="shared" si="0"/>
        <v>250</v>
      </c>
      <c r="G11" s="26"/>
      <c r="J11" s="27"/>
      <c r="K11" s="27"/>
    </row>
    <row r="12" spans="1:11">
      <c r="A12" s="23">
        <v>10</v>
      </c>
      <c r="B12" t="s">
        <v>33</v>
      </c>
      <c r="C12">
        <v>1</v>
      </c>
      <c r="D12" s="21">
        <v>500</v>
      </c>
      <c r="E12" s="21">
        <f t="shared" si="0"/>
        <v>500</v>
      </c>
      <c r="G12" s="26"/>
      <c r="J12" s="27"/>
      <c r="K12" s="27"/>
    </row>
    <row r="13" spans="1:11">
      <c r="A13" s="23">
        <v>11</v>
      </c>
      <c r="B13" t="s">
        <v>39</v>
      </c>
      <c r="C13">
        <v>1</v>
      </c>
      <c r="D13" s="21">
        <v>150</v>
      </c>
      <c r="E13" s="21">
        <f t="shared" si="0"/>
        <v>150</v>
      </c>
      <c r="G13" s="26"/>
      <c r="J13" s="27"/>
      <c r="K13" s="27"/>
    </row>
    <row r="14" spans="1:11">
      <c r="A14" s="23">
        <v>12</v>
      </c>
      <c r="B14" t="s">
        <v>40</v>
      </c>
      <c r="C14">
        <v>1</v>
      </c>
      <c r="D14" s="21">
        <v>300</v>
      </c>
      <c r="E14" s="21">
        <f t="shared" si="0"/>
        <v>300</v>
      </c>
      <c r="G14" s="26"/>
      <c r="J14" s="27"/>
      <c r="K14" s="27"/>
    </row>
    <row r="15" spans="1:11">
      <c r="A15" s="23">
        <v>13</v>
      </c>
      <c r="B15" t="s">
        <v>41</v>
      </c>
      <c r="C15">
        <v>1</v>
      </c>
      <c r="D15" s="21">
        <v>350</v>
      </c>
      <c r="E15" s="21">
        <f t="shared" si="0"/>
        <v>350</v>
      </c>
      <c r="G15" s="26"/>
      <c r="J15" s="27"/>
      <c r="K15" s="27"/>
    </row>
    <row r="16" spans="1:11">
      <c r="A16" s="23">
        <v>14</v>
      </c>
      <c r="B16" t="s">
        <v>42</v>
      </c>
      <c r="C16">
        <v>1</v>
      </c>
      <c r="D16" s="21">
        <v>350</v>
      </c>
      <c r="E16" s="21">
        <f t="shared" si="0"/>
        <v>350</v>
      </c>
      <c r="G16" s="26"/>
      <c r="J16" s="27"/>
      <c r="K16" s="27"/>
    </row>
    <row r="17" spans="1:11">
      <c r="A17" s="23">
        <v>15</v>
      </c>
      <c r="B17" t="s">
        <v>51</v>
      </c>
      <c r="C17">
        <v>2</v>
      </c>
      <c r="D17" s="21">
        <v>250</v>
      </c>
      <c r="E17" s="21">
        <f t="shared" si="0"/>
        <v>500</v>
      </c>
      <c r="G17" s="26"/>
      <c r="J17" s="27"/>
      <c r="K17" s="27"/>
    </row>
    <row r="18" spans="1:11">
      <c r="A18" s="23">
        <v>16</v>
      </c>
      <c r="B18" t="s">
        <v>53</v>
      </c>
      <c r="C18">
        <v>1</v>
      </c>
      <c r="D18" s="21">
        <v>200</v>
      </c>
      <c r="E18" s="21">
        <f t="shared" si="0"/>
        <v>200</v>
      </c>
    </row>
    <row r="19" spans="1:11">
      <c r="A19" s="23">
        <v>17</v>
      </c>
      <c r="B19" t="s">
        <v>54</v>
      </c>
      <c r="C19">
        <v>1</v>
      </c>
      <c r="D19" s="21">
        <v>210</v>
      </c>
      <c r="E19" s="21">
        <f t="shared" si="0"/>
        <v>210</v>
      </c>
    </row>
    <row r="20" spans="1:11">
      <c r="A20" s="23">
        <v>18</v>
      </c>
      <c r="B20" t="s">
        <v>55</v>
      </c>
      <c r="C20">
        <v>1</v>
      </c>
      <c r="D20" s="21">
        <v>255</v>
      </c>
      <c r="E20" s="21">
        <f t="shared" si="0"/>
        <v>255</v>
      </c>
    </row>
    <row r="21" spans="1:11">
      <c r="A21" s="23">
        <v>19</v>
      </c>
      <c r="B21" t="s">
        <v>58</v>
      </c>
      <c r="C21">
        <v>1</v>
      </c>
      <c r="D21" s="21">
        <v>350</v>
      </c>
      <c r="E21" s="21">
        <f t="shared" si="0"/>
        <v>350</v>
      </c>
    </row>
    <row r="22" spans="1:11">
      <c r="A22" s="23">
        <v>20</v>
      </c>
      <c r="B22" t="s">
        <v>59</v>
      </c>
      <c r="C22">
        <v>1</v>
      </c>
      <c r="D22" s="21">
        <v>240</v>
      </c>
      <c r="E22" s="21">
        <f t="shared" si="0"/>
        <v>240</v>
      </c>
    </row>
    <row r="23" spans="1:11">
      <c r="A23" s="23">
        <v>15</v>
      </c>
      <c r="B23" t="s">
        <v>52</v>
      </c>
      <c r="C23">
        <v>3</v>
      </c>
      <c r="D23" s="21">
        <v>500</v>
      </c>
      <c r="E23" s="21">
        <f>C23*D23</f>
        <v>1500</v>
      </c>
    </row>
    <row r="24" spans="1:11">
      <c r="A24" s="35" t="s">
        <v>61</v>
      </c>
      <c r="B24" s="35"/>
      <c r="C24" s="35"/>
      <c r="D24" s="35"/>
      <c r="E24" s="25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Февраль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2026-02-19T10:49:42Z</dcterms:modified>
</cp:coreProperties>
</file>