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6" rupBuild="4507"/>
  <workbookPr filterPrivacy="1"/>
  <bookViews>
    <workbookView xWindow="0" yWindow="0" windowWidth="22260" windowHeight="12645" activeTab="2"/>
  </bookViews>
  <sheets>
    <sheet name="Февраль 2026" sheetId="3" r:id="rId1"/>
    <sheet name="Март 2026" sheetId="1" r:id="rId2"/>
    <sheet name="Апрель 2026" sheetId="4" r:id="rId3"/>
    <sheet name="Лист1" sheetId="2" r:id="rId4"/>
  </sheets>
  <calcPr calcId="125725"/>
  <extLst xmlns:x15="http://schemas.microsoft.com/office/spreadsheetml/2010/11/main">
    <ext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37" i="4"/>
  <c r="O28"/>
  <c r="O29"/>
  <c r="S21"/>
  <c r="S36" s="1"/>
  <c r="L37"/>
  <c r="X36"/>
  <c r="X37" s="1"/>
  <c r="D36"/>
  <c r="D37" s="1"/>
  <c r="E36"/>
  <c r="E37" s="1"/>
  <c r="F36"/>
  <c r="G36"/>
  <c r="H36"/>
  <c r="I36"/>
  <c r="J36"/>
  <c r="K36"/>
  <c r="L36"/>
  <c r="M36"/>
  <c r="M37" s="1"/>
  <c r="N36"/>
  <c r="P36"/>
  <c r="Q36"/>
  <c r="R36"/>
  <c r="T36"/>
  <c r="U36"/>
  <c r="V36"/>
  <c r="C36"/>
  <c r="X20"/>
  <c r="D20"/>
  <c r="E20"/>
  <c r="F20"/>
  <c r="G20"/>
  <c r="I20"/>
  <c r="J20"/>
  <c r="J37" s="1"/>
  <c r="K20"/>
  <c r="L20"/>
  <c r="M20"/>
  <c r="R20"/>
  <c r="T20"/>
  <c r="U20"/>
  <c r="C18"/>
  <c r="C16"/>
  <c r="W35"/>
  <c r="P6"/>
  <c r="P20" s="1"/>
  <c r="P7"/>
  <c r="C11"/>
  <c r="O11"/>
  <c r="O20" s="1"/>
  <c r="N11"/>
  <c r="N20" s="1"/>
  <c r="C12"/>
  <c r="R37" l="1"/>
  <c r="T37"/>
  <c r="P37"/>
  <c r="U37"/>
  <c r="G37"/>
  <c r="N37"/>
  <c r="F37"/>
  <c r="K37"/>
  <c r="C37"/>
  <c r="I37"/>
  <c r="O36"/>
  <c r="O37" s="1"/>
  <c r="C5"/>
  <c r="C4"/>
  <c r="C20" s="1"/>
  <c r="H4"/>
  <c r="H20" s="1"/>
  <c r="H37" s="1"/>
  <c r="V4" l="1"/>
  <c r="V20" s="1"/>
  <c r="V37" s="1"/>
  <c r="Q3"/>
  <c r="Q20" s="1"/>
  <c r="Q37" s="1"/>
  <c r="S3"/>
  <c r="S20" s="1"/>
  <c r="W33" l="1"/>
  <c r="W34"/>
  <c r="W32"/>
  <c r="W31"/>
  <c r="W30"/>
  <c r="W29"/>
  <c r="W28"/>
  <c r="W27"/>
  <c r="W26"/>
  <c r="W25"/>
  <c r="W24"/>
  <c r="W23"/>
  <c r="W22"/>
  <c r="W21"/>
  <c r="W19"/>
  <c r="W18"/>
  <c r="W17"/>
  <c r="W16"/>
  <c r="W15"/>
  <c r="W14"/>
  <c r="W13"/>
  <c r="W12"/>
  <c r="W11"/>
  <c r="W10"/>
  <c r="W9"/>
  <c r="W8"/>
  <c r="W7"/>
  <c r="W6"/>
  <c r="W5"/>
  <c r="W4"/>
  <c r="W3"/>
  <c r="F28" i="1"/>
  <c r="N27"/>
  <c r="C27"/>
  <c r="N25"/>
  <c r="N23"/>
  <c r="F23"/>
  <c r="C23"/>
  <c r="C20"/>
  <c r="C19"/>
  <c r="R19"/>
  <c r="C18"/>
  <c r="N17"/>
  <c r="F16"/>
  <c r="F14"/>
  <c r="C13"/>
  <c r="N11"/>
  <c r="F11"/>
  <c r="G10"/>
  <c r="S10"/>
  <c r="F10"/>
  <c r="F9"/>
  <c r="C6"/>
  <c r="D32"/>
  <c r="E32"/>
  <c r="I32"/>
  <c r="J32"/>
  <c r="K32"/>
  <c r="L32"/>
  <c r="M32"/>
  <c r="O32"/>
  <c r="P32"/>
  <c r="Q32"/>
  <c r="T32"/>
  <c r="U32"/>
  <c r="V30"/>
  <c r="V31"/>
  <c r="W20" i="4" l="1"/>
  <c r="Y20" s="1"/>
  <c r="W36"/>
  <c r="F32" i="1"/>
  <c r="R5"/>
  <c r="R32" s="1"/>
  <c r="G5"/>
  <c r="W37" i="4" l="1"/>
  <c r="Y36"/>
  <c r="Y37" s="1"/>
  <c r="N4" i="1"/>
  <c r="N32" s="1"/>
  <c r="S4"/>
  <c r="C3"/>
  <c r="V3" s="1"/>
  <c r="H32"/>
  <c r="G32"/>
  <c r="S27" i="3"/>
  <c r="F28"/>
  <c r="V5" i="1"/>
  <c r="V6"/>
  <c r="V7"/>
  <c r="V8"/>
  <c r="V9"/>
  <c r="V10"/>
  <c r="V11"/>
  <c r="V12"/>
  <c r="V13"/>
  <c r="V14"/>
  <c r="V15"/>
  <c r="V16"/>
  <c r="V18"/>
  <c r="V19"/>
  <c r="V20"/>
  <c r="V21"/>
  <c r="V22"/>
  <c r="V23"/>
  <c r="V24"/>
  <c r="V25"/>
  <c r="V26"/>
  <c r="V27"/>
  <c r="V28"/>
  <c r="V29"/>
  <c r="V4" l="1"/>
  <c r="S32"/>
  <c r="C32"/>
  <c r="W32"/>
  <c r="F23" i="3"/>
  <c r="S23"/>
  <c r="N23"/>
  <c r="N24"/>
  <c r="U25"/>
  <c r="N25"/>
  <c r="N26"/>
  <c r="L26"/>
  <c r="F31"/>
  <c r="C20"/>
  <c r="G19"/>
  <c r="V17" i="1" l="1"/>
  <c r="V32" s="1"/>
  <c r="X32" s="1"/>
  <c r="V19" i="3"/>
  <c r="V20"/>
  <c r="V21"/>
  <c r="V22"/>
  <c r="V23"/>
  <c r="V24"/>
  <c r="V25"/>
  <c r="V26"/>
  <c r="V27"/>
  <c r="V28"/>
  <c r="V29"/>
  <c r="V30"/>
  <c r="V7"/>
  <c r="V8"/>
  <c r="V9"/>
  <c r="V10"/>
  <c r="V14"/>
  <c r="V15"/>
  <c r="V16"/>
  <c r="V17"/>
  <c r="E31"/>
  <c r="H31"/>
  <c r="I31"/>
  <c r="J31"/>
  <c r="K31"/>
  <c r="L31"/>
  <c r="M31"/>
  <c r="O31"/>
  <c r="Q31"/>
  <c r="R31"/>
  <c r="S31"/>
  <c r="T31"/>
  <c r="U31"/>
  <c r="N18"/>
  <c r="V18" s="1"/>
  <c r="W18"/>
  <c r="W31" s="1"/>
  <c r="C13"/>
  <c r="V13" s="1"/>
  <c r="P12"/>
  <c r="N12"/>
  <c r="D12"/>
  <c r="D31" s="1"/>
  <c r="C12"/>
  <c r="P11"/>
  <c r="G11"/>
  <c r="G31" s="1"/>
  <c r="C11"/>
  <c r="N6"/>
  <c r="V6" s="1"/>
  <c r="N5"/>
  <c r="V5" s="1"/>
  <c r="N4"/>
  <c r="C3"/>
  <c r="V3" s="1"/>
  <c r="K7" i="2"/>
  <c r="E22"/>
  <c r="E21"/>
  <c r="K5"/>
  <c r="K6"/>
  <c r="E20"/>
  <c r="E19"/>
  <c r="E18"/>
  <c r="E17"/>
  <c r="K4"/>
  <c r="K3"/>
  <c r="E4"/>
  <c r="E5"/>
  <c r="E6"/>
  <c r="E7"/>
  <c r="E8"/>
  <c r="E9"/>
  <c r="E10"/>
  <c r="E11"/>
  <c r="E12"/>
  <c r="E13"/>
  <c r="E14"/>
  <c r="E15"/>
  <c r="E16"/>
  <c r="E23"/>
  <c r="E3"/>
  <c r="V12" i="3" l="1"/>
  <c r="P31"/>
  <c r="N31"/>
  <c r="C31"/>
  <c r="V11"/>
  <c r="K8" i="2"/>
  <c r="E24"/>
  <c r="V4" i="3"/>
  <c r="X30"/>
  <c r="V31" l="1"/>
  <c r="X17"/>
</calcChain>
</file>

<file path=xl/comments1.xml><?xml version="1.0" encoding="utf-8"?>
<comments xmlns="http://schemas.openxmlformats.org/spreadsheetml/2006/main">
  <authors>
    <author>Автор</author>
  </authors>
  <commentList>
    <comment ref="S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Долг маме
</t>
        </r>
      </text>
    </comment>
    <comment ref="P1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 14 февраля
</t>
        </r>
      </text>
    </comment>
    <comment ref="R1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
</t>
        </r>
      </text>
    </comment>
    <comment ref="P2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Дубликат ключей</t>
        </r>
      </text>
    </comment>
    <comment ref="P2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Левомеколь</t>
        </r>
      </text>
    </comment>
    <comment ref="H2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Вино
</t>
        </r>
      </text>
    </comment>
    <comment ref="J2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Газпром</t>
        </r>
      </text>
    </comment>
    <comment ref="J2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Росатом Энергосбыт</t>
        </r>
      </text>
    </comment>
    <comment ref="L2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Галстук + Брюки</t>
        </r>
      </text>
    </comment>
    <comment ref="P2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Торт Мишутка</t>
        </r>
      </text>
    </comment>
    <comment ref="J2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УК Эталон</t>
        </r>
      </text>
    </comment>
  </commentList>
</comments>
</file>

<file path=xl/comments2.xml><?xml version="1.0" encoding="utf-8"?>
<comments xmlns="http://schemas.openxmlformats.org/spreadsheetml/2006/main">
  <authors>
    <author>Автор</author>
  </authors>
  <commentList>
    <comment ref="R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 ВПН</t>
        </r>
      </text>
    </comment>
    <comment ref="F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Лапшичка</t>
        </r>
      </text>
    </comment>
    <comment ref="R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 музыка
</t>
        </r>
      </text>
    </comment>
    <comment ref="S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Покупки на работе, связанные с 8 марта</t>
        </r>
      </text>
    </comment>
    <comment ref="T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Подарок маме на 8 марта</t>
        </r>
      </text>
    </comment>
    <comment ref="G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Брекфаст бенд</t>
        </r>
      </text>
    </comment>
    <comment ref="P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Подарок на 8 марта</t>
        </r>
      </text>
    </comment>
    <comment ref="P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Цветы на 8 марта
</t>
        </r>
      </text>
    </comment>
    <comment ref="S1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Лампочки в ванную</t>
        </r>
      </text>
    </comment>
    <comment ref="A1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 этот день по сути деньги закончились</t>
        </r>
      </text>
    </comment>
    <comment ref="R1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
</t>
        </r>
      </text>
    </comment>
    <comment ref="S1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Влажные салфетки</t>
        </r>
      </text>
    </comment>
    <comment ref="R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Интернет
</t>
        </r>
      </text>
    </comment>
    <comment ref="S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Постельное белье</t>
        </r>
      </text>
    </comment>
    <comment ref="S2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Подарки Климу и Адольфу на др</t>
        </r>
      </text>
    </comment>
    <comment ref="T2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Наташе на ДР</t>
        </r>
      </text>
    </comment>
    <comment ref="S2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Подарочные пакеты</t>
        </r>
      </text>
    </comment>
    <comment ref="S2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Аптека</t>
        </r>
      </text>
    </comment>
  </commentList>
</comments>
</file>

<file path=xl/comments3.xml><?xml version="1.0" encoding="utf-8"?>
<comments xmlns="http://schemas.openxmlformats.org/spreadsheetml/2006/main">
  <authors>
    <author>Автор</author>
  </authors>
  <commentList>
    <comment ref="Q3" authorId="0">
      <text>
        <r>
          <rPr>
            <b/>
            <sz val="9"/>
            <color indexed="81"/>
            <rFont val="Tahoma"/>
            <family val="2"/>
            <charset val="204"/>
          </rPr>
          <t>Автор
Пальто + Цветы</t>
        </r>
      </text>
    </comment>
    <comment ref="S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Белье + сотовая связь + яндекс плюс
</t>
        </r>
      </text>
    </comment>
    <comment ref="T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Долг маме + штрафы за парковку
</t>
        </r>
      </text>
    </comment>
    <comment ref="U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Проиграл маме в теннис</t>
        </r>
      </text>
    </comment>
    <comment ref="H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Брекфаст бенд и макдак</t>
        </r>
      </text>
    </comment>
    <comment ref="K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за УК Эталон</t>
        </r>
      </text>
    </comment>
    <comment ref="N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Уролог</t>
        </r>
      </text>
    </comment>
    <comment ref="Q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Сдек за пальто
</t>
        </r>
      </text>
    </comment>
    <comment ref="S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 сотовую связь
</t>
        </r>
      </text>
    </comment>
    <comment ref="U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Плата за 2sub на 3 месяца
</t>
        </r>
      </text>
    </comment>
    <comment ref="V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Поход в кино</t>
        </r>
      </text>
    </comment>
    <comment ref="I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Вино
</t>
        </r>
      </text>
    </comment>
    <comment ref="S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 музыка</t>
        </r>
      </text>
    </comment>
    <comment ref="K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Вода и мусор
</t>
        </r>
      </text>
    </comment>
    <comment ref="S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ВПН
</t>
        </r>
      </text>
    </comment>
    <comment ref="H8" authorId="0">
      <text>
        <r>
          <rPr>
            <b/>
            <sz val="9"/>
            <color indexed="81"/>
            <rFont val="Tahoma"/>
            <family val="2"/>
            <charset val="204"/>
          </rPr>
          <t xml:space="preserve">круасан в пекарне
</t>
        </r>
      </text>
    </comment>
    <comment ref="E1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Додо пицца
</t>
        </r>
      </text>
    </comment>
    <comment ref="X1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дала в долг
</t>
        </r>
      </text>
    </comment>
    <comment ref="X1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Подарок от мамы</t>
        </r>
      </text>
    </comment>
    <comment ref="H1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
</t>
        </r>
      </text>
    </comment>
    <comment ref="H15" authorId="0">
      <text>
        <r>
          <rPr>
            <b/>
            <sz val="9"/>
            <color indexed="81"/>
            <rFont val="Tahoma"/>
            <family val="2"/>
            <charset val="204"/>
          </rPr>
          <t xml:space="preserve">ВАФЕЛ
</t>
        </r>
      </text>
    </comment>
    <comment ref="T15" authorId="0">
      <text>
        <r>
          <rPr>
            <sz val="9"/>
            <color indexed="81"/>
            <rFont val="Tahoma"/>
            <family val="2"/>
            <charset val="204"/>
          </rPr>
          <t xml:space="preserve">Гель для душа и журнал
</t>
        </r>
      </text>
    </comment>
    <comment ref="E1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Додо пицца</t>
        </r>
      </text>
    </comment>
    <comment ref="Q1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 роллы</t>
        </r>
      </text>
    </comment>
    <comment ref="S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Интернет</t>
        </r>
      </text>
    </comment>
    <comment ref="S2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Белье + сотовая связь
</t>
        </r>
      </text>
    </comment>
    <comment ref="T2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Книга про стиль</t>
        </r>
      </text>
    </comment>
    <comment ref="F2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Промясо</t>
        </r>
      </text>
    </comment>
    <comment ref="H2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charset val="1"/>
          </rPr>
          <t xml:space="preserve">
КФЦ</t>
        </r>
      </text>
    </comment>
    <comment ref="T2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charset val="1"/>
          </rPr>
          <t xml:space="preserve">
Журналы Чтиво и Книга про вино</t>
        </r>
      </text>
    </comment>
    <comment ref="E2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charset val="1"/>
          </rPr>
          <t xml:space="preserve">
Поке
</t>
        </r>
      </text>
    </comment>
    <comment ref="F2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charset val="1"/>
          </rPr>
          <t xml:space="preserve">
Поке
</t>
        </r>
      </text>
    </comment>
    <comment ref="E2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charset val="1"/>
          </rPr>
          <t xml:space="preserve">
До-до пицца
</t>
        </r>
      </text>
    </comment>
    <comment ref="H2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charset val="1"/>
          </rPr>
          <t xml:space="preserve">
Лапшичка</t>
        </r>
      </text>
    </comment>
    <comment ref="S2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charset val="1"/>
          </rPr>
          <t xml:space="preserve">
Яндекс Плюс</t>
        </r>
      </text>
    </comment>
    <comment ref="F3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charset val="1"/>
          </rPr>
          <t xml:space="preserve">
КФЦ</t>
        </r>
      </text>
    </comment>
  </commentList>
</comments>
</file>

<file path=xl/sharedStrings.xml><?xml version="1.0" encoding="utf-8"?>
<sst xmlns="http://schemas.openxmlformats.org/spreadsheetml/2006/main" count="210" uniqueCount="71">
  <si>
    <t>Число</t>
  </si>
  <si>
    <t>День недели</t>
  </si>
  <si>
    <t>Ср</t>
  </si>
  <si>
    <t>Чт</t>
  </si>
  <si>
    <t>Пт</t>
  </si>
  <si>
    <t>Сб</t>
  </si>
  <si>
    <t>Вс</t>
  </si>
  <si>
    <t>Пн</t>
  </si>
  <si>
    <t>Вт</t>
  </si>
  <si>
    <t>Магазин</t>
  </si>
  <si>
    <t>Доставка</t>
  </si>
  <si>
    <t>Кафе</t>
  </si>
  <si>
    <t>Бар/Клуб</t>
  </si>
  <si>
    <t>Одежда</t>
  </si>
  <si>
    <t>Медицина</t>
  </si>
  <si>
    <t>Такси</t>
  </si>
  <si>
    <t>Бензин/
Парковка</t>
  </si>
  <si>
    <t>Учеба</t>
  </si>
  <si>
    <t>Ежемесячны платежи</t>
  </si>
  <si>
    <t>Доходы</t>
  </si>
  <si>
    <t>ИТОГО</t>
  </si>
  <si>
    <t>Сальдо</t>
  </si>
  <si>
    <t>Итого Расходы</t>
  </si>
  <si>
    <t>Теннис</t>
  </si>
  <si>
    <t>Коммуналка / ЖКХ</t>
  </si>
  <si>
    <t>Другое (повседневное)</t>
  </si>
  <si>
    <t>Другое (развлечения)</t>
  </si>
  <si>
    <t>Доходы - Расходы Февраль 2026</t>
  </si>
  <si>
    <t>Наименование</t>
  </si>
  <si>
    <t>Количество</t>
  </si>
  <si>
    <t>Цена</t>
  </si>
  <si>
    <t>Всего по позиции</t>
  </si>
  <si>
    <t>№</t>
  </si>
  <si>
    <t>Курица</t>
  </si>
  <si>
    <t>Яйца</t>
  </si>
  <si>
    <t>Пшено</t>
  </si>
  <si>
    <t>Йогурт</t>
  </si>
  <si>
    <t>Ветчина</t>
  </si>
  <si>
    <t>Авокадо</t>
  </si>
  <si>
    <t>Хлеб</t>
  </si>
  <si>
    <t>Сливки</t>
  </si>
  <si>
    <t>Сыр Пармезан</t>
  </si>
  <si>
    <t>Сыр Чеддер</t>
  </si>
  <si>
    <t>Томаты в собственном соку</t>
  </si>
  <si>
    <t>Булгур</t>
  </si>
  <si>
    <t>Рис</t>
  </si>
  <si>
    <t>Макароны</t>
  </si>
  <si>
    <t>Киноа</t>
  </si>
  <si>
    <t>Сыр творожный</t>
  </si>
  <si>
    <t>Базовая корзина (на 3 дня)</t>
  </si>
  <si>
    <t>Доп. корзина  (на 7 дней)</t>
  </si>
  <si>
    <t>Булдак</t>
  </si>
  <si>
    <t>Непредвиденные</t>
  </si>
  <si>
    <t>Молоко</t>
  </si>
  <si>
    <t>Масло</t>
  </si>
  <si>
    <t>Лимон</t>
  </si>
  <si>
    <t>Вино</t>
  </si>
  <si>
    <t>Мишутка</t>
  </si>
  <si>
    <t>Шоколадка</t>
  </si>
  <si>
    <t>Вода</t>
  </si>
  <si>
    <t>Аня</t>
  </si>
  <si>
    <t>Итого</t>
  </si>
  <si>
    <t>Вкус Вилл</t>
  </si>
  <si>
    <t>Алкоголь</t>
  </si>
  <si>
    <t>Столовая (обед)</t>
  </si>
  <si>
    <t>Доходы - Расходы Март 2026</t>
  </si>
  <si>
    <t>Обед</t>
  </si>
  <si>
    <t>Синабон</t>
  </si>
  <si>
    <t>Итоги по ЗП:</t>
  </si>
  <si>
    <t>Итого по Авансу:</t>
  </si>
  <si>
    <t>ИТОГО по месяцу:</t>
  </si>
</sst>
</file>

<file path=xl/styles.xml><?xml version="1.0" encoding="utf-8"?>
<styleSheet xmlns="http://schemas.openxmlformats.org/spreadsheetml/2006/main">
  <numFmts count="1">
    <numFmt numFmtId="164" formatCode="#,##0.00\ &quot;₽&quot;"/>
  </numFmts>
  <fonts count="17">
    <font>
      <sz val="11"/>
      <color theme="1"/>
      <name val="Calibri"/>
      <family val="2"/>
      <scheme val="minor"/>
    </font>
    <font>
      <sz val="11"/>
      <color theme="0"/>
      <name val="Arial Black"/>
      <family val="2"/>
      <charset val="204"/>
    </font>
    <font>
      <sz val="20"/>
      <color rgb="FF3179E3"/>
      <name val="Arial Black"/>
      <family val="2"/>
      <charset val="204"/>
    </font>
    <font>
      <sz val="11"/>
      <color rgb="FF3179E3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FFFF00"/>
      <name val="Calibri"/>
      <family val="2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b/>
      <sz val="11"/>
      <color theme="1"/>
      <name val="Calibri"/>
      <family val="2"/>
      <charset val="204"/>
      <scheme val="minor"/>
    </font>
    <font>
      <sz val="11"/>
      <color theme="2" tint="-0.249977111117893"/>
      <name val="Calibri"/>
      <family val="2"/>
      <scheme val="minor"/>
    </font>
    <font>
      <sz val="20"/>
      <color theme="6" tint="0.39997558519241921"/>
      <name val="Arial Black"/>
      <family val="2"/>
      <charset val="204"/>
    </font>
    <font>
      <sz val="11"/>
      <color theme="1" tint="4.9989318521683403E-2"/>
      <name val="Calibri"/>
      <family val="2"/>
      <scheme val="minor"/>
    </font>
    <font>
      <sz val="11"/>
      <color theme="0" tint="-4.9989318521683403E-2"/>
      <name val="Arial Black"/>
      <family val="2"/>
      <charset val="204"/>
    </font>
    <font>
      <b/>
      <sz val="11"/>
      <color theme="1" tint="4.9989318521683403E-2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sz val="9"/>
      <color indexed="81"/>
      <name val="Tahoma"/>
      <charset val="1"/>
    </font>
  </fonts>
  <fills count="16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rgb="FF3179E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4B79E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rgb="FF134873"/>
      </left>
      <right style="thin">
        <color rgb="FF134873"/>
      </right>
      <top style="thin">
        <color rgb="FF134873"/>
      </top>
      <bottom/>
      <diagonal/>
    </border>
    <border>
      <left/>
      <right/>
      <top/>
      <bottom style="thin">
        <color rgb="FF062D4E"/>
      </bottom>
      <diagonal/>
    </border>
    <border>
      <left style="thin">
        <color theme="1" tint="0.14999847407452621"/>
      </left>
      <right style="thin">
        <color theme="1" tint="0.14999847407452621"/>
      </right>
      <top style="thin">
        <color theme="1" tint="0.14999847407452621"/>
      </top>
      <bottom style="thin">
        <color theme="1" tint="0.14999847407452621"/>
      </bottom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0" fillId="2" borderId="0" xfId="0" applyFill="1" applyAlignment="1">
      <alignment horizontal="center" vertical="center" wrapText="1"/>
    </xf>
    <xf numFmtId="0" fontId="0" fillId="2" borderId="0" xfId="0" applyFill="1"/>
    <xf numFmtId="0" fontId="1" fillId="3" borderId="1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0" fillId="2" borderId="0" xfId="0" applyFill="1" applyAlignment="1"/>
    <xf numFmtId="164" fontId="4" fillId="6" borderId="3" xfId="0" applyNumberFormat="1" applyFont="1" applyFill="1" applyBorder="1" applyAlignment="1">
      <alignment horizontal="center" vertical="center"/>
    </xf>
    <xf numFmtId="164" fontId="3" fillId="6" borderId="3" xfId="0" applyNumberFormat="1" applyFont="1" applyFill="1" applyBorder="1" applyAlignment="1">
      <alignment horizontal="center" vertical="center"/>
    </xf>
    <xf numFmtId="164" fontId="5" fillId="6" borderId="3" xfId="0" applyNumberFormat="1" applyFont="1" applyFill="1" applyBorder="1"/>
    <xf numFmtId="164" fontId="4" fillId="5" borderId="3" xfId="0" applyNumberFormat="1" applyFont="1" applyFill="1" applyBorder="1" applyAlignment="1">
      <alignment horizontal="center" vertical="center"/>
    </xf>
    <xf numFmtId="164" fontId="3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/>
    <xf numFmtId="164" fontId="3" fillId="6" borderId="3" xfId="0" applyNumberFormat="1" applyFont="1" applyFill="1" applyBorder="1"/>
    <xf numFmtId="164" fontId="6" fillId="5" borderId="3" xfId="0" applyNumberFormat="1" applyFont="1" applyFill="1" applyBorder="1" applyAlignment="1">
      <alignment horizontal="center" vertical="center"/>
    </xf>
    <xf numFmtId="164" fontId="6" fillId="6" borderId="3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0" fillId="7" borderId="0" xfId="0" applyFill="1"/>
    <xf numFmtId="164" fontId="9" fillId="0" borderId="0" xfId="0" applyNumberFormat="1" applyFont="1"/>
    <xf numFmtId="0" fontId="0" fillId="7" borderId="0" xfId="0" applyFill="1" applyAlignment="1">
      <alignment horizontal="center" vertical="center"/>
    </xf>
    <xf numFmtId="164" fontId="0" fillId="7" borderId="0" xfId="0" applyNumberFormat="1" applyFill="1"/>
    <xf numFmtId="164" fontId="10" fillId="5" borderId="3" xfId="0" applyNumberFormat="1" applyFont="1" applyFill="1" applyBorder="1" applyAlignment="1">
      <alignment horizontal="center" vertical="center"/>
    </xf>
    <xf numFmtId="164" fontId="10" fillId="6" borderId="3" xfId="0" applyNumberFormat="1" applyFont="1" applyFill="1" applyBorder="1" applyAlignment="1">
      <alignment horizontal="center" vertical="center"/>
    </xf>
    <xf numFmtId="164" fontId="6" fillId="6" borderId="0" xfId="0" applyNumberFormat="1" applyFont="1" applyFill="1" applyBorder="1" applyAlignment="1">
      <alignment vertical="center"/>
    </xf>
    <xf numFmtId="164" fontId="6" fillId="6" borderId="2" xfId="0" applyNumberFormat="1" applyFont="1" applyFill="1" applyBorder="1" applyAlignment="1">
      <alignment vertical="center"/>
    </xf>
    <xf numFmtId="0" fontId="3" fillId="8" borderId="3" xfId="0" applyFont="1" applyFill="1" applyBorder="1" applyAlignment="1">
      <alignment horizontal="center" vertical="center"/>
    </xf>
    <xf numFmtId="164" fontId="6" fillId="8" borderId="3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3" fillId="8" borderId="3" xfId="0" applyNumberFormat="1" applyFont="1" applyFill="1" applyBorder="1" applyAlignment="1">
      <alignment horizontal="center" vertical="center"/>
    </xf>
    <xf numFmtId="164" fontId="5" fillId="8" borderId="3" xfId="0" applyNumberFormat="1" applyFont="1" applyFill="1" applyBorder="1"/>
    <xf numFmtId="164" fontId="6" fillId="8" borderId="0" xfId="0" applyNumberFormat="1" applyFont="1" applyFill="1" applyBorder="1" applyAlignment="1">
      <alignment vertical="center"/>
    </xf>
    <xf numFmtId="0" fontId="12" fillId="10" borderId="4" xfId="0" applyFont="1" applyFill="1" applyBorder="1" applyAlignment="1">
      <alignment horizontal="center" vertical="center"/>
    </xf>
    <xf numFmtId="164" fontId="12" fillId="10" borderId="4" xfId="0" applyNumberFormat="1" applyFont="1" applyFill="1" applyBorder="1" applyAlignment="1">
      <alignment horizontal="center" vertical="center"/>
    </xf>
    <xf numFmtId="164" fontId="12" fillId="10" borderId="4" xfId="0" applyNumberFormat="1" applyFont="1" applyFill="1" applyBorder="1"/>
    <xf numFmtId="164" fontId="12" fillId="10" borderId="4" xfId="0" applyNumberFormat="1" applyFont="1" applyFill="1" applyBorder="1" applyAlignment="1">
      <alignment horizontal="center"/>
    </xf>
    <xf numFmtId="0" fontId="13" fillId="9" borderId="1" xfId="0" applyFont="1" applyFill="1" applyBorder="1" applyAlignment="1">
      <alignment horizontal="center" vertical="center" wrapText="1"/>
    </xf>
    <xf numFmtId="164" fontId="12" fillId="10" borderId="4" xfId="0" applyNumberFormat="1" applyFont="1" applyFill="1" applyBorder="1" applyAlignment="1">
      <alignment vertical="center"/>
    </xf>
    <xf numFmtId="0" fontId="12" fillId="11" borderId="4" xfId="0" applyFont="1" applyFill="1" applyBorder="1" applyAlignment="1">
      <alignment horizontal="center" vertical="center"/>
    </xf>
    <xf numFmtId="164" fontId="12" fillId="11" borderId="4" xfId="0" applyNumberFormat="1" applyFont="1" applyFill="1" applyBorder="1" applyAlignment="1">
      <alignment horizontal="center" vertical="center"/>
    </xf>
    <xf numFmtId="164" fontId="12" fillId="11" borderId="4" xfId="0" applyNumberFormat="1" applyFont="1" applyFill="1" applyBorder="1"/>
    <xf numFmtId="164" fontId="12" fillId="11" borderId="4" xfId="0" applyNumberFormat="1" applyFont="1" applyFill="1" applyBorder="1" applyAlignment="1">
      <alignment vertical="center"/>
    </xf>
    <xf numFmtId="0" fontId="12" fillId="12" borderId="4" xfId="0" applyFont="1" applyFill="1" applyBorder="1" applyAlignment="1">
      <alignment horizontal="center" vertical="center"/>
    </xf>
    <xf numFmtId="164" fontId="12" fillId="12" borderId="4" xfId="0" applyNumberFormat="1" applyFont="1" applyFill="1" applyBorder="1" applyAlignment="1">
      <alignment horizontal="center" vertical="center"/>
    </xf>
    <xf numFmtId="164" fontId="12" fillId="12" borderId="4" xfId="0" applyNumberFormat="1" applyFont="1" applyFill="1" applyBorder="1"/>
    <xf numFmtId="164" fontId="12" fillId="12" borderId="4" xfId="0" applyNumberFormat="1" applyFont="1" applyFill="1" applyBorder="1" applyAlignment="1">
      <alignment vertical="center"/>
    </xf>
    <xf numFmtId="0" fontId="12" fillId="13" borderId="4" xfId="0" applyFont="1" applyFill="1" applyBorder="1" applyAlignment="1">
      <alignment horizontal="center" vertical="center"/>
    </xf>
    <xf numFmtId="164" fontId="12" fillId="13" borderId="4" xfId="0" applyNumberFormat="1" applyFont="1" applyFill="1" applyBorder="1" applyAlignment="1">
      <alignment horizontal="center" vertical="center"/>
    </xf>
    <xf numFmtId="164" fontId="12" fillId="13" borderId="4" xfId="0" applyNumberFormat="1" applyFont="1" applyFill="1" applyBorder="1"/>
    <xf numFmtId="164" fontId="12" fillId="13" borderId="4" xfId="0" applyNumberFormat="1" applyFont="1" applyFill="1" applyBorder="1" applyAlignment="1">
      <alignment vertical="center"/>
    </xf>
    <xf numFmtId="164" fontId="0" fillId="2" borderId="0" xfId="0" applyNumberFormat="1" applyFill="1"/>
    <xf numFmtId="164" fontId="14" fillId="14" borderId="4" xfId="0" applyNumberFormat="1" applyFont="1" applyFill="1" applyBorder="1" applyAlignment="1">
      <alignment horizontal="center" vertical="center"/>
    </xf>
    <xf numFmtId="164" fontId="14" fillId="14" borderId="4" xfId="0" applyNumberFormat="1" applyFont="1" applyFill="1" applyBorder="1"/>
    <xf numFmtId="164" fontId="15" fillId="14" borderId="4" xfId="0" applyNumberFormat="1" applyFont="1" applyFill="1" applyBorder="1" applyAlignment="1">
      <alignment vertical="center"/>
    </xf>
    <xf numFmtId="164" fontId="14" fillId="15" borderId="4" xfId="0" applyNumberFormat="1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3" fillId="6" borderId="3" xfId="0" applyFont="1" applyFill="1" applyBorder="1" applyAlignment="1">
      <alignment horizontal="right"/>
    </xf>
    <xf numFmtId="0" fontId="12" fillId="10" borderId="4" xfId="0" applyFont="1" applyFill="1" applyBorder="1" applyAlignment="1">
      <alignment horizontal="right"/>
    </xf>
    <xf numFmtId="0" fontId="11" fillId="8" borderId="0" xfId="0" applyFont="1" applyFill="1" applyAlignment="1">
      <alignment horizontal="center" vertical="center"/>
    </xf>
    <xf numFmtId="0" fontId="14" fillId="15" borderId="4" xfId="0" applyFont="1" applyFill="1" applyBorder="1" applyAlignment="1">
      <alignment horizontal="right" vertical="center"/>
    </xf>
    <xf numFmtId="0" fontId="14" fillId="14" borderId="5" xfId="0" applyFont="1" applyFill="1" applyBorder="1" applyAlignment="1">
      <alignment horizontal="right" vertical="center"/>
    </xf>
    <xf numFmtId="0" fontId="14" fillId="14" borderId="6" xfId="0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9" fillId="0" borderId="0" xfId="0" applyFont="1" applyAlignment="1">
      <alignment horizontal="right"/>
    </xf>
    <xf numFmtId="0" fontId="9" fillId="0" borderId="0" xfId="0" applyFont="1" applyAlignment="1">
      <alignment horizontal="right" vertical="center"/>
    </xf>
  </cellXfs>
  <cellStyles count="1">
    <cellStyle name="Обычный" xfId="0" builtinId="0"/>
  </cellStyles>
  <dxfs count="0"/>
  <tableStyles count="0" defaultTableStyle="TableStyleMedium2" defaultPivotStyle="PivotStyleLight16"/>
  <colors>
    <mruColors>
      <color rgb="FFF4B79E"/>
      <color rgb="FF062D4E"/>
      <color rgb="FF094679"/>
      <color rgb="FF7BB7E9"/>
      <color rgb="FF3179E3"/>
      <color rgb="FF13487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T35"/>
  <sheetViews>
    <sheetView zoomScale="86" zoomScaleNormal="86" workbookViewId="0">
      <pane xSplit="2" ySplit="31" topLeftCell="C32" activePane="bottomRight" state="frozen"/>
      <selection pane="topRight" activeCell="C1" sqref="C1"/>
      <selection pane="bottomLeft" activeCell="A28" sqref="A28"/>
      <selection pane="bottomRight" activeCell="J3" sqref="J3"/>
    </sheetView>
  </sheetViews>
  <sheetFormatPr defaultRowHeight="15"/>
  <cols>
    <col min="1" max="24" width="20.7109375" style="2" customWidth="1"/>
    <col min="25" max="36" width="12.7109375" style="2" customWidth="1"/>
    <col min="37" max="16384" width="9.140625" style="2"/>
  </cols>
  <sheetData>
    <row r="1" spans="1:46" ht="60.75" customHeight="1">
      <c r="A1" s="56" t="s">
        <v>27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</row>
    <row r="2" spans="1:46" ht="45" customHeight="1">
      <c r="A2" s="3" t="s">
        <v>0</v>
      </c>
      <c r="B2" s="3" t="s">
        <v>1</v>
      </c>
      <c r="C2" s="3" t="s">
        <v>9</v>
      </c>
      <c r="D2" s="3" t="s">
        <v>10</v>
      </c>
      <c r="E2" s="3" t="s">
        <v>62</v>
      </c>
      <c r="F2" s="3" t="s">
        <v>64</v>
      </c>
      <c r="G2" s="3" t="s">
        <v>11</v>
      </c>
      <c r="H2" s="3" t="s">
        <v>63</v>
      </c>
      <c r="I2" s="3" t="s">
        <v>12</v>
      </c>
      <c r="J2" s="3" t="s">
        <v>24</v>
      </c>
      <c r="K2" s="3" t="s">
        <v>23</v>
      </c>
      <c r="L2" s="3" t="s">
        <v>13</v>
      </c>
      <c r="M2" s="3" t="s">
        <v>14</v>
      </c>
      <c r="N2" s="3" t="s">
        <v>15</v>
      </c>
      <c r="O2" s="3" t="s">
        <v>16</v>
      </c>
      <c r="P2" s="3" t="s">
        <v>60</v>
      </c>
      <c r="Q2" s="3" t="s">
        <v>17</v>
      </c>
      <c r="R2" s="3" t="s">
        <v>18</v>
      </c>
      <c r="S2" s="3" t="s">
        <v>25</v>
      </c>
      <c r="T2" s="3" t="s">
        <v>25</v>
      </c>
      <c r="U2" s="3" t="s">
        <v>26</v>
      </c>
      <c r="V2" s="3" t="s">
        <v>22</v>
      </c>
      <c r="W2" s="3" t="s">
        <v>19</v>
      </c>
      <c r="X2" s="3" t="s">
        <v>21</v>
      </c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</row>
    <row r="3" spans="1:46">
      <c r="A3" s="27">
        <v>5</v>
      </c>
      <c r="B3" s="27" t="s">
        <v>3</v>
      </c>
      <c r="C3" s="29">
        <f>183+2168</f>
        <v>2351</v>
      </c>
      <c r="D3" s="29">
        <v>3131</v>
      </c>
      <c r="E3" s="29"/>
      <c r="F3" s="29"/>
      <c r="G3" s="28"/>
      <c r="H3" s="28"/>
      <c r="I3" s="29"/>
      <c r="J3" s="29">
        <v>450</v>
      </c>
      <c r="K3" s="29"/>
      <c r="L3" s="29"/>
      <c r="M3" s="29"/>
      <c r="N3" s="29">
        <v>40</v>
      </c>
      <c r="O3" s="29"/>
      <c r="P3" s="29"/>
      <c r="Q3" s="29">
        <v>14418</v>
      </c>
      <c r="R3" s="29"/>
      <c r="S3" s="29">
        <v>5000</v>
      </c>
      <c r="T3" s="29"/>
      <c r="U3" s="29"/>
      <c r="V3" s="30">
        <f>SUM(C3:U3)</f>
        <v>25390</v>
      </c>
      <c r="W3" s="31">
        <v>53739.4</v>
      </c>
      <c r="X3" s="25"/>
    </row>
    <row r="4" spans="1:46">
      <c r="A4" s="5">
        <v>6</v>
      </c>
      <c r="B4" s="5" t="s">
        <v>4</v>
      </c>
      <c r="C4" s="14"/>
      <c r="D4" s="14"/>
      <c r="E4" s="14"/>
      <c r="F4" s="14"/>
      <c r="G4" s="14"/>
      <c r="H4" s="14"/>
      <c r="I4" s="10"/>
      <c r="J4" s="10"/>
      <c r="K4" s="10"/>
      <c r="L4" s="10"/>
      <c r="M4" s="10"/>
      <c r="N4" s="23">
        <f>131+247</f>
        <v>378</v>
      </c>
      <c r="O4" s="10"/>
      <c r="P4" s="10"/>
      <c r="Q4" s="10"/>
      <c r="R4" s="10"/>
      <c r="S4" s="10"/>
      <c r="T4" s="10"/>
      <c r="U4" s="10"/>
      <c r="V4" s="11">
        <f>SUM(C4:U4)</f>
        <v>378</v>
      </c>
      <c r="W4" s="12"/>
      <c r="X4" s="25"/>
    </row>
    <row r="5" spans="1:46">
      <c r="A5" s="4">
        <v>7</v>
      </c>
      <c r="B5" s="4" t="s">
        <v>5</v>
      </c>
      <c r="C5" s="15"/>
      <c r="D5" s="24">
        <v>1110</v>
      </c>
      <c r="E5" s="24"/>
      <c r="F5" s="24"/>
      <c r="G5" s="15"/>
      <c r="H5" s="15"/>
      <c r="I5" s="7">
        <v>840</v>
      </c>
      <c r="J5" s="7"/>
      <c r="K5" s="7"/>
      <c r="L5" s="7"/>
      <c r="M5" s="7"/>
      <c r="N5" s="7">
        <f>197+259</f>
        <v>456</v>
      </c>
      <c r="O5" s="7"/>
      <c r="P5" s="7"/>
      <c r="Q5" s="7"/>
      <c r="R5" s="7"/>
      <c r="S5" s="7"/>
      <c r="T5" s="7"/>
      <c r="U5" s="7"/>
      <c r="V5" s="8">
        <f>SUM(C5:U5)</f>
        <v>2406</v>
      </c>
      <c r="W5" s="9"/>
      <c r="X5" s="25"/>
    </row>
    <row r="6" spans="1:46">
      <c r="A6" s="5">
        <v>8</v>
      </c>
      <c r="B6" s="5" t="s">
        <v>6</v>
      </c>
      <c r="C6" s="23">
        <v>1006</v>
      </c>
      <c r="D6" s="14"/>
      <c r="E6" s="14"/>
      <c r="F6" s="14"/>
      <c r="G6" s="14"/>
      <c r="H6" s="14"/>
      <c r="I6" s="10"/>
      <c r="J6" s="10"/>
      <c r="K6" s="10"/>
      <c r="L6" s="10"/>
      <c r="M6" s="10"/>
      <c r="N6" s="23">
        <f>221+171</f>
        <v>392</v>
      </c>
      <c r="O6" s="10"/>
      <c r="P6" s="14"/>
      <c r="Q6" s="10"/>
      <c r="R6" s="10"/>
      <c r="S6" s="10"/>
      <c r="T6" s="10"/>
      <c r="U6" s="10"/>
      <c r="V6" s="11">
        <f t="shared" ref="V6:V17" si="0">SUM(C6:U6)</f>
        <v>1398</v>
      </c>
      <c r="W6" s="12"/>
      <c r="X6" s="25"/>
    </row>
    <row r="7" spans="1:46">
      <c r="A7" s="4">
        <v>9</v>
      </c>
      <c r="B7" s="4" t="s">
        <v>7</v>
      </c>
      <c r="C7" s="24">
        <v>1819</v>
      </c>
      <c r="D7" s="15"/>
      <c r="E7" s="15"/>
      <c r="F7" s="15"/>
      <c r="G7" s="15"/>
      <c r="H7" s="15"/>
      <c r="I7" s="7"/>
      <c r="J7" s="7"/>
      <c r="K7" s="7"/>
      <c r="L7" s="7"/>
      <c r="M7" s="7"/>
      <c r="N7" s="7">
        <v>224</v>
      </c>
      <c r="O7" s="15"/>
      <c r="P7" s="7"/>
      <c r="Q7" s="7"/>
      <c r="R7" s="7"/>
      <c r="S7" s="7">
        <v>1055</v>
      </c>
      <c r="T7" s="7"/>
      <c r="U7" s="7"/>
      <c r="V7" s="8">
        <f t="shared" si="0"/>
        <v>3098</v>
      </c>
      <c r="W7" s="9"/>
      <c r="X7" s="25"/>
    </row>
    <row r="8" spans="1:46">
      <c r="A8" s="5">
        <v>10</v>
      </c>
      <c r="B8" s="5" t="s">
        <v>8</v>
      </c>
      <c r="C8" s="10">
        <v>1266.9000000000001</v>
      </c>
      <c r="D8" s="10">
        <v>1345</v>
      </c>
      <c r="E8" s="10"/>
      <c r="F8" s="10"/>
      <c r="G8" s="14"/>
      <c r="H8" s="14"/>
      <c r="I8" s="10"/>
      <c r="J8" s="10"/>
      <c r="K8" s="10"/>
      <c r="L8" s="10"/>
      <c r="M8" s="10"/>
      <c r="N8" s="10">
        <v>172</v>
      </c>
      <c r="O8" s="10"/>
      <c r="P8" s="10"/>
      <c r="Q8" s="10"/>
      <c r="R8" s="14"/>
      <c r="S8" s="10"/>
      <c r="T8" s="10"/>
      <c r="U8" s="10"/>
      <c r="V8" s="11">
        <f t="shared" si="0"/>
        <v>2783.9</v>
      </c>
      <c r="W8" s="12"/>
      <c r="X8" s="25"/>
    </row>
    <row r="9" spans="1:46">
      <c r="A9" s="4">
        <v>11</v>
      </c>
      <c r="B9" s="4" t="s">
        <v>2</v>
      </c>
      <c r="C9" s="7">
        <v>1403.84</v>
      </c>
      <c r="D9" s="15"/>
      <c r="E9" s="15"/>
      <c r="F9" s="15"/>
      <c r="G9" s="15"/>
      <c r="H9" s="15"/>
      <c r="I9" s="7"/>
      <c r="J9" s="7"/>
      <c r="K9" s="7"/>
      <c r="L9" s="7"/>
      <c r="M9" s="7"/>
      <c r="N9" s="7"/>
      <c r="O9" s="7"/>
      <c r="P9" s="7"/>
      <c r="Q9" s="7"/>
      <c r="R9" s="15"/>
      <c r="S9" s="7"/>
      <c r="T9" s="7"/>
      <c r="U9" s="7"/>
      <c r="V9" s="8">
        <f t="shared" si="0"/>
        <v>1403.84</v>
      </c>
      <c r="W9" s="9"/>
      <c r="X9" s="25"/>
    </row>
    <row r="10" spans="1:46">
      <c r="A10" s="5">
        <v>12</v>
      </c>
      <c r="B10" s="5" t="s">
        <v>3</v>
      </c>
      <c r="C10" s="14"/>
      <c r="D10" s="10">
        <v>959</v>
      </c>
      <c r="E10" s="10"/>
      <c r="F10" s="10"/>
      <c r="G10" s="14"/>
      <c r="H10" s="14"/>
      <c r="I10" s="10"/>
      <c r="J10" s="10"/>
      <c r="K10" s="10"/>
      <c r="L10" s="10"/>
      <c r="M10" s="10"/>
      <c r="N10" s="14"/>
      <c r="O10" s="10"/>
      <c r="P10" s="10"/>
      <c r="Q10" s="10"/>
      <c r="R10" s="14"/>
      <c r="S10" s="10"/>
      <c r="T10" s="10"/>
      <c r="U10" s="10"/>
      <c r="V10" s="11">
        <f t="shared" si="0"/>
        <v>959</v>
      </c>
      <c r="W10" s="12"/>
      <c r="X10" s="25"/>
    </row>
    <row r="11" spans="1:46">
      <c r="A11" s="4">
        <v>13</v>
      </c>
      <c r="B11" s="4" t="s">
        <v>4</v>
      </c>
      <c r="C11" s="7">
        <f>342.99+1260.98</f>
        <v>1603.97</v>
      </c>
      <c r="D11" s="15"/>
      <c r="E11" s="15"/>
      <c r="F11" s="15"/>
      <c r="G11" s="7">
        <f>3980+430</f>
        <v>4410</v>
      </c>
      <c r="H11" s="7"/>
      <c r="I11" s="7"/>
      <c r="J11" s="7"/>
      <c r="K11" s="7"/>
      <c r="L11" s="7"/>
      <c r="M11" s="7"/>
      <c r="N11" s="7"/>
      <c r="O11" s="7"/>
      <c r="P11" s="7">
        <f>773+2000+1767</f>
        <v>4540</v>
      </c>
      <c r="Q11" s="7"/>
      <c r="R11" s="15"/>
      <c r="S11" s="7"/>
      <c r="T11" s="7"/>
      <c r="U11" s="7"/>
      <c r="V11" s="8">
        <f t="shared" si="0"/>
        <v>10553.970000000001</v>
      </c>
      <c r="W11" s="9"/>
      <c r="X11" s="25"/>
    </row>
    <row r="12" spans="1:46">
      <c r="A12" s="5">
        <v>14</v>
      </c>
      <c r="B12" s="5" t="s">
        <v>5</v>
      </c>
      <c r="C12" s="10">
        <f>1260.98+678.97</f>
        <v>1939.95</v>
      </c>
      <c r="D12" s="10">
        <f>4500+149</f>
        <v>4649</v>
      </c>
      <c r="E12" s="10"/>
      <c r="F12" s="10"/>
      <c r="G12" s="14"/>
      <c r="H12" s="14"/>
      <c r="I12" s="10"/>
      <c r="J12" s="14"/>
      <c r="K12" s="10"/>
      <c r="L12" s="10"/>
      <c r="M12" s="10"/>
      <c r="N12" s="10">
        <f>543+421</f>
        <v>964</v>
      </c>
      <c r="O12" s="10"/>
      <c r="P12" s="10">
        <f>497</f>
        <v>497</v>
      </c>
      <c r="Q12" s="10"/>
      <c r="R12" s="10"/>
      <c r="S12" s="10"/>
      <c r="T12" s="10"/>
      <c r="U12" s="10"/>
      <c r="V12" s="11">
        <f t="shared" si="0"/>
        <v>8049.95</v>
      </c>
      <c r="W12" s="12"/>
      <c r="X12" s="25"/>
    </row>
    <row r="13" spans="1:46">
      <c r="A13" s="4">
        <v>15</v>
      </c>
      <c r="B13" s="4" t="s">
        <v>6</v>
      </c>
      <c r="C13" s="7">
        <f>1569.79</f>
        <v>1569.79</v>
      </c>
      <c r="D13" s="15"/>
      <c r="E13" s="15"/>
      <c r="F13" s="15"/>
      <c r="G13" s="15"/>
      <c r="H13" s="15"/>
      <c r="I13" s="7"/>
      <c r="J13" s="15"/>
      <c r="K13" s="7"/>
      <c r="L13" s="7"/>
      <c r="M13" s="7"/>
      <c r="N13" s="7">
        <v>135</v>
      </c>
      <c r="O13" s="7"/>
      <c r="P13" s="7"/>
      <c r="Q13" s="7"/>
      <c r="R13" s="7"/>
      <c r="S13" s="7"/>
      <c r="T13" s="7"/>
      <c r="U13" s="7"/>
      <c r="V13" s="8">
        <f t="shared" si="0"/>
        <v>1704.79</v>
      </c>
      <c r="W13" s="9"/>
      <c r="X13" s="25"/>
    </row>
    <row r="14" spans="1:46">
      <c r="A14" s="5">
        <v>16</v>
      </c>
      <c r="B14" s="5" t="s">
        <v>7</v>
      </c>
      <c r="C14" s="10">
        <v>1170</v>
      </c>
      <c r="D14" s="14"/>
      <c r="E14" s="14"/>
      <c r="F14" s="14"/>
      <c r="G14" s="14"/>
      <c r="H14" s="14"/>
      <c r="I14" s="10"/>
      <c r="J14" s="14"/>
      <c r="K14" s="10"/>
      <c r="L14" s="10"/>
      <c r="M14" s="10"/>
      <c r="N14" s="10"/>
      <c r="O14" s="14"/>
      <c r="P14" s="10"/>
      <c r="Q14" s="10"/>
      <c r="R14" s="10"/>
      <c r="S14" s="10"/>
      <c r="T14" s="10"/>
      <c r="U14" s="10"/>
      <c r="V14" s="11">
        <f t="shared" si="0"/>
        <v>1170</v>
      </c>
      <c r="W14" s="12"/>
      <c r="X14" s="25"/>
    </row>
    <row r="15" spans="1:46">
      <c r="A15" s="4">
        <v>17</v>
      </c>
      <c r="B15" s="4" t="s">
        <v>8</v>
      </c>
      <c r="C15" s="15"/>
      <c r="D15" s="15"/>
      <c r="E15" s="15"/>
      <c r="F15" s="15"/>
      <c r="G15" s="15"/>
      <c r="H15" s="15"/>
      <c r="I15" s="7"/>
      <c r="J15" s="7"/>
      <c r="K15" s="7"/>
      <c r="L15" s="7"/>
      <c r="M15" s="7"/>
      <c r="N15" s="15"/>
      <c r="O15" s="7"/>
      <c r="P15" s="7"/>
      <c r="Q15" s="7"/>
      <c r="R15" s="7"/>
      <c r="S15" s="7"/>
      <c r="T15" s="7"/>
      <c r="U15" s="7"/>
      <c r="V15" s="8">
        <f t="shared" si="0"/>
        <v>0</v>
      </c>
      <c r="W15" s="9"/>
      <c r="X15" s="25"/>
    </row>
    <row r="16" spans="1:46">
      <c r="A16" s="5">
        <v>18</v>
      </c>
      <c r="B16" s="5" t="s">
        <v>2</v>
      </c>
      <c r="C16" s="10">
        <v>200</v>
      </c>
      <c r="D16" s="14"/>
      <c r="E16" s="14"/>
      <c r="F16" s="14"/>
      <c r="G16" s="14"/>
      <c r="H16" s="14"/>
      <c r="I16" s="10"/>
      <c r="J16" s="10"/>
      <c r="K16" s="10"/>
      <c r="L16" s="10"/>
      <c r="M16" s="10"/>
      <c r="N16" s="10">
        <v>400</v>
      </c>
      <c r="O16" s="10"/>
      <c r="P16" s="10"/>
      <c r="Q16" s="10"/>
      <c r="R16" s="10">
        <v>499</v>
      </c>
      <c r="S16" s="10"/>
      <c r="T16" s="10"/>
      <c r="U16" s="10"/>
      <c r="V16" s="11">
        <f t="shared" si="0"/>
        <v>1099</v>
      </c>
      <c r="W16" s="12"/>
      <c r="X16" s="25"/>
    </row>
    <row r="17" spans="1:24">
      <c r="A17" s="4">
        <v>19</v>
      </c>
      <c r="B17" s="4" t="s">
        <v>3</v>
      </c>
      <c r="C17" s="15"/>
      <c r="D17" s="15"/>
      <c r="E17" s="15"/>
      <c r="F17" s="15"/>
      <c r="G17" s="14"/>
      <c r="H17" s="14"/>
      <c r="I17" s="7"/>
      <c r="J17" s="7"/>
      <c r="K17" s="7"/>
      <c r="L17" s="7"/>
      <c r="M17" s="7"/>
      <c r="N17" s="15"/>
      <c r="O17" s="7"/>
      <c r="P17" s="7"/>
      <c r="Q17" s="7"/>
      <c r="R17" s="7"/>
      <c r="S17" s="7"/>
      <c r="T17" s="7"/>
      <c r="U17" s="7"/>
      <c r="V17" s="8">
        <f t="shared" si="0"/>
        <v>0</v>
      </c>
      <c r="W17" s="9"/>
      <c r="X17" s="25">
        <f>W3-SUM(V3:V16)</f>
        <v>-6655.0499999999956</v>
      </c>
    </row>
    <row r="18" spans="1:24" ht="14.25" customHeight="1">
      <c r="A18" s="27">
        <v>20</v>
      </c>
      <c r="B18" s="27" t="s">
        <v>4</v>
      </c>
      <c r="C18" s="29"/>
      <c r="D18" s="28"/>
      <c r="E18" s="28"/>
      <c r="F18" s="28"/>
      <c r="G18" s="28"/>
      <c r="H18" s="28"/>
      <c r="I18" s="29">
        <v>1300</v>
      </c>
      <c r="J18" s="29"/>
      <c r="K18" s="29"/>
      <c r="L18" s="29"/>
      <c r="M18" s="29"/>
      <c r="N18" s="29">
        <f>1587+618</f>
        <v>2205</v>
      </c>
      <c r="O18" s="29"/>
      <c r="P18" s="29"/>
      <c r="Q18" s="29"/>
      <c r="R18" s="29"/>
      <c r="S18" s="29"/>
      <c r="T18" s="29"/>
      <c r="U18" s="29"/>
      <c r="V18" s="30">
        <f>SUM(C18:U18)</f>
        <v>3505</v>
      </c>
      <c r="W18" s="31">
        <f>30304+16451</f>
        <v>46755</v>
      </c>
      <c r="X18" s="32"/>
    </row>
    <row r="19" spans="1:24">
      <c r="A19" s="4">
        <v>21</v>
      </c>
      <c r="B19" s="4" t="s">
        <v>5</v>
      </c>
      <c r="C19" s="7"/>
      <c r="D19" s="7"/>
      <c r="E19" s="7">
        <v>2933.48</v>
      </c>
      <c r="F19" s="7"/>
      <c r="G19" s="7">
        <f>3700+435</f>
        <v>4135</v>
      </c>
      <c r="H19" s="7"/>
      <c r="I19" s="7"/>
      <c r="J19" s="7"/>
      <c r="K19" s="7"/>
      <c r="L19" s="7"/>
      <c r="M19" s="7"/>
      <c r="N19" s="7">
        <v>463</v>
      </c>
      <c r="O19" s="7"/>
      <c r="P19" s="7"/>
      <c r="Q19" s="7"/>
      <c r="R19" s="7"/>
      <c r="S19" s="7"/>
      <c r="T19" s="7"/>
      <c r="U19" s="7"/>
      <c r="V19" s="8">
        <f>SUM(C19:U19)</f>
        <v>7531.48</v>
      </c>
      <c r="W19" s="9"/>
      <c r="X19" s="25"/>
    </row>
    <row r="20" spans="1:24">
      <c r="A20" s="5">
        <v>22</v>
      </c>
      <c r="B20" s="5" t="s">
        <v>6</v>
      </c>
      <c r="C20" s="10">
        <f>968+2181</f>
        <v>3149</v>
      </c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>
        <v>1300</v>
      </c>
      <c r="Q20" s="10"/>
      <c r="R20" s="10"/>
      <c r="S20" s="10"/>
      <c r="T20" s="10"/>
      <c r="U20" s="10"/>
      <c r="V20" s="11">
        <f t="shared" ref="V20:V30" si="1">SUM(C20:U20)</f>
        <v>4449</v>
      </c>
      <c r="W20" s="12"/>
      <c r="X20" s="25"/>
    </row>
    <row r="21" spans="1:24">
      <c r="A21" s="4">
        <v>23</v>
      </c>
      <c r="B21" s="4" t="s">
        <v>7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8">
        <f t="shared" si="1"/>
        <v>0</v>
      </c>
      <c r="W21" s="9">
        <v>10000</v>
      </c>
      <c r="X21" s="25"/>
    </row>
    <row r="22" spans="1:24">
      <c r="A22" s="5">
        <v>24</v>
      </c>
      <c r="B22" s="5" t="s">
        <v>8</v>
      </c>
      <c r="C22" s="10"/>
      <c r="D22" s="10"/>
      <c r="E22" s="10">
        <v>1583</v>
      </c>
      <c r="F22" s="10">
        <v>939</v>
      </c>
      <c r="G22" s="10"/>
      <c r="H22" s="10"/>
      <c r="I22" s="10"/>
      <c r="J22" s="10"/>
      <c r="K22" s="10"/>
      <c r="L22" s="10"/>
      <c r="M22" s="10"/>
      <c r="N22" s="10">
        <v>515</v>
      </c>
      <c r="O22" s="10"/>
      <c r="P22" s="10"/>
      <c r="Q22" s="10"/>
      <c r="R22" s="10"/>
      <c r="S22" s="10"/>
      <c r="T22" s="10"/>
      <c r="U22" s="10"/>
      <c r="V22" s="11">
        <f t="shared" si="1"/>
        <v>3037</v>
      </c>
      <c r="W22" s="12"/>
      <c r="X22" s="25"/>
    </row>
    <row r="23" spans="1:24">
      <c r="A23" s="4">
        <v>25</v>
      </c>
      <c r="B23" s="4" t="s">
        <v>2</v>
      </c>
      <c r="C23" s="7">
        <v>935</v>
      </c>
      <c r="D23" s="7"/>
      <c r="E23" s="7"/>
      <c r="F23" s="7">
        <f>1118+770</f>
        <v>1888</v>
      </c>
      <c r="G23" s="7"/>
      <c r="H23" s="7"/>
      <c r="I23" s="7"/>
      <c r="J23" s="7"/>
      <c r="K23" s="7"/>
      <c r="L23" s="7"/>
      <c r="M23" s="7"/>
      <c r="N23" s="7">
        <f>360+381</f>
        <v>741</v>
      </c>
      <c r="O23" s="7"/>
      <c r="P23" s="7">
        <v>100</v>
      </c>
      <c r="Q23" s="7"/>
      <c r="R23" s="7"/>
      <c r="S23" s="7">
        <f>100+650</f>
        <v>750</v>
      </c>
      <c r="T23" s="7"/>
      <c r="U23" s="7"/>
      <c r="V23" s="8">
        <f t="shared" si="1"/>
        <v>4414</v>
      </c>
      <c r="W23" s="9"/>
      <c r="X23" s="25"/>
    </row>
    <row r="24" spans="1:24">
      <c r="A24" s="5">
        <v>26</v>
      </c>
      <c r="B24" s="5" t="s">
        <v>3</v>
      </c>
      <c r="C24" s="10"/>
      <c r="D24" s="10"/>
      <c r="E24" s="10">
        <v>611</v>
      </c>
      <c r="F24" s="10"/>
      <c r="G24" s="10"/>
      <c r="H24" s="10"/>
      <c r="I24" s="10"/>
      <c r="J24" s="10"/>
      <c r="K24" s="10"/>
      <c r="L24" s="10"/>
      <c r="M24" s="10"/>
      <c r="N24" s="10">
        <f>400+344</f>
        <v>744</v>
      </c>
      <c r="O24" s="10"/>
      <c r="P24" s="10">
        <v>214</v>
      </c>
      <c r="Q24" s="10"/>
      <c r="R24" s="10"/>
      <c r="S24" s="10"/>
      <c r="T24" s="10"/>
      <c r="U24" s="10"/>
      <c r="V24" s="11">
        <f t="shared" si="1"/>
        <v>1569</v>
      </c>
      <c r="W24" s="12"/>
      <c r="X24" s="25"/>
    </row>
    <row r="25" spans="1:24">
      <c r="A25" s="4">
        <v>27</v>
      </c>
      <c r="B25" s="4" t="s">
        <v>4</v>
      </c>
      <c r="C25" s="7"/>
      <c r="D25" s="7"/>
      <c r="E25" s="7"/>
      <c r="F25" s="7">
        <v>700</v>
      </c>
      <c r="G25" s="7"/>
      <c r="H25" s="7">
        <v>1239.99</v>
      </c>
      <c r="I25" s="7"/>
      <c r="J25" s="7">
        <v>3974.41</v>
      </c>
      <c r="K25" s="7"/>
      <c r="L25" s="7"/>
      <c r="M25" s="7"/>
      <c r="N25" s="7">
        <f>349+254+607+400</f>
        <v>1610</v>
      </c>
      <c r="O25" s="7"/>
      <c r="P25" s="7"/>
      <c r="Q25" s="7"/>
      <c r="R25" s="7"/>
      <c r="S25" s="7"/>
      <c r="T25" s="7"/>
      <c r="U25" s="7">
        <f>1100+1090+350</f>
        <v>2540</v>
      </c>
      <c r="V25" s="8">
        <f t="shared" si="1"/>
        <v>10064.4</v>
      </c>
      <c r="W25" s="9"/>
      <c r="X25" s="25"/>
    </row>
    <row r="26" spans="1:24">
      <c r="A26" s="5">
        <v>28</v>
      </c>
      <c r="B26" s="5" t="s">
        <v>5</v>
      </c>
      <c r="C26" s="10">
        <v>1577.82</v>
      </c>
      <c r="D26" s="10"/>
      <c r="E26" s="10"/>
      <c r="F26" s="10"/>
      <c r="G26" s="10"/>
      <c r="H26" s="10"/>
      <c r="I26" s="10"/>
      <c r="J26" s="10">
        <v>3990.69</v>
      </c>
      <c r="K26" s="10"/>
      <c r="L26" s="10">
        <f>1896+3633</f>
        <v>5529</v>
      </c>
      <c r="M26" s="10"/>
      <c r="N26" s="10">
        <f>233+539</f>
        <v>772</v>
      </c>
      <c r="O26" s="10"/>
      <c r="P26" s="10">
        <v>2400</v>
      </c>
      <c r="Q26" s="10"/>
      <c r="R26" s="10"/>
      <c r="S26" s="10"/>
      <c r="T26" s="10"/>
      <c r="U26" s="10"/>
      <c r="V26" s="11">
        <f t="shared" si="1"/>
        <v>14269.51</v>
      </c>
      <c r="W26" s="12"/>
      <c r="X26" s="25"/>
    </row>
    <row r="27" spans="1:24">
      <c r="A27" s="5">
        <v>1</v>
      </c>
      <c r="B27" s="5" t="s">
        <v>6</v>
      </c>
      <c r="C27" s="10"/>
      <c r="D27" s="10">
        <v>1294</v>
      </c>
      <c r="E27" s="10"/>
      <c r="F27" s="10"/>
      <c r="G27" s="10"/>
      <c r="H27" s="10"/>
      <c r="I27" s="10"/>
      <c r="J27" s="10">
        <v>1711.25</v>
      </c>
      <c r="K27" s="10"/>
      <c r="L27" s="10"/>
      <c r="M27" s="10"/>
      <c r="N27" s="10">
        <v>133</v>
      </c>
      <c r="O27" s="10"/>
      <c r="P27" s="10"/>
      <c r="Q27" s="10"/>
      <c r="R27" s="10"/>
      <c r="S27" s="10">
        <f>414+449</f>
        <v>863</v>
      </c>
      <c r="T27" s="10"/>
      <c r="U27" s="10"/>
      <c r="V27" s="8">
        <f t="shared" si="1"/>
        <v>4001.25</v>
      </c>
      <c r="W27" s="12"/>
      <c r="X27" s="25"/>
    </row>
    <row r="28" spans="1:24">
      <c r="A28" s="5">
        <v>2</v>
      </c>
      <c r="B28" s="5" t="s">
        <v>7</v>
      </c>
      <c r="C28" s="10"/>
      <c r="D28" s="10"/>
      <c r="E28" s="10"/>
      <c r="F28" s="10">
        <f>350+1510</f>
        <v>1860</v>
      </c>
      <c r="G28" s="10"/>
      <c r="H28" s="10"/>
      <c r="I28" s="10"/>
      <c r="J28" s="10"/>
      <c r="K28" s="10"/>
      <c r="L28" s="10"/>
      <c r="M28" s="10"/>
      <c r="N28" s="10">
        <v>277</v>
      </c>
      <c r="O28" s="10"/>
      <c r="P28" s="10"/>
      <c r="Q28" s="10"/>
      <c r="R28" s="10">
        <v>700</v>
      </c>
      <c r="S28" s="10"/>
      <c r="T28" s="10"/>
      <c r="U28" s="10"/>
      <c r="V28" s="11">
        <f t="shared" si="1"/>
        <v>2837</v>
      </c>
      <c r="W28" s="12"/>
      <c r="X28" s="25"/>
    </row>
    <row r="29" spans="1:24">
      <c r="A29" s="5">
        <v>3</v>
      </c>
      <c r="B29" s="5" t="s">
        <v>8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>
        <v>799</v>
      </c>
      <c r="S29" s="10"/>
      <c r="T29" s="10"/>
      <c r="U29" s="10"/>
      <c r="V29" s="8">
        <f t="shared" si="1"/>
        <v>799</v>
      </c>
      <c r="W29" s="12"/>
      <c r="X29" s="25"/>
    </row>
    <row r="30" spans="1:24">
      <c r="A30" s="5">
        <v>4</v>
      </c>
      <c r="B30" s="5" t="s">
        <v>2</v>
      </c>
      <c r="C30" s="14"/>
      <c r="D30" s="14"/>
      <c r="E30" s="10"/>
      <c r="F30" s="10"/>
      <c r="G30" s="14"/>
      <c r="H30" s="10"/>
      <c r="I30" s="10"/>
      <c r="J30" s="14"/>
      <c r="K30" s="10"/>
      <c r="L30" s="10"/>
      <c r="M30" s="10"/>
      <c r="N30" s="14"/>
      <c r="O30" s="10"/>
      <c r="P30" s="10"/>
      <c r="Q30" s="10"/>
      <c r="R30" s="14"/>
      <c r="S30" s="14"/>
      <c r="T30" s="10"/>
      <c r="U30" s="10"/>
      <c r="V30" s="11">
        <f t="shared" si="1"/>
        <v>0</v>
      </c>
      <c r="W30" s="12"/>
      <c r="X30" s="25">
        <f>W18+W21-SUM(V18:V30)</f>
        <v>278.36000000000058</v>
      </c>
    </row>
    <row r="31" spans="1:24">
      <c r="A31" s="57" t="s">
        <v>20</v>
      </c>
      <c r="B31" s="57"/>
      <c r="C31" s="13">
        <f>SUM(C3:C30)</f>
        <v>19992.27</v>
      </c>
      <c r="D31" s="13">
        <f t="shared" ref="D31:U31" si="2">SUM(D3:D30)</f>
        <v>12488</v>
      </c>
      <c r="E31" s="13">
        <f t="shared" si="2"/>
        <v>5127.4799999999996</v>
      </c>
      <c r="F31" s="13">
        <f>SUM(F3:F30)</f>
        <v>5387</v>
      </c>
      <c r="G31" s="13">
        <f t="shared" si="2"/>
        <v>8545</v>
      </c>
      <c r="H31" s="13">
        <f t="shared" si="2"/>
        <v>1239.99</v>
      </c>
      <c r="I31" s="13">
        <f t="shared" si="2"/>
        <v>2140</v>
      </c>
      <c r="J31" s="13">
        <f t="shared" si="2"/>
        <v>10126.35</v>
      </c>
      <c r="K31" s="13">
        <f t="shared" si="2"/>
        <v>0</v>
      </c>
      <c r="L31" s="13">
        <f t="shared" si="2"/>
        <v>5529</v>
      </c>
      <c r="M31" s="13">
        <f t="shared" si="2"/>
        <v>0</v>
      </c>
      <c r="N31" s="13">
        <f t="shared" si="2"/>
        <v>10621</v>
      </c>
      <c r="O31" s="13">
        <f t="shared" si="2"/>
        <v>0</v>
      </c>
      <c r="P31" s="13">
        <f t="shared" si="2"/>
        <v>9051</v>
      </c>
      <c r="Q31" s="13">
        <f t="shared" si="2"/>
        <v>14418</v>
      </c>
      <c r="R31" s="13">
        <f t="shared" si="2"/>
        <v>1998</v>
      </c>
      <c r="S31" s="13">
        <f t="shared" si="2"/>
        <v>7668</v>
      </c>
      <c r="T31" s="13">
        <f t="shared" si="2"/>
        <v>0</v>
      </c>
      <c r="U31" s="13">
        <f t="shared" si="2"/>
        <v>2540</v>
      </c>
      <c r="V31" s="13">
        <f t="shared" ref="V31:W31" si="3">SUM(V3:V26)</f>
        <v>109233.83999999998</v>
      </c>
      <c r="W31" s="13">
        <f t="shared" si="3"/>
        <v>110494.39999999999</v>
      </c>
      <c r="X31" s="26"/>
    </row>
    <row r="35" spans="2:10">
      <c r="B35" s="6"/>
      <c r="C35" s="6"/>
      <c r="D35" s="6"/>
      <c r="E35" s="6"/>
      <c r="F35" s="6"/>
      <c r="G35" s="6"/>
      <c r="H35" s="6"/>
      <c r="I35" s="6"/>
      <c r="J35" s="6"/>
    </row>
  </sheetData>
  <mergeCells count="2">
    <mergeCell ref="A1:X1"/>
    <mergeCell ref="A31:B31"/>
  </mergeCell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36"/>
  <sheetViews>
    <sheetView zoomScale="86" zoomScaleNormal="86" workbookViewId="0">
      <pane xSplit="2" ySplit="32" topLeftCell="L33" activePane="bottomRight" state="frozen"/>
      <selection pane="topRight" activeCell="C1" sqref="C1"/>
      <selection pane="bottomLeft" activeCell="A28" sqref="A28"/>
      <selection pane="bottomRight" activeCell="S19" sqref="S19"/>
    </sheetView>
  </sheetViews>
  <sheetFormatPr defaultRowHeight="15"/>
  <cols>
    <col min="1" max="24" width="20.7109375" style="2" customWidth="1"/>
    <col min="25" max="36" width="12.7109375" style="2" customWidth="1"/>
    <col min="37" max="16384" width="9.140625" style="2"/>
  </cols>
  <sheetData>
    <row r="1" spans="1:46" ht="60.75" customHeight="1">
      <c r="A1" s="59" t="s">
        <v>65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</row>
    <row r="2" spans="1:46" ht="45" customHeight="1">
      <c r="A2" s="37" t="s">
        <v>0</v>
      </c>
      <c r="B2" s="37" t="s">
        <v>1</v>
      </c>
      <c r="C2" s="37" t="s">
        <v>9</v>
      </c>
      <c r="D2" s="37" t="s">
        <v>62</v>
      </c>
      <c r="E2" s="37" t="s">
        <v>10</v>
      </c>
      <c r="F2" s="37" t="s">
        <v>66</v>
      </c>
      <c r="G2" s="37" t="s">
        <v>11</v>
      </c>
      <c r="H2" s="37" t="s">
        <v>63</v>
      </c>
      <c r="I2" s="37" t="s">
        <v>12</v>
      </c>
      <c r="J2" s="37" t="s">
        <v>24</v>
      </c>
      <c r="K2" s="37" t="s">
        <v>23</v>
      </c>
      <c r="L2" s="37" t="s">
        <v>13</v>
      </c>
      <c r="M2" s="37" t="s">
        <v>14</v>
      </c>
      <c r="N2" s="37" t="s">
        <v>15</v>
      </c>
      <c r="O2" s="37" t="s">
        <v>16</v>
      </c>
      <c r="P2" s="37" t="s">
        <v>60</v>
      </c>
      <c r="Q2" s="37" t="s">
        <v>17</v>
      </c>
      <c r="R2" s="37" t="s">
        <v>18</v>
      </c>
      <c r="S2" s="37" t="s">
        <v>25</v>
      </c>
      <c r="T2" s="37" t="s">
        <v>25</v>
      </c>
      <c r="U2" s="37" t="s">
        <v>26</v>
      </c>
      <c r="V2" s="37" t="s">
        <v>22</v>
      </c>
      <c r="W2" s="37" t="s">
        <v>19</v>
      </c>
      <c r="X2" s="37" t="s">
        <v>21</v>
      </c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</row>
    <row r="3" spans="1:46">
      <c r="A3" s="39">
        <v>5</v>
      </c>
      <c r="B3" s="39" t="s">
        <v>3</v>
      </c>
      <c r="C3" s="40">
        <f>2497.35+200</f>
        <v>2697.35</v>
      </c>
      <c r="D3" s="40"/>
      <c r="E3" s="40"/>
      <c r="F3" s="40"/>
      <c r="G3" s="40"/>
      <c r="H3" s="40"/>
      <c r="I3" s="40"/>
      <c r="J3" s="40"/>
      <c r="K3" s="40"/>
      <c r="L3" s="40"/>
      <c r="M3" s="40"/>
      <c r="N3" s="40">
        <v>312</v>
      </c>
      <c r="O3" s="40"/>
      <c r="P3" s="40"/>
      <c r="Q3" s="40"/>
      <c r="R3" s="40">
        <v>990</v>
      </c>
      <c r="S3" s="40"/>
      <c r="T3" s="40"/>
      <c r="U3" s="40"/>
      <c r="V3" s="40">
        <f>SUM(C3:U3)</f>
        <v>3999.35</v>
      </c>
      <c r="W3" s="41">
        <v>43724</v>
      </c>
      <c r="X3" s="42"/>
    </row>
    <row r="4" spans="1:46">
      <c r="A4" s="33">
        <v>6</v>
      </c>
      <c r="B4" s="33" t="s">
        <v>4</v>
      </c>
      <c r="C4" s="34"/>
      <c r="D4" s="34"/>
      <c r="E4" s="34"/>
      <c r="F4" s="34">
        <v>1610</v>
      </c>
      <c r="G4" s="34"/>
      <c r="H4" s="34"/>
      <c r="I4" s="34"/>
      <c r="J4" s="34"/>
      <c r="K4" s="34"/>
      <c r="L4" s="34"/>
      <c r="M4" s="34"/>
      <c r="N4" s="34">
        <f>387+364</f>
        <v>751</v>
      </c>
      <c r="O4" s="34"/>
      <c r="P4" s="34"/>
      <c r="Q4" s="34"/>
      <c r="R4" s="34">
        <v>199</v>
      </c>
      <c r="S4" s="34">
        <f>2411.96/2+116.97+2148/2+729</f>
        <v>3125.95</v>
      </c>
      <c r="T4" s="34">
        <v>6000</v>
      </c>
      <c r="U4" s="34"/>
      <c r="V4" s="34">
        <f t="shared" ref="V4:V31" si="0">SUM(C4:U4)</f>
        <v>11685.95</v>
      </c>
      <c r="W4" s="35"/>
      <c r="X4" s="38"/>
    </row>
    <row r="5" spans="1:46">
      <c r="A5" s="33">
        <v>7</v>
      </c>
      <c r="B5" s="33" t="s">
        <v>5</v>
      </c>
      <c r="C5" s="34"/>
      <c r="D5" s="34"/>
      <c r="E5" s="34"/>
      <c r="F5" s="34"/>
      <c r="G5" s="34">
        <f>3080+328</f>
        <v>3408</v>
      </c>
      <c r="H5" s="34"/>
      <c r="I5" s="34"/>
      <c r="J5" s="34"/>
      <c r="K5" s="34"/>
      <c r="L5" s="34"/>
      <c r="M5" s="34"/>
      <c r="N5" s="34">
        <v>268</v>
      </c>
      <c r="O5" s="34"/>
      <c r="P5" s="34">
        <v>8428</v>
      </c>
      <c r="Q5" s="34"/>
      <c r="R5" s="34">
        <f>255+547</f>
        <v>802</v>
      </c>
      <c r="S5" s="34"/>
      <c r="T5" s="34"/>
      <c r="U5" s="34"/>
      <c r="V5" s="34">
        <f t="shared" si="0"/>
        <v>12906</v>
      </c>
      <c r="W5" s="35"/>
      <c r="X5" s="38"/>
    </row>
    <row r="6" spans="1:46">
      <c r="A6" s="33">
        <v>8</v>
      </c>
      <c r="B6" s="33" t="s">
        <v>6</v>
      </c>
      <c r="C6" s="34">
        <f>284+995</f>
        <v>1279</v>
      </c>
      <c r="D6" s="34"/>
      <c r="E6" s="34"/>
      <c r="F6" s="34"/>
      <c r="G6" s="34"/>
      <c r="H6" s="34">
        <v>1117</v>
      </c>
      <c r="I6" s="34"/>
      <c r="J6" s="34"/>
      <c r="K6" s="34"/>
      <c r="L6" s="34"/>
      <c r="M6" s="34"/>
      <c r="N6" s="34">
        <v>400</v>
      </c>
      <c r="O6" s="34"/>
      <c r="P6" s="34">
        <v>1330</v>
      </c>
      <c r="Q6" s="34"/>
      <c r="R6" s="34"/>
      <c r="S6" s="34"/>
      <c r="T6" s="34"/>
      <c r="U6" s="34"/>
      <c r="V6" s="34">
        <f t="shared" si="0"/>
        <v>4126</v>
      </c>
      <c r="W6" s="35"/>
      <c r="X6" s="38"/>
    </row>
    <row r="7" spans="1:46">
      <c r="A7" s="33">
        <v>9</v>
      </c>
      <c r="B7" s="33" t="s">
        <v>7</v>
      </c>
      <c r="C7" s="34">
        <v>769</v>
      </c>
      <c r="D7" s="34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>
        <f t="shared" si="0"/>
        <v>769</v>
      </c>
      <c r="W7" s="35"/>
      <c r="X7" s="38"/>
    </row>
    <row r="8" spans="1:46">
      <c r="A8" s="33">
        <v>10</v>
      </c>
      <c r="B8" s="33" t="s">
        <v>8</v>
      </c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>
        <v>302</v>
      </c>
      <c r="P8" s="34"/>
      <c r="Q8" s="34"/>
      <c r="R8" s="34"/>
      <c r="S8" s="34"/>
      <c r="T8" s="34"/>
      <c r="U8" s="34"/>
      <c r="V8" s="34">
        <f t="shared" si="0"/>
        <v>302</v>
      </c>
      <c r="W8" s="35"/>
      <c r="X8" s="38"/>
    </row>
    <row r="9" spans="1:46">
      <c r="A9" s="33">
        <v>11</v>
      </c>
      <c r="B9" s="33" t="s">
        <v>2</v>
      </c>
      <c r="C9" s="34"/>
      <c r="D9" s="34">
        <v>1191</v>
      </c>
      <c r="E9" s="34"/>
      <c r="F9" s="34">
        <f>1070+109</f>
        <v>1179</v>
      </c>
      <c r="G9" s="34"/>
      <c r="H9" s="34"/>
      <c r="I9" s="34"/>
      <c r="J9" s="34"/>
      <c r="K9" s="34"/>
      <c r="L9" s="34"/>
      <c r="M9" s="34"/>
      <c r="N9" s="34">
        <v>400</v>
      </c>
      <c r="O9" s="34">
        <v>277</v>
      </c>
      <c r="P9" s="34"/>
      <c r="Q9" s="34"/>
      <c r="R9" s="34"/>
      <c r="S9" s="34"/>
      <c r="T9" s="34"/>
      <c r="U9" s="34"/>
      <c r="V9" s="34">
        <f t="shared" si="0"/>
        <v>3047</v>
      </c>
      <c r="W9" s="35"/>
      <c r="X9" s="38"/>
    </row>
    <row r="10" spans="1:46">
      <c r="A10" s="33">
        <v>12</v>
      </c>
      <c r="B10" s="33" t="s">
        <v>3</v>
      </c>
      <c r="C10" s="34"/>
      <c r="D10" s="34"/>
      <c r="E10" s="34"/>
      <c r="F10" s="34">
        <f>420+700</f>
        <v>1120</v>
      </c>
      <c r="G10" s="34">
        <f>1421+331</f>
        <v>1752</v>
      </c>
      <c r="H10" s="34"/>
      <c r="I10" s="34"/>
      <c r="J10" s="34"/>
      <c r="K10" s="34"/>
      <c r="L10" s="34"/>
      <c r="M10" s="34"/>
      <c r="N10" s="34">
        <v>294</v>
      </c>
      <c r="O10" s="34"/>
      <c r="P10" s="34"/>
      <c r="Q10" s="34"/>
      <c r="R10" s="34"/>
      <c r="S10" s="34">
        <f>387+864</f>
        <v>1251</v>
      </c>
      <c r="T10" s="34"/>
      <c r="U10" s="34"/>
      <c r="V10" s="34">
        <f t="shared" si="0"/>
        <v>4417</v>
      </c>
      <c r="W10" s="35"/>
      <c r="X10" s="38"/>
    </row>
    <row r="11" spans="1:46">
      <c r="A11" s="43">
        <v>13</v>
      </c>
      <c r="B11" s="43" t="s">
        <v>4</v>
      </c>
      <c r="C11" s="44"/>
      <c r="D11" s="44"/>
      <c r="E11" s="44"/>
      <c r="F11" s="44">
        <f>1070+60</f>
        <v>1130</v>
      </c>
      <c r="G11" s="44"/>
      <c r="H11" s="44"/>
      <c r="I11" s="44"/>
      <c r="J11" s="44"/>
      <c r="K11" s="44"/>
      <c r="L11" s="44"/>
      <c r="M11" s="44"/>
      <c r="N11" s="44">
        <f>251+328+262</f>
        <v>841</v>
      </c>
      <c r="O11" s="44"/>
      <c r="P11" s="44"/>
      <c r="Q11" s="44"/>
      <c r="R11" s="44"/>
      <c r="S11" s="44"/>
      <c r="T11" s="44"/>
      <c r="U11" s="44"/>
      <c r="V11" s="44">
        <f t="shared" si="0"/>
        <v>1971</v>
      </c>
      <c r="W11" s="45"/>
      <c r="X11" s="46"/>
    </row>
    <row r="12" spans="1:46">
      <c r="A12" s="33">
        <v>14</v>
      </c>
      <c r="B12" s="33" t="s">
        <v>5</v>
      </c>
      <c r="C12" s="34"/>
      <c r="D12" s="34"/>
      <c r="E12" s="34"/>
      <c r="F12" s="34"/>
      <c r="G12" s="44">
        <v>3605</v>
      </c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>
        <f t="shared" si="0"/>
        <v>3605</v>
      </c>
      <c r="W12" s="35"/>
      <c r="X12" s="38"/>
    </row>
    <row r="13" spans="1:46">
      <c r="A13" s="33">
        <v>15</v>
      </c>
      <c r="B13" s="33" t="s">
        <v>6</v>
      </c>
      <c r="C13" s="44">
        <f>318+2115</f>
        <v>2433</v>
      </c>
      <c r="D13" s="34"/>
      <c r="E13" s="34"/>
      <c r="F13" s="34"/>
      <c r="G13" s="34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>
        <f t="shared" si="0"/>
        <v>2433</v>
      </c>
      <c r="W13" s="35"/>
      <c r="X13" s="38"/>
    </row>
    <row r="14" spans="1:46">
      <c r="A14" s="33">
        <v>16</v>
      </c>
      <c r="B14" s="33" t="s">
        <v>7</v>
      </c>
      <c r="C14" s="34"/>
      <c r="D14" s="34"/>
      <c r="E14" s="34"/>
      <c r="F14" s="44">
        <f>350</f>
        <v>350</v>
      </c>
      <c r="G14" s="34"/>
      <c r="H14" s="34"/>
      <c r="I14" s="34"/>
      <c r="J14" s="34"/>
      <c r="K14" s="34"/>
      <c r="L14" s="34"/>
      <c r="M14" s="34"/>
      <c r="N14" s="34"/>
      <c r="O14" s="44">
        <v>291</v>
      </c>
      <c r="P14" s="34"/>
      <c r="Q14" s="34"/>
      <c r="R14" s="34"/>
      <c r="S14" s="34"/>
      <c r="T14" s="34"/>
      <c r="U14" s="34"/>
      <c r="V14" s="34">
        <f t="shared" si="0"/>
        <v>641</v>
      </c>
      <c r="W14" s="35"/>
      <c r="X14" s="38"/>
    </row>
    <row r="15" spans="1:46">
      <c r="A15" s="33">
        <v>17</v>
      </c>
      <c r="B15" s="33" t="s">
        <v>8</v>
      </c>
      <c r="C15" s="34"/>
      <c r="D15" s="34"/>
      <c r="E15" s="34"/>
      <c r="F15" s="44">
        <v>350</v>
      </c>
      <c r="G15" s="34"/>
      <c r="H15" s="34"/>
      <c r="I15" s="34"/>
      <c r="J15" s="34"/>
      <c r="K15" s="34"/>
      <c r="L15" s="34"/>
      <c r="M15" s="34"/>
      <c r="N15" s="34"/>
      <c r="O15" s="44">
        <v>1000</v>
      </c>
      <c r="P15" s="34"/>
      <c r="Q15" s="34"/>
      <c r="R15" s="34"/>
      <c r="S15" s="34"/>
      <c r="T15" s="34"/>
      <c r="U15" s="34"/>
      <c r="V15" s="34">
        <f t="shared" si="0"/>
        <v>1350</v>
      </c>
      <c r="W15" s="35"/>
      <c r="X15" s="38"/>
    </row>
    <row r="16" spans="1:46">
      <c r="A16" s="33">
        <v>18</v>
      </c>
      <c r="B16" s="33" t="s">
        <v>2</v>
      </c>
      <c r="C16" s="34"/>
      <c r="D16" s="34"/>
      <c r="E16" s="34"/>
      <c r="F16" s="44">
        <f>1080+109+350</f>
        <v>1539</v>
      </c>
      <c r="G16" s="34"/>
      <c r="H16" s="34"/>
      <c r="I16" s="34"/>
      <c r="J16" s="34"/>
      <c r="K16" s="34"/>
      <c r="L16" s="34"/>
      <c r="M16" s="34"/>
      <c r="N16" s="44">
        <v>400</v>
      </c>
      <c r="O16" s="34"/>
      <c r="P16" s="34"/>
      <c r="Q16" s="34"/>
      <c r="R16" s="34"/>
      <c r="S16" s="34"/>
      <c r="T16" s="34"/>
      <c r="U16" s="34"/>
      <c r="V16" s="34">
        <f t="shared" si="0"/>
        <v>1939</v>
      </c>
      <c r="W16" s="35"/>
      <c r="X16" s="38"/>
    </row>
    <row r="17" spans="1:24">
      <c r="A17" s="33">
        <v>19</v>
      </c>
      <c r="B17" s="33" t="s">
        <v>3</v>
      </c>
      <c r="C17" s="34"/>
      <c r="D17" s="34"/>
      <c r="E17" s="34"/>
      <c r="F17" s="34"/>
      <c r="G17" s="34"/>
      <c r="H17" s="34"/>
      <c r="I17" s="34"/>
      <c r="J17" s="34"/>
      <c r="K17" s="34"/>
      <c r="L17" s="34"/>
      <c r="M17" s="34"/>
      <c r="N17" s="44">
        <f>159+358</f>
        <v>517</v>
      </c>
      <c r="O17" s="34"/>
      <c r="P17" s="34"/>
      <c r="Q17" s="34"/>
      <c r="R17" s="34"/>
      <c r="S17" s="34"/>
      <c r="T17" s="34"/>
      <c r="U17" s="34"/>
      <c r="V17" s="34">
        <f t="shared" si="0"/>
        <v>517</v>
      </c>
      <c r="W17" s="35"/>
      <c r="X17" s="38"/>
    </row>
    <row r="18" spans="1:24">
      <c r="A18" s="39">
        <v>20</v>
      </c>
      <c r="B18" s="39" t="s">
        <v>4</v>
      </c>
      <c r="C18" s="40">
        <f>220+2225+135</f>
        <v>2580</v>
      </c>
      <c r="D18" s="40"/>
      <c r="E18" s="40"/>
      <c r="F18" s="40"/>
      <c r="G18" s="40"/>
      <c r="H18" s="40"/>
      <c r="I18" s="40"/>
      <c r="J18" s="40"/>
      <c r="K18" s="40"/>
      <c r="L18" s="40"/>
      <c r="M18" s="40"/>
      <c r="N18" s="40"/>
      <c r="O18" s="40"/>
      <c r="P18" s="40"/>
      <c r="Q18" s="40"/>
      <c r="R18" s="40">
        <v>499</v>
      </c>
      <c r="S18" s="40">
        <v>130</v>
      </c>
      <c r="T18" s="40"/>
      <c r="U18" s="40"/>
      <c r="V18" s="40">
        <f t="shared" si="0"/>
        <v>3209</v>
      </c>
      <c r="W18" s="41">
        <v>24676</v>
      </c>
      <c r="X18" s="42"/>
    </row>
    <row r="19" spans="1:24">
      <c r="A19" s="33">
        <v>21</v>
      </c>
      <c r="B19" s="33" t="s">
        <v>5</v>
      </c>
      <c r="C19" s="34">
        <f>780+65</f>
        <v>845</v>
      </c>
      <c r="D19" s="34"/>
      <c r="E19" s="34"/>
      <c r="F19" s="34"/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>
        <f>570+120</f>
        <v>690</v>
      </c>
      <c r="S19" s="34">
        <v>4661</v>
      </c>
      <c r="T19" s="34">
        <v>1200</v>
      </c>
      <c r="U19" s="34"/>
      <c r="V19" s="34">
        <f t="shared" si="0"/>
        <v>7396</v>
      </c>
      <c r="W19" s="35"/>
      <c r="X19" s="38"/>
    </row>
    <row r="20" spans="1:24">
      <c r="A20" s="33">
        <v>22</v>
      </c>
      <c r="B20" s="33" t="s">
        <v>6</v>
      </c>
      <c r="C20" s="34">
        <f>5500-2600</f>
        <v>2900</v>
      </c>
      <c r="D20" s="34"/>
      <c r="E20" s="34"/>
      <c r="F20" s="34"/>
      <c r="G20" s="34"/>
      <c r="H20" s="34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>
        <v>2600</v>
      </c>
      <c r="T20" s="34">
        <v>600</v>
      </c>
      <c r="U20" s="34"/>
      <c r="V20" s="34">
        <f t="shared" si="0"/>
        <v>6100</v>
      </c>
      <c r="W20" s="35"/>
      <c r="X20" s="38"/>
    </row>
    <row r="21" spans="1:24">
      <c r="A21" s="33">
        <v>23</v>
      </c>
      <c r="B21" s="33" t="s">
        <v>7</v>
      </c>
      <c r="C21" s="34"/>
      <c r="D21" s="34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>
        <v>311</v>
      </c>
      <c r="P21" s="34"/>
      <c r="Q21" s="34"/>
      <c r="R21" s="34"/>
      <c r="S21" s="34"/>
      <c r="T21" s="34"/>
      <c r="U21" s="34"/>
      <c r="V21" s="34">
        <f t="shared" si="0"/>
        <v>311</v>
      </c>
      <c r="W21" s="35"/>
      <c r="X21" s="38"/>
    </row>
    <row r="22" spans="1:24">
      <c r="A22" s="33">
        <v>24</v>
      </c>
      <c r="B22" s="33" t="s">
        <v>8</v>
      </c>
      <c r="C22" s="34"/>
      <c r="D22" s="34"/>
      <c r="E22" s="34"/>
      <c r="F22" s="34"/>
      <c r="G22" s="34"/>
      <c r="H22" s="34"/>
      <c r="I22" s="34"/>
      <c r="J22" s="34"/>
      <c r="K22" s="34"/>
      <c r="L22" s="34"/>
      <c r="M22" s="34"/>
      <c r="N22" s="34"/>
      <c r="O22" s="34">
        <v>295</v>
      </c>
      <c r="P22" s="34"/>
      <c r="Q22" s="34"/>
      <c r="R22" s="34"/>
      <c r="S22" s="34">
        <v>900</v>
      </c>
      <c r="T22" s="34"/>
      <c r="U22" s="34"/>
      <c r="V22" s="34">
        <f t="shared" si="0"/>
        <v>1195</v>
      </c>
      <c r="W22" s="35"/>
      <c r="X22" s="38"/>
    </row>
    <row r="23" spans="1:24">
      <c r="A23" s="33">
        <v>25</v>
      </c>
      <c r="B23" s="33" t="s">
        <v>2</v>
      </c>
      <c r="C23" s="34">
        <f>633</f>
        <v>633</v>
      </c>
      <c r="D23" s="34"/>
      <c r="E23" s="34"/>
      <c r="F23" s="34">
        <f>392+352</f>
        <v>744</v>
      </c>
      <c r="G23" s="34"/>
      <c r="H23" s="34"/>
      <c r="I23" s="34"/>
      <c r="J23" s="34"/>
      <c r="K23" s="34"/>
      <c r="L23" s="34"/>
      <c r="M23" s="34"/>
      <c r="N23" s="34">
        <f>204+188+400</f>
        <v>792</v>
      </c>
      <c r="O23" s="34"/>
      <c r="P23" s="34"/>
      <c r="Q23" s="34"/>
      <c r="R23" s="34"/>
      <c r="S23" s="34"/>
      <c r="T23" s="34"/>
      <c r="U23" s="34"/>
      <c r="V23" s="34">
        <f t="shared" si="0"/>
        <v>2169</v>
      </c>
      <c r="W23" s="35"/>
      <c r="X23" s="38"/>
    </row>
    <row r="24" spans="1:24">
      <c r="A24" s="33">
        <v>26</v>
      </c>
      <c r="B24" s="33" t="s">
        <v>3</v>
      </c>
      <c r="C24" s="34"/>
      <c r="D24" s="34"/>
      <c r="E24" s="34"/>
      <c r="F24" s="34"/>
      <c r="G24" s="34"/>
      <c r="H24" s="34"/>
      <c r="I24" s="34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>
        <f t="shared" si="0"/>
        <v>0</v>
      </c>
      <c r="W24" s="35"/>
      <c r="X24" s="38"/>
    </row>
    <row r="25" spans="1:24">
      <c r="A25" s="33">
        <v>27</v>
      </c>
      <c r="B25" s="33" t="s">
        <v>4</v>
      </c>
      <c r="C25" s="34">
        <v>1104</v>
      </c>
      <c r="D25" s="34">
        <v>856</v>
      </c>
      <c r="E25" s="34"/>
      <c r="F25" s="34"/>
      <c r="G25" s="34"/>
      <c r="H25" s="34"/>
      <c r="I25" s="34"/>
      <c r="J25" s="34"/>
      <c r="K25" s="34"/>
      <c r="L25" s="34"/>
      <c r="M25" s="34"/>
      <c r="N25" s="34">
        <f>201+182</f>
        <v>383</v>
      </c>
      <c r="O25" s="34"/>
      <c r="P25" s="34"/>
      <c r="Q25" s="34"/>
      <c r="R25" s="34"/>
      <c r="S25" s="34"/>
      <c r="T25" s="34"/>
      <c r="U25" s="34"/>
      <c r="V25" s="34">
        <f t="shared" si="0"/>
        <v>2343</v>
      </c>
      <c r="W25" s="35"/>
      <c r="X25" s="38"/>
    </row>
    <row r="26" spans="1:24">
      <c r="A26" s="33">
        <v>28</v>
      </c>
      <c r="B26" s="33" t="s">
        <v>5</v>
      </c>
      <c r="C26" s="34"/>
      <c r="D26" s="34">
        <v>1067</v>
      </c>
      <c r="E26" s="34"/>
      <c r="F26" s="34"/>
      <c r="G26" s="34"/>
      <c r="H26" s="34"/>
      <c r="I26" s="34"/>
      <c r="J26" s="34"/>
      <c r="K26" s="34"/>
      <c r="L26" s="34"/>
      <c r="M26" s="34"/>
      <c r="N26" s="34"/>
      <c r="O26" s="34"/>
      <c r="P26" s="34"/>
      <c r="Q26" s="34"/>
      <c r="R26" s="34"/>
      <c r="S26" s="34">
        <v>132</v>
      </c>
      <c r="T26" s="34"/>
      <c r="U26" s="34"/>
      <c r="V26" s="34">
        <f t="shared" si="0"/>
        <v>1199</v>
      </c>
      <c r="W26" s="35"/>
      <c r="X26" s="38"/>
    </row>
    <row r="27" spans="1:24">
      <c r="A27" s="33">
        <v>29</v>
      </c>
      <c r="B27" s="33" t="s">
        <v>6</v>
      </c>
      <c r="C27" s="44">
        <f>735+868</f>
        <v>1603</v>
      </c>
      <c r="D27" s="34"/>
      <c r="E27" s="34"/>
      <c r="F27" s="34"/>
      <c r="G27" s="34"/>
      <c r="H27" s="34"/>
      <c r="I27" s="34"/>
      <c r="J27" s="34"/>
      <c r="K27" s="34"/>
      <c r="L27" s="34"/>
      <c r="M27" s="34"/>
      <c r="N27" s="34">
        <f>322+198</f>
        <v>520</v>
      </c>
      <c r="O27" s="34"/>
      <c r="P27" s="34"/>
      <c r="Q27" s="34"/>
      <c r="R27" s="34"/>
      <c r="S27" s="34"/>
      <c r="T27" s="34"/>
      <c r="U27" s="34"/>
      <c r="V27" s="34">
        <f t="shared" si="0"/>
        <v>2123</v>
      </c>
      <c r="W27" s="35"/>
      <c r="X27" s="38"/>
    </row>
    <row r="28" spans="1:24">
      <c r="A28" s="33">
        <v>30</v>
      </c>
      <c r="B28" s="33" t="s">
        <v>7</v>
      </c>
      <c r="C28" s="34"/>
      <c r="D28" s="34"/>
      <c r="E28" s="34"/>
      <c r="F28" s="44">
        <f>350</f>
        <v>350</v>
      </c>
      <c r="G28" s="34"/>
      <c r="H28" s="34"/>
      <c r="I28" s="34"/>
      <c r="J28" s="34"/>
      <c r="K28" s="34"/>
      <c r="L28" s="34"/>
      <c r="M28" s="34"/>
      <c r="N28" s="44">
        <v>228</v>
      </c>
      <c r="O28" s="34"/>
      <c r="P28" s="34"/>
      <c r="Q28" s="34"/>
      <c r="R28" s="34"/>
      <c r="S28" s="34"/>
      <c r="T28" s="34"/>
      <c r="U28" s="34"/>
      <c r="V28" s="34">
        <f t="shared" si="0"/>
        <v>578</v>
      </c>
      <c r="W28" s="35"/>
      <c r="X28" s="38"/>
    </row>
    <row r="29" spans="1:24">
      <c r="A29" s="33">
        <v>31</v>
      </c>
      <c r="B29" s="33" t="s">
        <v>8</v>
      </c>
      <c r="C29" s="34"/>
      <c r="D29" s="34"/>
      <c r="E29" s="34"/>
      <c r="F29" s="34"/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>
        <f t="shared" si="0"/>
        <v>0</v>
      </c>
      <c r="W29" s="35"/>
      <c r="X29" s="38"/>
    </row>
    <row r="30" spans="1:24">
      <c r="A30" s="33">
        <v>1</v>
      </c>
      <c r="B30" s="33" t="s">
        <v>2</v>
      </c>
      <c r="C30" s="34"/>
      <c r="D30" s="34"/>
      <c r="E30" s="34"/>
      <c r="F30" s="34"/>
      <c r="G30" s="34"/>
      <c r="H30" s="34"/>
      <c r="I30" s="34"/>
      <c r="J30" s="34"/>
      <c r="K30" s="34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>
        <f t="shared" si="0"/>
        <v>0</v>
      </c>
      <c r="W30" s="35"/>
      <c r="X30" s="38"/>
    </row>
    <row r="31" spans="1:24">
      <c r="A31" s="33">
        <v>2</v>
      </c>
      <c r="B31" s="33" t="s">
        <v>3</v>
      </c>
      <c r="C31" s="34"/>
      <c r="D31" s="34"/>
      <c r="E31" s="34"/>
      <c r="F31" s="34"/>
      <c r="G31" s="34"/>
      <c r="H31" s="34"/>
      <c r="I31" s="34"/>
      <c r="J31" s="34"/>
      <c r="K31" s="34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>
        <f t="shared" si="0"/>
        <v>0</v>
      </c>
      <c r="W31" s="35"/>
      <c r="X31" s="38"/>
    </row>
    <row r="32" spans="1:24">
      <c r="A32" s="58" t="s">
        <v>20</v>
      </c>
      <c r="B32" s="58"/>
      <c r="C32" s="35">
        <f>SUM(C3:C31)</f>
        <v>16843.349999999999</v>
      </c>
      <c r="D32" s="35">
        <f t="shared" ref="D32:U32" si="1">SUM(D3:D31)</f>
        <v>3114</v>
      </c>
      <c r="E32" s="35">
        <f t="shared" si="1"/>
        <v>0</v>
      </c>
      <c r="F32" s="35">
        <f t="shared" si="1"/>
        <v>8372</v>
      </c>
      <c r="G32" s="35">
        <f t="shared" si="1"/>
        <v>8765</v>
      </c>
      <c r="H32" s="35">
        <f t="shared" si="1"/>
        <v>1117</v>
      </c>
      <c r="I32" s="35">
        <f t="shared" si="1"/>
        <v>0</v>
      </c>
      <c r="J32" s="35">
        <f t="shared" si="1"/>
        <v>0</v>
      </c>
      <c r="K32" s="35">
        <f t="shared" si="1"/>
        <v>0</v>
      </c>
      <c r="L32" s="35">
        <f t="shared" si="1"/>
        <v>0</v>
      </c>
      <c r="M32" s="35">
        <f t="shared" si="1"/>
        <v>0</v>
      </c>
      <c r="N32" s="35">
        <f t="shared" si="1"/>
        <v>6106</v>
      </c>
      <c r="O32" s="35">
        <f t="shared" si="1"/>
        <v>2476</v>
      </c>
      <c r="P32" s="35">
        <f t="shared" si="1"/>
        <v>9758</v>
      </c>
      <c r="Q32" s="35">
        <f t="shared" si="1"/>
        <v>0</v>
      </c>
      <c r="R32" s="35">
        <f t="shared" si="1"/>
        <v>3180</v>
      </c>
      <c r="S32" s="35">
        <f t="shared" si="1"/>
        <v>12799.95</v>
      </c>
      <c r="T32" s="35">
        <f t="shared" si="1"/>
        <v>7800</v>
      </c>
      <c r="U32" s="35">
        <f t="shared" si="1"/>
        <v>0</v>
      </c>
      <c r="V32" s="36">
        <f>SUM(V3:V31)</f>
        <v>80331.3</v>
      </c>
      <c r="W32" s="35">
        <f>SUM(W3:W29)</f>
        <v>68400</v>
      </c>
      <c r="X32" s="38">
        <f>W32-V32</f>
        <v>-11931.300000000003</v>
      </c>
    </row>
    <row r="36" spans="2:10">
      <c r="B36" s="6"/>
      <c r="C36" s="6"/>
      <c r="D36" s="6"/>
      <c r="E36" s="6"/>
      <c r="F36" s="6"/>
      <c r="G36" s="6"/>
      <c r="H36" s="6"/>
      <c r="I36" s="6"/>
      <c r="J36" s="6"/>
    </row>
  </sheetData>
  <mergeCells count="2">
    <mergeCell ref="A32:B32"/>
    <mergeCell ref="A1:X1"/>
  </mergeCells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1:AU41"/>
  <sheetViews>
    <sheetView tabSelected="1" zoomScale="85" zoomScaleNormal="85" workbookViewId="0">
      <pane xSplit="2" ySplit="37" topLeftCell="K38" activePane="bottomRight" state="frozen"/>
      <selection pane="topRight" activeCell="C1" sqref="C1"/>
      <selection pane="bottomLeft" activeCell="A28" sqref="A28"/>
      <selection pane="bottomRight" activeCell="S38" sqref="S38"/>
    </sheetView>
  </sheetViews>
  <sheetFormatPr defaultRowHeight="15"/>
  <cols>
    <col min="1" max="25" width="20.7109375" style="2" customWidth="1"/>
    <col min="26" max="37" width="12.7109375" style="2" customWidth="1"/>
    <col min="38" max="16384" width="9.140625" style="2"/>
  </cols>
  <sheetData>
    <row r="1" spans="1:47" ht="60.75" customHeight="1">
      <c r="A1" s="59" t="s">
        <v>65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</row>
    <row r="2" spans="1:47" ht="45" customHeight="1">
      <c r="A2" s="37" t="s">
        <v>0</v>
      </c>
      <c r="B2" s="37" t="s">
        <v>1</v>
      </c>
      <c r="C2" s="37" t="s">
        <v>9</v>
      </c>
      <c r="D2" s="37" t="s">
        <v>62</v>
      </c>
      <c r="E2" s="37" t="s">
        <v>10</v>
      </c>
      <c r="F2" s="37" t="s">
        <v>66</v>
      </c>
      <c r="G2" s="37" t="s">
        <v>67</v>
      </c>
      <c r="H2" s="37" t="s">
        <v>11</v>
      </c>
      <c r="I2" s="37" t="s">
        <v>63</v>
      </c>
      <c r="J2" s="37" t="s">
        <v>12</v>
      </c>
      <c r="K2" s="37" t="s">
        <v>24</v>
      </c>
      <c r="L2" s="37" t="s">
        <v>23</v>
      </c>
      <c r="M2" s="37" t="s">
        <v>13</v>
      </c>
      <c r="N2" s="37" t="s">
        <v>14</v>
      </c>
      <c r="O2" s="37" t="s">
        <v>15</v>
      </c>
      <c r="P2" s="37" t="s">
        <v>16</v>
      </c>
      <c r="Q2" s="37" t="s">
        <v>60</v>
      </c>
      <c r="R2" s="37" t="s">
        <v>17</v>
      </c>
      <c r="S2" s="37" t="s">
        <v>18</v>
      </c>
      <c r="T2" s="37" t="s">
        <v>25</v>
      </c>
      <c r="U2" s="37" t="s">
        <v>25</v>
      </c>
      <c r="V2" s="37" t="s">
        <v>26</v>
      </c>
      <c r="W2" s="37" t="s">
        <v>22</v>
      </c>
      <c r="X2" s="37" t="s">
        <v>19</v>
      </c>
      <c r="Y2" s="37" t="s">
        <v>21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>
      <c r="A3" s="39">
        <v>3</v>
      </c>
      <c r="B3" s="39" t="s">
        <v>4</v>
      </c>
      <c r="C3" s="40"/>
      <c r="D3" s="40"/>
      <c r="E3" s="40"/>
      <c r="F3" s="40"/>
      <c r="G3" s="40"/>
      <c r="H3" s="40"/>
      <c r="I3" s="40"/>
      <c r="J3" s="40"/>
      <c r="K3" s="40"/>
      <c r="L3" s="40"/>
      <c r="M3" s="40"/>
      <c r="N3" s="40"/>
      <c r="O3" s="40"/>
      <c r="P3" s="40"/>
      <c r="Q3" s="40">
        <f>22000+3500</f>
        <v>25500</v>
      </c>
      <c r="R3" s="40"/>
      <c r="S3" s="40">
        <f>4660+702+799</f>
        <v>6161</v>
      </c>
      <c r="T3" s="40">
        <v>7000</v>
      </c>
      <c r="U3" s="40">
        <v>750</v>
      </c>
      <c r="V3" s="40"/>
      <c r="W3" s="40">
        <f>SUM(C3:V3)</f>
        <v>39411</v>
      </c>
      <c r="X3" s="41">
        <v>100688</v>
      </c>
      <c r="Y3" s="42"/>
    </row>
    <row r="4" spans="1:47">
      <c r="A4" s="47">
        <v>4</v>
      </c>
      <c r="B4" s="47" t="s">
        <v>5</v>
      </c>
      <c r="C4" s="48">
        <f>100+422+585</f>
        <v>1107</v>
      </c>
      <c r="D4" s="48">
        <v>3679</v>
      </c>
      <c r="E4" s="48"/>
      <c r="F4" s="48"/>
      <c r="G4" s="48"/>
      <c r="H4" s="48">
        <f>2320+1728</f>
        <v>4048</v>
      </c>
      <c r="I4" s="48"/>
      <c r="J4" s="48"/>
      <c r="K4" s="48">
        <v>3663.22</v>
      </c>
      <c r="L4" s="48"/>
      <c r="M4" s="48"/>
      <c r="N4" s="48">
        <v>5350</v>
      </c>
      <c r="O4" s="48"/>
      <c r="P4" s="48"/>
      <c r="Q4" s="48">
        <v>1025</v>
      </c>
      <c r="R4" s="48"/>
      <c r="S4" s="48">
        <v>100</v>
      </c>
      <c r="T4" s="48"/>
      <c r="U4" s="48">
        <v>990</v>
      </c>
      <c r="V4" s="48">
        <f>1320+1330+210</f>
        <v>2860</v>
      </c>
      <c r="W4" s="48">
        <f t="shared" ref="W4:W34" si="0">SUM(C4:V4)</f>
        <v>22822.22</v>
      </c>
      <c r="X4" s="49"/>
      <c r="Y4" s="50"/>
    </row>
    <row r="5" spans="1:47">
      <c r="A5" s="47">
        <v>5</v>
      </c>
      <c r="B5" s="47" t="s">
        <v>6</v>
      </c>
      <c r="C5" s="48">
        <f>3116+382</f>
        <v>3498</v>
      </c>
      <c r="D5" s="48"/>
      <c r="E5" s="48"/>
      <c r="F5" s="48"/>
      <c r="G5" s="48"/>
      <c r="H5" s="48"/>
      <c r="I5" s="48">
        <v>1500</v>
      </c>
      <c r="J5" s="48"/>
      <c r="K5" s="48"/>
      <c r="L5" s="48"/>
      <c r="M5" s="48"/>
      <c r="N5" s="48"/>
      <c r="O5" s="48"/>
      <c r="P5" s="48"/>
      <c r="Q5" s="48"/>
      <c r="R5" s="48">
        <v>9373</v>
      </c>
      <c r="S5" s="48">
        <v>199</v>
      </c>
      <c r="T5" s="48"/>
      <c r="U5" s="48"/>
      <c r="V5" s="48"/>
      <c r="W5" s="48">
        <f t="shared" si="0"/>
        <v>14570</v>
      </c>
      <c r="X5" s="49"/>
      <c r="Y5" s="50"/>
    </row>
    <row r="6" spans="1:47">
      <c r="A6" s="47">
        <v>6</v>
      </c>
      <c r="B6" s="47" t="s">
        <v>7</v>
      </c>
      <c r="C6" s="48">
        <v>918</v>
      </c>
      <c r="D6" s="48">
        <v>994</v>
      </c>
      <c r="E6" s="48"/>
      <c r="F6" s="48"/>
      <c r="G6" s="48"/>
      <c r="H6" s="48"/>
      <c r="I6" s="48"/>
      <c r="J6" s="48"/>
      <c r="K6" s="48">
        <v>3464</v>
      </c>
      <c r="L6" s="48"/>
      <c r="M6" s="48"/>
      <c r="N6" s="48"/>
      <c r="O6" s="48"/>
      <c r="P6" s="48">
        <f>500+288</f>
        <v>788</v>
      </c>
      <c r="Q6" s="48"/>
      <c r="R6" s="48"/>
      <c r="S6" s="48">
        <v>990</v>
      </c>
      <c r="T6" s="48"/>
      <c r="U6" s="48"/>
      <c r="V6" s="48"/>
      <c r="W6" s="48">
        <f t="shared" si="0"/>
        <v>7154</v>
      </c>
      <c r="X6" s="49"/>
      <c r="Y6" s="50"/>
    </row>
    <row r="7" spans="1:47">
      <c r="A7" s="47">
        <v>7</v>
      </c>
      <c r="B7" s="47" t="s">
        <v>8</v>
      </c>
      <c r="C7" s="48"/>
      <c r="D7" s="48">
        <v>714</v>
      </c>
      <c r="E7" s="48"/>
      <c r="F7" s="48"/>
      <c r="G7" s="48"/>
      <c r="H7" s="48"/>
      <c r="I7" s="48"/>
      <c r="J7" s="48"/>
      <c r="K7" s="48"/>
      <c r="L7" s="48"/>
      <c r="M7" s="48"/>
      <c r="N7" s="48"/>
      <c r="O7" s="48"/>
      <c r="P7" s="48">
        <f>500+280</f>
        <v>780</v>
      </c>
      <c r="Q7" s="48"/>
      <c r="R7" s="48"/>
      <c r="S7" s="48"/>
      <c r="T7" s="48"/>
      <c r="U7" s="48"/>
      <c r="V7" s="48"/>
      <c r="W7" s="48">
        <f t="shared" si="0"/>
        <v>1494</v>
      </c>
      <c r="X7" s="49"/>
      <c r="Y7" s="50"/>
    </row>
    <row r="8" spans="1:47">
      <c r="A8" s="47">
        <v>8</v>
      </c>
      <c r="B8" s="47" t="s">
        <v>2</v>
      </c>
      <c r="C8" s="48"/>
      <c r="D8" s="48"/>
      <c r="E8" s="48"/>
      <c r="F8" s="48">
        <v>420</v>
      </c>
      <c r="G8" s="48">
        <v>835</v>
      </c>
      <c r="H8" s="48">
        <v>285</v>
      </c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>
        <f t="shared" si="0"/>
        <v>1540</v>
      </c>
      <c r="X8" s="49"/>
      <c r="Y8" s="50"/>
    </row>
    <row r="9" spans="1:47">
      <c r="A9" s="47">
        <v>9</v>
      </c>
      <c r="B9" s="47" t="s">
        <v>3</v>
      </c>
      <c r="C9" s="48">
        <v>863</v>
      </c>
      <c r="D9" s="48">
        <v>710</v>
      </c>
      <c r="E9" s="48"/>
      <c r="F9" s="48"/>
      <c r="G9" s="48"/>
      <c r="H9" s="48"/>
      <c r="I9" s="48"/>
      <c r="J9" s="48"/>
      <c r="K9" s="48"/>
      <c r="L9" s="48"/>
      <c r="M9" s="48"/>
      <c r="N9" s="48"/>
      <c r="O9" s="48">
        <v>409</v>
      </c>
      <c r="P9" s="48"/>
      <c r="Q9" s="48"/>
      <c r="R9" s="48"/>
      <c r="S9" s="48"/>
      <c r="T9" s="48"/>
      <c r="U9" s="48"/>
      <c r="V9" s="48"/>
      <c r="W9" s="48">
        <f t="shared" si="0"/>
        <v>1982</v>
      </c>
      <c r="X9" s="49"/>
      <c r="Y9" s="50"/>
    </row>
    <row r="10" spans="1:47">
      <c r="A10" s="47">
        <v>10</v>
      </c>
      <c r="B10" s="47" t="s">
        <v>4</v>
      </c>
      <c r="C10" s="48">
        <v>319</v>
      </c>
      <c r="D10" s="48">
        <v>940</v>
      </c>
      <c r="E10" s="48">
        <v>1895</v>
      </c>
      <c r="F10" s="48"/>
      <c r="G10" s="48">
        <v>835</v>
      </c>
      <c r="H10" s="48"/>
      <c r="I10" s="48">
        <v>1034</v>
      </c>
      <c r="J10" s="48"/>
      <c r="K10" s="48"/>
      <c r="L10" s="48"/>
      <c r="M10" s="48"/>
      <c r="N10" s="48"/>
      <c r="O10" s="48">
        <v>275</v>
      </c>
      <c r="P10" s="48"/>
      <c r="Q10" s="48"/>
      <c r="R10" s="48"/>
      <c r="S10" s="48"/>
      <c r="T10" s="48"/>
      <c r="U10" s="48"/>
      <c r="V10" s="48"/>
      <c r="W10" s="48">
        <f t="shared" si="0"/>
        <v>5298</v>
      </c>
      <c r="X10" s="49"/>
      <c r="Y10" s="50"/>
    </row>
    <row r="11" spans="1:47">
      <c r="A11" s="47">
        <v>11</v>
      </c>
      <c r="B11" s="47" t="s">
        <v>5</v>
      </c>
      <c r="C11" s="48">
        <f>790+282</f>
        <v>1072</v>
      </c>
      <c r="D11" s="48">
        <v>1311</v>
      </c>
      <c r="E11" s="48"/>
      <c r="F11" s="48"/>
      <c r="G11" s="48"/>
      <c r="H11" s="48"/>
      <c r="I11" s="48"/>
      <c r="J11" s="48"/>
      <c r="K11" s="48"/>
      <c r="L11" s="48"/>
      <c r="M11" s="48"/>
      <c r="N11" s="48">
        <f>1500+1900</f>
        <v>3400</v>
      </c>
      <c r="O11" s="48">
        <f>302+243</f>
        <v>545</v>
      </c>
      <c r="P11" s="48"/>
      <c r="Q11" s="48"/>
      <c r="R11" s="48"/>
      <c r="S11" s="48"/>
      <c r="T11" s="48"/>
      <c r="U11" s="48"/>
      <c r="V11" s="48"/>
      <c r="W11" s="48">
        <f t="shared" si="0"/>
        <v>6328</v>
      </c>
      <c r="X11" s="49">
        <v>5000</v>
      </c>
      <c r="Y11" s="50"/>
    </row>
    <row r="12" spans="1:47">
      <c r="A12" s="47">
        <v>12</v>
      </c>
      <c r="B12" s="47" t="s">
        <v>6</v>
      </c>
      <c r="C12" s="48">
        <f>69+603</f>
        <v>672</v>
      </c>
      <c r="D12" s="48"/>
      <c r="E12" s="48"/>
      <c r="F12" s="48"/>
      <c r="G12" s="48"/>
      <c r="H12" s="48"/>
      <c r="I12" s="48"/>
      <c r="J12" s="48"/>
      <c r="K12" s="48"/>
      <c r="L12" s="48"/>
      <c r="M12" s="48"/>
      <c r="N12" s="48"/>
      <c r="O12" s="48"/>
      <c r="P12" s="48"/>
      <c r="Q12" s="48"/>
      <c r="R12" s="48"/>
      <c r="S12" s="48"/>
      <c r="T12" s="48"/>
      <c r="U12" s="48"/>
      <c r="V12" s="48"/>
      <c r="W12" s="48">
        <f t="shared" si="0"/>
        <v>672</v>
      </c>
      <c r="X12" s="49">
        <v>10000</v>
      </c>
      <c r="Y12" s="50"/>
    </row>
    <row r="13" spans="1:47">
      <c r="A13" s="47">
        <v>13</v>
      </c>
      <c r="B13" s="47" t="s">
        <v>7</v>
      </c>
      <c r="C13" s="48"/>
      <c r="D13" s="48"/>
      <c r="E13" s="48"/>
      <c r="F13" s="48"/>
      <c r="G13" s="48"/>
      <c r="H13" s="48"/>
      <c r="I13" s="48"/>
      <c r="J13" s="48"/>
      <c r="K13" s="48"/>
      <c r="L13" s="48"/>
      <c r="M13" s="48"/>
      <c r="N13" s="48"/>
      <c r="O13" s="48"/>
      <c r="P13" s="48"/>
      <c r="Q13" s="48"/>
      <c r="R13" s="48"/>
      <c r="S13" s="48"/>
      <c r="T13" s="48"/>
      <c r="U13" s="48"/>
      <c r="V13" s="48"/>
      <c r="W13" s="48">
        <f t="shared" si="0"/>
        <v>0</v>
      </c>
      <c r="X13" s="49"/>
      <c r="Y13" s="50"/>
    </row>
    <row r="14" spans="1:47">
      <c r="A14" s="47">
        <v>14</v>
      </c>
      <c r="B14" s="47" t="s">
        <v>8</v>
      </c>
      <c r="C14" s="48">
        <v>879</v>
      </c>
      <c r="D14" s="48"/>
      <c r="E14" s="48"/>
      <c r="F14" s="48">
        <v>1080</v>
      </c>
      <c r="G14" s="48">
        <v>580</v>
      </c>
      <c r="H14" s="48">
        <v>1261</v>
      </c>
      <c r="I14" s="48"/>
      <c r="J14" s="48"/>
      <c r="K14" s="48"/>
      <c r="L14" s="48"/>
      <c r="M14" s="48"/>
      <c r="N14" s="48"/>
      <c r="O14" s="48">
        <v>305</v>
      </c>
      <c r="P14" s="48"/>
      <c r="Q14" s="48"/>
      <c r="R14" s="48"/>
      <c r="S14" s="48"/>
      <c r="T14" s="48"/>
      <c r="U14" s="48"/>
      <c r="V14" s="48"/>
      <c r="W14" s="48">
        <f t="shared" si="0"/>
        <v>4105</v>
      </c>
      <c r="X14" s="49"/>
      <c r="Y14" s="50"/>
    </row>
    <row r="15" spans="1:47">
      <c r="A15" s="47">
        <v>15</v>
      </c>
      <c r="B15" s="47" t="s">
        <v>2</v>
      </c>
      <c r="C15" s="48">
        <v>700</v>
      </c>
      <c r="D15" s="48"/>
      <c r="E15" s="48"/>
      <c r="F15" s="48">
        <v>990</v>
      </c>
      <c r="G15" s="48"/>
      <c r="H15" s="48">
        <v>2200</v>
      </c>
      <c r="I15" s="48"/>
      <c r="J15" s="48"/>
      <c r="K15" s="48"/>
      <c r="L15" s="48"/>
      <c r="M15" s="48"/>
      <c r="N15" s="48"/>
      <c r="O15" s="48">
        <v>369</v>
      </c>
      <c r="P15" s="48"/>
      <c r="Q15" s="48"/>
      <c r="R15" s="48"/>
      <c r="S15" s="48"/>
      <c r="T15" s="48">
        <v>1400</v>
      </c>
      <c r="U15" s="48"/>
      <c r="V15" s="48"/>
      <c r="W15" s="48">
        <f t="shared" si="0"/>
        <v>5659</v>
      </c>
      <c r="X15" s="49"/>
      <c r="Y15" s="50"/>
    </row>
    <row r="16" spans="1:47">
      <c r="A16" s="47">
        <v>16</v>
      </c>
      <c r="B16" s="47" t="s">
        <v>3</v>
      </c>
      <c r="C16" s="48">
        <f>160+263</f>
        <v>423</v>
      </c>
      <c r="D16" s="48"/>
      <c r="E16" s="48"/>
      <c r="F16" s="48"/>
      <c r="G16" s="48"/>
      <c r="H16" s="48"/>
      <c r="I16" s="48"/>
      <c r="J16" s="48"/>
      <c r="K16" s="48"/>
      <c r="L16" s="48"/>
      <c r="M16" s="48"/>
      <c r="N16" s="48"/>
      <c r="O16" s="48"/>
      <c r="P16" s="48"/>
      <c r="Q16" s="48"/>
      <c r="R16" s="48"/>
      <c r="S16" s="48"/>
      <c r="T16" s="48">
        <v>450</v>
      </c>
      <c r="U16" s="48"/>
      <c r="V16" s="48"/>
      <c r="W16" s="48">
        <f t="shared" si="0"/>
        <v>873</v>
      </c>
      <c r="X16" s="49"/>
      <c r="Y16" s="50"/>
    </row>
    <row r="17" spans="1:27">
      <c r="A17" s="47">
        <v>17</v>
      </c>
      <c r="B17" s="47" t="s">
        <v>4</v>
      </c>
      <c r="C17" s="48"/>
      <c r="D17" s="48"/>
      <c r="E17" s="48">
        <v>1116</v>
      </c>
      <c r="F17" s="48"/>
      <c r="G17" s="48"/>
      <c r="H17" s="48"/>
      <c r="I17" s="48"/>
      <c r="J17" s="48"/>
      <c r="K17" s="48"/>
      <c r="L17" s="48"/>
      <c r="M17" s="48"/>
      <c r="N17" s="48"/>
      <c r="O17" s="48">
        <v>307</v>
      </c>
      <c r="P17" s="48"/>
      <c r="Q17" s="48">
        <v>800</v>
      </c>
      <c r="R17" s="48"/>
      <c r="S17" s="48"/>
      <c r="T17" s="48"/>
      <c r="U17" s="48"/>
      <c r="V17" s="48"/>
      <c r="W17" s="48">
        <f t="shared" si="0"/>
        <v>2223</v>
      </c>
      <c r="X17" s="49"/>
      <c r="Y17" s="50"/>
    </row>
    <row r="18" spans="1:27">
      <c r="A18" s="47">
        <v>18</v>
      </c>
      <c r="B18" s="47" t="s">
        <v>5</v>
      </c>
      <c r="C18" s="48">
        <f>1357.83+470</f>
        <v>1827.83</v>
      </c>
      <c r="D18" s="48"/>
      <c r="E18" s="48"/>
      <c r="F18" s="48"/>
      <c r="G18" s="48"/>
      <c r="H18" s="48"/>
      <c r="I18" s="48"/>
      <c r="J18" s="48"/>
      <c r="K18" s="48"/>
      <c r="L18" s="48"/>
      <c r="M18" s="48"/>
      <c r="N18" s="48"/>
      <c r="O18" s="48">
        <v>187</v>
      </c>
      <c r="P18" s="48"/>
      <c r="Q18" s="48"/>
      <c r="R18" s="48"/>
      <c r="S18" s="48"/>
      <c r="T18" s="48"/>
      <c r="U18" s="48"/>
      <c r="V18" s="48"/>
      <c r="W18" s="48">
        <f t="shared" si="0"/>
        <v>2014.83</v>
      </c>
      <c r="X18" s="49"/>
      <c r="Y18" s="50"/>
    </row>
    <row r="19" spans="1:27">
      <c r="A19" s="47">
        <v>19</v>
      </c>
      <c r="B19" s="47" t="s">
        <v>6</v>
      </c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>
        <v>700</v>
      </c>
      <c r="T19" s="48"/>
      <c r="U19" s="48"/>
      <c r="V19" s="48"/>
      <c r="W19" s="48">
        <f t="shared" si="0"/>
        <v>700</v>
      </c>
      <c r="X19" s="49"/>
      <c r="Y19" s="50"/>
    </row>
    <row r="20" spans="1:27">
      <c r="A20" s="61" t="s">
        <v>68</v>
      </c>
      <c r="B20" s="62"/>
      <c r="C20" s="52">
        <f>SUM(C3:C19)</f>
        <v>12278.83</v>
      </c>
      <c r="D20" s="52">
        <f t="shared" ref="D20:V20" si="1">SUM(D3:D19)</f>
        <v>8348</v>
      </c>
      <c r="E20" s="52">
        <f t="shared" si="1"/>
        <v>3011</v>
      </c>
      <c r="F20" s="52">
        <f t="shared" si="1"/>
        <v>2490</v>
      </c>
      <c r="G20" s="52">
        <f t="shared" si="1"/>
        <v>2250</v>
      </c>
      <c r="H20" s="52">
        <f t="shared" si="1"/>
        <v>7794</v>
      </c>
      <c r="I20" s="52">
        <f t="shared" si="1"/>
        <v>2534</v>
      </c>
      <c r="J20" s="52">
        <f t="shared" si="1"/>
        <v>0</v>
      </c>
      <c r="K20" s="52">
        <f t="shared" si="1"/>
        <v>7127.2199999999993</v>
      </c>
      <c r="L20" s="52">
        <f t="shared" si="1"/>
        <v>0</v>
      </c>
      <c r="M20" s="52">
        <f t="shared" si="1"/>
        <v>0</v>
      </c>
      <c r="N20" s="52">
        <f t="shared" si="1"/>
        <v>8750</v>
      </c>
      <c r="O20" s="52">
        <f t="shared" si="1"/>
        <v>2397</v>
      </c>
      <c r="P20" s="52">
        <f t="shared" si="1"/>
        <v>1568</v>
      </c>
      <c r="Q20" s="52">
        <f t="shared" si="1"/>
        <v>27325</v>
      </c>
      <c r="R20" s="52">
        <f t="shared" si="1"/>
        <v>9373</v>
      </c>
      <c r="S20" s="52">
        <f t="shared" si="1"/>
        <v>8150</v>
      </c>
      <c r="T20" s="52">
        <f t="shared" si="1"/>
        <v>8850</v>
      </c>
      <c r="U20" s="52">
        <f t="shared" si="1"/>
        <v>1740</v>
      </c>
      <c r="V20" s="52">
        <f t="shared" si="1"/>
        <v>2860</v>
      </c>
      <c r="W20" s="52">
        <f>SUM(W3:W19)</f>
        <v>116846.05</v>
      </c>
      <c r="X20" s="53">
        <f>SUM(X3:X19)</f>
        <v>115688</v>
      </c>
      <c r="Y20" s="54">
        <f>X20-W20</f>
        <v>-1158.0500000000029</v>
      </c>
    </row>
    <row r="21" spans="1:27">
      <c r="A21" s="39">
        <v>20</v>
      </c>
      <c r="B21" s="39" t="s">
        <v>7</v>
      </c>
      <c r="C21" s="40">
        <v>2409</v>
      </c>
      <c r="D21" s="40">
        <v>299</v>
      </c>
      <c r="E21" s="40"/>
      <c r="F21" s="40"/>
      <c r="G21" s="40"/>
      <c r="H21" s="40"/>
      <c r="I21" s="40"/>
      <c r="J21" s="40"/>
      <c r="K21" s="40"/>
      <c r="L21" s="40"/>
      <c r="M21" s="40"/>
      <c r="N21" s="40"/>
      <c r="O21" s="40">
        <v>187</v>
      </c>
      <c r="P21" s="40"/>
      <c r="Q21" s="40"/>
      <c r="R21" s="40"/>
      <c r="S21" s="40">
        <f>4660</f>
        <v>4660</v>
      </c>
      <c r="T21" s="40">
        <v>1634</v>
      </c>
      <c r="U21" s="40"/>
      <c r="V21" s="40"/>
      <c r="W21" s="40">
        <f t="shared" si="0"/>
        <v>9189</v>
      </c>
      <c r="X21" s="41">
        <v>36010</v>
      </c>
      <c r="Y21" s="42"/>
    </row>
    <row r="22" spans="1:27">
      <c r="A22" s="47">
        <v>21</v>
      </c>
      <c r="B22" s="47" t="s">
        <v>8</v>
      </c>
      <c r="C22" s="48">
        <v>374</v>
      </c>
      <c r="D22" s="48"/>
      <c r="E22" s="48"/>
      <c r="F22" s="48">
        <v>1080</v>
      </c>
      <c r="G22" s="48"/>
      <c r="H22" s="48">
        <v>572</v>
      </c>
      <c r="I22" s="48"/>
      <c r="J22" s="48"/>
      <c r="K22" s="48"/>
      <c r="L22" s="48"/>
      <c r="M22" s="48"/>
      <c r="N22" s="48"/>
      <c r="O22" s="48">
        <v>215</v>
      </c>
      <c r="P22" s="48"/>
      <c r="Q22" s="48"/>
      <c r="R22" s="48"/>
      <c r="S22" s="48"/>
      <c r="T22" s="48">
        <v>3700</v>
      </c>
      <c r="U22" s="48"/>
      <c r="V22" s="48"/>
      <c r="W22" s="48">
        <f t="shared" si="0"/>
        <v>5941</v>
      </c>
      <c r="X22" s="49"/>
      <c r="Y22" s="50"/>
      <c r="AA22" s="51"/>
    </row>
    <row r="23" spans="1:27">
      <c r="A23" s="47">
        <v>22</v>
      </c>
      <c r="B23" s="47" t="s">
        <v>2</v>
      </c>
      <c r="C23" s="48">
        <v>1027.8900000000001</v>
      </c>
      <c r="D23" s="48"/>
      <c r="E23" s="48"/>
      <c r="F23" s="48"/>
      <c r="G23" s="48">
        <v>835</v>
      </c>
      <c r="H23" s="48"/>
      <c r="I23" s="48"/>
      <c r="J23" s="48"/>
      <c r="K23" s="48"/>
      <c r="L23" s="48"/>
      <c r="M23" s="48"/>
      <c r="N23" s="48"/>
      <c r="O23" s="48">
        <v>265</v>
      </c>
      <c r="P23" s="48"/>
      <c r="Q23" s="48"/>
      <c r="R23" s="48"/>
      <c r="S23" s="48"/>
      <c r="T23" s="48"/>
      <c r="U23" s="48"/>
      <c r="V23" s="48"/>
      <c r="W23" s="48">
        <f t="shared" si="0"/>
        <v>2127.8900000000003</v>
      </c>
      <c r="X23" s="49"/>
      <c r="Y23" s="50"/>
    </row>
    <row r="24" spans="1:27">
      <c r="A24" s="47">
        <v>23</v>
      </c>
      <c r="B24" s="47" t="s">
        <v>3</v>
      </c>
      <c r="C24" s="48"/>
      <c r="D24" s="48"/>
      <c r="E24" s="48">
        <v>1344</v>
      </c>
      <c r="F24" s="48"/>
      <c r="G24" s="48"/>
      <c r="H24" s="48"/>
      <c r="I24" s="48"/>
      <c r="J24" s="48"/>
      <c r="K24" s="48"/>
      <c r="L24" s="48"/>
      <c r="M24" s="48"/>
      <c r="N24" s="48"/>
      <c r="O24" s="48">
        <v>349</v>
      </c>
      <c r="P24" s="48"/>
      <c r="Q24" s="48">
        <v>1000</v>
      </c>
      <c r="R24" s="48"/>
      <c r="S24" s="48"/>
      <c r="T24" s="48"/>
      <c r="U24" s="48"/>
      <c r="V24" s="48"/>
      <c r="W24" s="48">
        <f t="shared" si="0"/>
        <v>2693</v>
      </c>
      <c r="X24" s="49"/>
      <c r="Y24" s="50"/>
    </row>
    <row r="25" spans="1:27">
      <c r="A25" s="47">
        <v>24</v>
      </c>
      <c r="B25" s="47" t="s">
        <v>4</v>
      </c>
      <c r="C25" s="48">
        <v>1755</v>
      </c>
      <c r="D25" s="48"/>
      <c r="E25" s="48"/>
      <c r="F25" s="48">
        <v>1331</v>
      </c>
      <c r="G25" s="48"/>
      <c r="H25" s="48"/>
      <c r="I25" s="48"/>
      <c r="J25" s="48"/>
      <c r="K25" s="48"/>
      <c r="L25" s="48"/>
      <c r="M25" s="48"/>
      <c r="N25" s="48"/>
      <c r="O25" s="48">
        <v>180</v>
      </c>
      <c r="P25" s="48"/>
      <c r="Q25" s="48">
        <v>500</v>
      </c>
      <c r="R25" s="48"/>
      <c r="S25" s="48"/>
      <c r="T25" s="48"/>
      <c r="U25" s="48"/>
      <c r="V25" s="48"/>
      <c r="W25" s="48">
        <f t="shared" si="0"/>
        <v>3766</v>
      </c>
      <c r="X25" s="49"/>
      <c r="Y25" s="50"/>
    </row>
    <row r="26" spans="1:27">
      <c r="A26" s="47">
        <v>25</v>
      </c>
      <c r="B26" s="47" t="s">
        <v>5</v>
      </c>
      <c r="C26" s="48">
        <v>525</v>
      </c>
      <c r="D26" s="48">
        <v>1326</v>
      </c>
      <c r="E26" s="48"/>
      <c r="F26" s="48"/>
      <c r="G26" s="48"/>
      <c r="H26" s="48"/>
      <c r="I26" s="48"/>
      <c r="J26" s="48"/>
      <c r="K26" s="48"/>
      <c r="L26" s="48"/>
      <c r="M26" s="48"/>
      <c r="N26" s="48"/>
      <c r="O26" s="48">
        <v>251</v>
      </c>
      <c r="P26" s="48"/>
      <c r="Q26" s="48">
        <v>300</v>
      </c>
      <c r="R26" s="48"/>
      <c r="S26" s="48"/>
      <c r="T26" s="48"/>
      <c r="U26" s="48"/>
      <c r="V26" s="48"/>
      <c r="W26" s="48">
        <f t="shared" si="0"/>
        <v>2402</v>
      </c>
      <c r="X26" s="49"/>
      <c r="Y26" s="50"/>
    </row>
    <row r="27" spans="1:27">
      <c r="A27" s="47">
        <v>26</v>
      </c>
      <c r="B27" s="47" t="s">
        <v>6</v>
      </c>
      <c r="C27" s="48"/>
      <c r="D27" s="48">
        <v>2161</v>
      </c>
      <c r="E27" s="48">
        <v>1336</v>
      </c>
      <c r="F27" s="48"/>
      <c r="G27" s="48"/>
      <c r="H27" s="48"/>
      <c r="I27" s="48"/>
      <c r="J27" s="48"/>
      <c r="K27" s="48"/>
      <c r="L27" s="48"/>
      <c r="M27" s="48"/>
      <c r="N27" s="48"/>
      <c r="O27" s="48"/>
      <c r="P27" s="48"/>
      <c r="Q27" s="48">
        <v>151</v>
      </c>
      <c r="R27" s="48"/>
      <c r="S27" s="48"/>
      <c r="T27" s="48"/>
      <c r="U27" s="48"/>
      <c r="V27" s="48"/>
      <c r="W27" s="48">
        <f t="shared" si="0"/>
        <v>3648</v>
      </c>
      <c r="X27" s="49"/>
      <c r="Y27" s="50"/>
    </row>
    <row r="28" spans="1:27">
      <c r="A28" s="47">
        <v>27</v>
      </c>
      <c r="B28" s="47" t="s">
        <v>7</v>
      </c>
      <c r="C28" s="48"/>
      <c r="D28" s="48">
        <v>1417</v>
      </c>
      <c r="E28" s="48"/>
      <c r="F28" s="48"/>
      <c r="G28" s="48"/>
      <c r="H28" s="48"/>
      <c r="I28" s="48"/>
      <c r="J28" s="48"/>
      <c r="K28" s="48"/>
      <c r="L28" s="48"/>
      <c r="M28" s="48"/>
      <c r="N28" s="48"/>
      <c r="O28" s="48">
        <f>677+345</f>
        <v>1022</v>
      </c>
      <c r="P28" s="48"/>
      <c r="Q28" s="48"/>
      <c r="R28" s="48"/>
      <c r="S28" s="48"/>
      <c r="T28" s="48"/>
      <c r="U28" s="48"/>
      <c r="V28" s="48"/>
      <c r="W28" s="48">
        <f t="shared" si="0"/>
        <v>2439</v>
      </c>
      <c r="X28" s="49"/>
      <c r="Y28" s="50"/>
    </row>
    <row r="29" spans="1:27">
      <c r="A29" s="47">
        <v>28</v>
      </c>
      <c r="B29" s="47" t="s">
        <v>8</v>
      </c>
      <c r="C29" s="48"/>
      <c r="D29" s="48">
        <v>1796</v>
      </c>
      <c r="E29" s="48"/>
      <c r="F29" s="48"/>
      <c r="G29" s="48">
        <v>485</v>
      </c>
      <c r="H29" s="48">
        <v>1360</v>
      </c>
      <c r="I29" s="48"/>
      <c r="J29" s="48"/>
      <c r="K29" s="48"/>
      <c r="L29" s="48"/>
      <c r="M29" s="48"/>
      <c r="N29" s="48"/>
      <c r="O29" s="48">
        <f>319+442</f>
        <v>761</v>
      </c>
      <c r="P29" s="48"/>
      <c r="Q29" s="48"/>
      <c r="R29" s="48"/>
      <c r="S29" s="48">
        <v>249</v>
      </c>
      <c r="T29" s="48"/>
      <c r="U29" s="48"/>
      <c r="V29" s="48"/>
      <c r="W29" s="48">
        <f t="shared" si="0"/>
        <v>4651</v>
      </c>
      <c r="X29" s="49"/>
      <c r="Y29" s="50"/>
    </row>
    <row r="30" spans="1:27">
      <c r="A30" s="47">
        <v>29</v>
      </c>
      <c r="B30" s="47" t="s">
        <v>2</v>
      </c>
      <c r="C30" s="48"/>
      <c r="D30" s="48"/>
      <c r="E30" s="48"/>
      <c r="F30" s="48">
        <v>614</v>
      </c>
      <c r="G30" s="48"/>
      <c r="H30" s="48"/>
      <c r="I30" s="48"/>
      <c r="J30" s="48"/>
      <c r="K30" s="48"/>
      <c r="L30" s="48"/>
      <c r="M30" s="48"/>
      <c r="N30" s="48"/>
      <c r="O30" s="48">
        <v>207</v>
      </c>
      <c r="P30" s="48"/>
      <c r="Q30" s="48"/>
      <c r="R30" s="48"/>
      <c r="S30" s="48"/>
      <c r="T30" s="48"/>
      <c r="U30" s="48"/>
      <c r="V30" s="48"/>
      <c r="W30" s="48">
        <f t="shared" si="0"/>
        <v>821</v>
      </c>
      <c r="X30" s="49"/>
      <c r="Y30" s="50"/>
    </row>
    <row r="31" spans="1:27">
      <c r="A31" s="47">
        <v>30</v>
      </c>
      <c r="B31" s="47" t="s">
        <v>3</v>
      </c>
      <c r="C31" s="48"/>
      <c r="D31" s="48"/>
      <c r="E31" s="48"/>
      <c r="F31" s="48"/>
      <c r="G31" s="48"/>
      <c r="H31" s="48"/>
      <c r="I31" s="48"/>
      <c r="J31" s="48"/>
      <c r="K31" s="48"/>
      <c r="L31" s="48"/>
      <c r="M31" s="48"/>
      <c r="N31" s="48"/>
      <c r="O31" s="48"/>
      <c r="P31" s="48"/>
      <c r="Q31" s="48"/>
      <c r="R31" s="48"/>
      <c r="S31" s="48"/>
      <c r="T31" s="48"/>
      <c r="U31" s="48"/>
      <c r="V31" s="48"/>
      <c r="W31" s="48">
        <f t="shared" si="0"/>
        <v>0</v>
      </c>
      <c r="X31" s="49"/>
      <c r="Y31" s="50"/>
    </row>
    <row r="32" spans="1:27">
      <c r="A32" s="47">
        <v>1</v>
      </c>
      <c r="B32" s="47" t="s">
        <v>4</v>
      </c>
      <c r="C32" s="48"/>
      <c r="D32" s="48"/>
      <c r="E32" s="48"/>
      <c r="F32" s="48"/>
      <c r="G32" s="48"/>
      <c r="H32" s="48"/>
      <c r="I32" s="48"/>
      <c r="J32" s="48"/>
      <c r="K32" s="48"/>
      <c r="L32" s="48"/>
      <c r="M32" s="48"/>
      <c r="N32" s="48"/>
      <c r="O32" s="48"/>
      <c r="P32" s="48"/>
      <c r="Q32" s="48"/>
      <c r="R32" s="48"/>
      <c r="S32" s="48"/>
      <c r="T32" s="48"/>
      <c r="U32" s="48"/>
      <c r="V32" s="48"/>
      <c r="W32" s="48">
        <f t="shared" si="0"/>
        <v>0</v>
      </c>
      <c r="X32" s="49"/>
      <c r="Y32" s="50"/>
    </row>
    <row r="33" spans="1:25">
      <c r="A33" s="47">
        <v>2</v>
      </c>
      <c r="B33" s="47" t="s">
        <v>5</v>
      </c>
      <c r="C33" s="48"/>
      <c r="D33" s="48"/>
      <c r="E33" s="48"/>
      <c r="F33" s="48"/>
      <c r="G33" s="48"/>
      <c r="H33" s="48"/>
      <c r="I33" s="48"/>
      <c r="J33" s="48"/>
      <c r="K33" s="48"/>
      <c r="L33" s="48"/>
      <c r="M33" s="48"/>
      <c r="N33" s="48"/>
      <c r="O33" s="48"/>
      <c r="P33" s="48"/>
      <c r="Q33" s="48"/>
      <c r="R33" s="48"/>
      <c r="S33" s="48"/>
      <c r="T33" s="48"/>
      <c r="U33" s="48"/>
      <c r="V33" s="48"/>
      <c r="W33" s="48">
        <f t="shared" si="0"/>
        <v>0</v>
      </c>
      <c r="X33" s="49"/>
      <c r="Y33" s="50"/>
    </row>
    <row r="34" spans="1:25">
      <c r="A34" s="47">
        <v>3</v>
      </c>
      <c r="B34" s="47" t="s">
        <v>6</v>
      </c>
      <c r="C34" s="48"/>
      <c r="D34" s="48"/>
      <c r="E34" s="48"/>
      <c r="F34" s="48"/>
      <c r="G34" s="48"/>
      <c r="H34" s="48"/>
      <c r="I34" s="48"/>
      <c r="J34" s="48"/>
      <c r="K34" s="48"/>
      <c r="L34" s="48"/>
      <c r="M34" s="48"/>
      <c r="N34" s="48"/>
      <c r="O34" s="48"/>
      <c r="P34" s="48"/>
      <c r="Q34" s="48"/>
      <c r="R34" s="48"/>
      <c r="S34" s="48"/>
      <c r="T34" s="48"/>
      <c r="U34" s="48"/>
      <c r="V34" s="48"/>
      <c r="W34" s="48">
        <f t="shared" si="0"/>
        <v>0</v>
      </c>
      <c r="X34" s="49"/>
      <c r="Y34" s="50"/>
    </row>
    <row r="35" spans="1:25">
      <c r="A35" s="47">
        <v>4</v>
      </c>
      <c r="B35" s="47" t="s">
        <v>7</v>
      </c>
      <c r="C35" s="48"/>
      <c r="D35" s="48"/>
      <c r="E35" s="48"/>
      <c r="F35" s="48"/>
      <c r="G35" s="48"/>
      <c r="H35" s="48"/>
      <c r="I35" s="48"/>
      <c r="J35" s="48"/>
      <c r="K35" s="48"/>
      <c r="L35" s="48"/>
      <c r="M35" s="48"/>
      <c r="N35" s="48"/>
      <c r="O35" s="48"/>
      <c r="P35" s="48"/>
      <c r="Q35" s="48"/>
      <c r="R35" s="48"/>
      <c r="S35" s="48"/>
      <c r="T35" s="48"/>
      <c r="U35" s="48"/>
      <c r="V35" s="48"/>
      <c r="W35" s="48">
        <f>SUM(C35:V35)</f>
        <v>0</v>
      </c>
      <c r="X35" s="49"/>
      <c r="Y35" s="50"/>
    </row>
    <row r="36" spans="1:25">
      <c r="A36" s="61" t="s">
        <v>69</v>
      </c>
      <c r="B36" s="62"/>
      <c r="C36" s="52">
        <f>SUM(C21:C35)</f>
        <v>6090.89</v>
      </c>
      <c r="D36" s="52">
        <f t="shared" ref="D36:V36" si="2">SUM(D21:D35)</f>
        <v>6999</v>
      </c>
      <c r="E36" s="52">
        <f t="shared" si="2"/>
        <v>2680</v>
      </c>
      <c r="F36" s="52">
        <f t="shared" si="2"/>
        <v>3025</v>
      </c>
      <c r="G36" s="52">
        <f t="shared" si="2"/>
        <v>1320</v>
      </c>
      <c r="H36" s="52">
        <f t="shared" si="2"/>
        <v>1932</v>
      </c>
      <c r="I36" s="52">
        <f t="shared" si="2"/>
        <v>0</v>
      </c>
      <c r="J36" s="52">
        <f t="shared" si="2"/>
        <v>0</v>
      </c>
      <c r="K36" s="52">
        <f t="shared" si="2"/>
        <v>0</v>
      </c>
      <c r="L36" s="52">
        <f t="shared" si="2"/>
        <v>0</v>
      </c>
      <c r="M36" s="52">
        <f t="shared" si="2"/>
        <v>0</v>
      </c>
      <c r="N36" s="52">
        <f t="shared" si="2"/>
        <v>0</v>
      </c>
      <c r="O36" s="52">
        <f t="shared" si="2"/>
        <v>3437</v>
      </c>
      <c r="P36" s="52">
        <f t="shared" si="2"/>
        <v>0</v>
      </c>
      <c r="Q36" s="52">
        <f t="shared" si="2"/>
        <v>1951</v>
      </c>
      <c r="R36" s="52">
        <f t="shared" si="2"/>
        <v>0</v>
      </c>
      <c r="S36" s="52">
        <f t="shared" si="2"/>
        <v>4909</v>
      </c>
      <c r="T36" s="52">
        <f>SUM(T21:T35)</f>
        <v>5334</v>
      </c>
      <c r="U36" s="52">
        <f t="shared" si="2"/>
        <v>0</v>
      </c>
      <c r="V36" s="52">
        <f t="shared" si="2"/>
        <v>0</v>
      </c>
      <c r="W36" s="52">
        <f>SUM(W21:W35)</f>
        <v>37677.89</v>
      </c>
      <c r="X36" s="53">
        <f>SUM(X21:X35)</f>
        <v>36010</v>
      </c>
      <c r="Y36" s="54">
        <f>X36-W36</f>
        <v>-1667.8899999999994</v>
      </c>
    </row>
    <row r="37" spans="1:25" ht="31.5" customHeight="1">
      <c r="A37" s="60" t="s">
        <v>70</v>
      </c>
      <c r="B37" s="60"/>
      <c r="C37" s="55">
        <f>SUM(C20,C36)</f>
        <v>18369.72</v>
      </c>
      <c r="D37" s="55">
        <f t="shared" ref="D37:V37" si="3">SUM(D20,D36)</f>
        <v>15347</v>
      </c>
      <c r="E37" s="55">
        <f t="shared" si="3"/>
        <v>5691</v>
      </c>
      <c r="F37" s="55">
        <f t="shared" si="3"/>
        <v>5515</v>
      </c>
      <c r="G37" s="55">
        <f t="shared" si="3"/>
        <v>3570</v>
      </c>
      <c r="H37" s="55">
        <f t="shared" si="3"/>
        <v>9726</v>
      </c>
      <c r="I37" s="55">
        <f t="shared" si="3"/>
        <v>2534</v>
      </c>
      <c r="J37" s="55">
        <f t="shared" si="3"/>
        <v>0</v>
      </c>
      <c r="K37" s="55">
        <f t="shared" si="3"/>
        <v>7127.2199999999993</v>
      </c>
      <c r="L37" s="55">
        <f t="shared" si="3"/>
        <v>0</v>
      </c>
      <c r="M37" s="55">
        <f t="shared" si="3"/>
        <v>0</v>
      </c>
      <c r="N37" s="55">
        <f t="shared" si="3"/>
        <v>8750</v>
      </c>
      <c r="O37" s="55">
        <f t="shared" si="3"/>
        <v>5834</v>
      </c>
      <c r="P37" s="55">
        <f t="shared" si="3"/>
        <v>1568</v>
      </c>
      <c r="Q37" s="55">
        <f t="shared" si="3"/>
        <v>29276</v>
      </c>
      <c r="R37" s="55">
        <f t="shared" si="3"/>
        <v>9373</v>
      </c>
      <c r="S37" s="55">
        <f>SUM(S20,S36)</f>
        <v>13059</v>
      </c>
      <c r="T37" s="55">
        <f t="shared" si="3"/>
        <v>14184</v>
      </c>
      <c r="U37" s="55">
        <f t="shared" si="3"/>
        <v>1740</v>
      </c>
      <c r="V37" s="55">
        <f t="shared" si="3"/>
        <v>2860</v>
      </c>
      <c r="W37" s="55">
        <f t="shared" ref="W37" si="4">SUM(W20,W36)</f>
        <v>154523.94</v>
      </c>
      <c r="X37" s="55">
        <f>SUM(X20,X36)</f>
        <v>151698</v>
      </c>
      <c r="Y37" s="55">
        <f>SUM(Y20,Y36)</f>
        <v>-2825.9400000000023</v>
      </c>
    </row>
    <row r="41" spans="1:25">
      <c r="B41" s="6"/>
      <c r="C41" s="6"/>
      <c r="D41" s="6"/>
      <c r="E41" s="6"/>
      <c r="F41" s="6"/>
      <c r="G41" s="6"/>
      <c r="H41" s="6"/>
      <c r="I41" s="6"/>
      <c r="J41" s="6"/>
      <c r="K41" s="6"/>
    </row>
  </sheetData>
  <mergeCells count="4">
    <mergeCell ref="A1:Y1"/>
    <mergeCell ref="A37:B37"/>
    <mergeCell ref="A20:B20"/>
    <mergeCell ref="A36:B36"/>
  </mergeCells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>
  <dimension ref="A1:K24"/>
  <sheetViews>
    <sheetView workbookViewId="0">
      <selection activeCell="B20" sqref="B20"/>
    </sheetView>
  </sheetViews>
  <sheetFormatPr defaultRowHeight="15"/>
  <cols>
    <col min="1" max="1" width="9.140625" style="19"/>
    <col min="2" max="2" width="22.5703125" style="19" customWidth="1"/>
    <col min="3" max="3" width="12.42578125" style="19" customWidth="1"/>
    <col min="4" max="4" width="10.85546875" style="19" customWidth="1"/>
    <col min="5" max="5" width="17" style="19" bestFit="1" customWidth="1"/>
    <col min="6" max="7" width="9.140625" style="19"/>
    <col min="8" max="8" width="18.42578125" style="19" customWidth="1"/>
    <col min="9" max="9" width="13.140625" style="19" customWidth="1"/>
    <col min="10" max="10" width="9.7109375" style="19" customWidth="1"/>
    <col min="11" max="11" width="16.7109375" style="19" customWidth="1"/>
    <col min="12" max="16384" width="9.140625" style="19"/>
  </cols>
  <sheetData>
    <row r="1" spans="1:11">
      <c r="A1" s="63" t="s">
        <v>49</v>
      </c>
      <c r="B1" s="63"/>
      <c r="C1" s="63"/>
      <c r="D1" s="63"/>
      <c r="E1" s="63"/>
      <c r="G1" s="63" t="s">
        <v>50</v>
      </c>
      <c r="H1" s="63"/>
      <c r="I1" s="63"/>
      <c r="J1" s="63"/>
      <c r="K1" s="63"/>
    </row>
    <row r="2" spans="1:11">
      <c r="A2" t="s">
        <v>32</v>
      </c>
      <c r="B2" t="s">
        <v>28</v>
      </c>
      <c r="C2" t="s">
        <v>29</v>
      </c>
      <c r="D2" t="s">
        <v>30</v>
      </c>
      <c r="E2" t="s">
        <v>31</v>
      </c>
      <c r="G2" t="s">
        <v>32</v>
      </c>
      <c r="H2" t="s">
        <v>28</v>
      </c>
      <c r="I2" t="s">
        <v>29</v>
      </c>
      <c r="J2" t="s">
        <v>30</v>
      </c>
      <c r="K2" t="s">
        <v>31</v>
      </c>
    </row>
    <row r="3" spans="1:11">
      <c r="A3" s="18">
        <v>1</v>
      </c>
      <c r="B3" t="s">
        <v>35</v>
      </c>
      <c r="C3">
        <v>1</v>
      </c>
      <c r="D3" s="16">
        <v>90</v>
      </c>
      <c r="E3" s="16">
        <f>C3*D3</f>
        <v>90</v>
      </c>
      <c r="G3" s="18">
        <v>1</v>
      </c>
      <c r="H3" t="s">
        <v>48</v>
      </c>
      <c r="I3">
        <v>1</v>
      </c>
      <c r="J3" s="16">
        <v>318</v>
      </c>
      <c r="K3" s="16">
        <f>I3*J3</f>
        <v>318</v>
      </c>
    </row>
    <row r="4" spans="1:11" ht="30">
      <c r="A4" s="18">
        <v>2</v>
      </c>
      <c r="B4" t="s">
        <v>44</v>
      </c>
      <c r="C4">
        <v>1</v>
      </c>
      <c r="D4" s="16">
        <v>90</v>
      </c>
      <c r="E4" s="16">
        <f t="shared" ref="E4:E22" si="0">C4*D4</f>
        <v>90</v>
      </c>
      <c r="G4" s="18">
        <v>2</v>
      </c>
      <c r="H4" s="17" t="s">
        <v>43</v>
      </c>
      <c r="I4">
        <v>1</v>
      </c>
      <c r="J4" s="16">
        <v>255</v>
      </c>
      <c r="K4" s="16">
        <f>I4*J4</f>
        <v>255</v>
      </c>
    </row>
    <row r="5" spans="1:11">
      <c r="A5" s="18">
        <v>3</v>
      </c>
      <c r="B5" t="s">
        <v>45</v>
      </c>
      <c r="C5">
        <v>1</v>
      </c>
      <c r="D5" s="16">
        <v>90</v>
      </c>
      <c r="E5" s="16">
        <f t="shared" si="0"/>
        <v>90</v>
      </c>
      <c r="G5" s="18">
        <v>3</v>
      </c>
      <c r="H5" t="s">
        <v>56</v>
      </c>
      <c r="I5">
        <v>1</v>
      </c>
      <c r="J5" s="16">
        <v>1200</v>
      </c>
      <c r="K5" s="16">
        <f t="shared" ref="K5:K7" si="1">I5*J5</f>
        <v>1200</v>
      </c>
    </row>
    <row r="6" spans="1:11">
      <c r="A6" s="18">
        <v>4</v>
      </c>
      <c r="B6" t="s">
        <v>46</v>
      </c>
      <c r="C6">
        <v>1</v>
      </c>
      <c r="D6" s="16">
        <v>200</v>
      </c>
      <c r="E6" s="16">
        <f t="shared" si="0"/>
        <v>200</v>
      </c>
      <c r="G6" s="18">
        <v>4</v>
      </c>
      <c r="H6" t="s">
        <v>57</v>
      </c>
      <c r="I6">
        <v>1</v>
      </c>
      <c r="J6" s="16">
        <v>1100</v>
      </c>
      <c r="K6" s="16">
        <f t="shared" si="1"/>
        <v>1100</v>
      </c>
    </row>
    <row r="7" spans="1:11">
      <c r="A7" s="18">
        <v>5</v>
      </c>
      <c r="B7" t="s">
        <v>47</v>
      </c>
      <c r="C7">
        <v>1</v>
      </c>
      <c r="D7" s="16">
        <v>200</v>
      </c>
      <c r="E7" s="16">
        <f t="shared" si="0"/>
        <v>200</v>
      </c>
      <c r="G7" s="18">
        <v>5</v>
      </c>
      <c r="H7" t="s">
        <v>52</v>
      </c>
      <c r="I7">
        <v>1</v>
      </c>
      <c r="J7" s="16">
        <v>2000</v>
      </c>
      <c r="K7" s="16">
        <f t="shared" si="1"/>
        <v>2000</v>
      </c>
    </row>
    <row r="8" spans="1:11">
      <c r="A8" s="18">
        <v>6</v>
      </c>
      <c r="B8" t="s">
        <v>34</v>
      </c>
      <c r="C8">
        <v>1</v>
      </c>
      <c r="D8" s="16">
        <v>193</v>
      </c>
      <c r="E8" s="16">
        <f t="shared" si="0"/>
        <v>193</v>
      </c>
      <c r="G8" s="65" t="s">
        <v>61</v>
      </c>
      <c r="H8" s="65"/>
      <c r="I8" s="65"/>
      <c r="J8" s="65"/>
      <c r="K8" s="20">
        <f>SUM(K3:K7)</f>
        <v>4873</v>
      </c>
    </row>
    <row r="9" spans="1:11">
      <c r="A9" s="18">
        <v>7</v>
      </c>
      <c r="B9" t="s">
        <v>36</v>
      </c>
      <c r="C9">
        <v>6</v>
      </c>
      <c r="D9" s="16">
        <v>90</v>
      </c>
      <c r="E9" s="16">
        <f t="shared" si="0"/>
        <v>540</v>
      </c>
      <c r="G9" s="21"/>
      <c r="J9" s="22"/>
      <c r="K9" s="22"/>
    </row>
    <row r="10" spans="1:11">
      <c r="A10" s="18">
        <v>8</v>
      </c>
      <c r="B10" t="s">
        <v>37</v>
      </c>
      <c r="C10">
        <v>1</v>
      </c>
      <c r="D10" s="16">
        <v>350</v>
      </c>
      <c r="E10" s="16">
        <f t="shared" si="0"/>
        <v>350</v>
      </c>
      <c r="G10" s="21"/>
      <c r="J10" s="22"/>
      <c r="K10" s="22"/>
    </row>
    <row r="11" spans="1:11">
      <c r="A11" s="18">
        <v>9</v>
      </c>
      <c r="B11" t="s">
        <v>38</v>
      </c>
      <c r="C11">
        <v>1</v>
      </c>
      <c r="D11" s="16">
        <v>250</v>
      </c>
      <c r="E11" s="16">
        <f t="shared" si="0"/>
        <v>250</v>
      </c>
      <c r="G11" s="21"/>
      <c r="J11" s="22"/>
      <c r="K11" s="22"/>
    </row>
    <row r="12" spans="1:11">
      <c r="A12" s="18">
        <v>10</v>
      </c>
      <c r="B12" t="s">
        <v>33</v>
      </c>
      <c r="C12">
        <v>1</v>
      </c>
      <c r="D12" s="16">
        <v>500</v>
      </c>
      <c r="E12" s="16">
        <f t="shared" si="0"/>
        <v>500</v>
      </c>
      <c r="G12" s="21"/>
      <c r="J12" s="22"/>
      <c r="K12" s="22"/>
    </row>
    <row r="13" spans="1:11">
      <c r="A13" s="18">
        <v>11</v>
      </c>
      <c r="B13" t="s">
        <v>39</v>
      </c>
      <c r="C13">
        <v>1</v>
      </c>
      <c r="D13" s="16">
        <v>150</v>
      </c>
      <c r="E13" s="16">
        <f t="shared" si="0"/>
        <v>150</v>
      </c>
      <c r="G13" s="21"/>
      <c r="J13" s="22"/>
      <c r="K13" s="22"/>
    </row>
    <row r="14" spans="1:11">
      <c r="A14" s="18">
        <v>12</v>
      </c>
      <c r="B14" t="s">
        <v>40</v>
      </c>
      <c r="C14">
        <v>1</v>
      </c>
      <c r="D14" s="16">
        <v>300</v>
      </c>
      <c r="E14" s="16">
        <f t="shared" si="0"/>
        <v>300</v>
      </c>
      <c r="G14" s="21"/>
      <c r="J14" s="22"/>
      <c r="K14" s="22"/>
    </row>
    <row r="15" spans="1:11">
      <c r="A15" s="18">
        <v>13</v>
      </c>
      <c r="B15" t="s">
        <v>41</v>
      </c>
      <c r="C15">
        <v>1</v>
      </c>
      <c r="D15" s="16">
        <v>350</v>
      </c>
      <c r="E15" s="16">
        <f t="shared" si="0"/>
        <v>350</v>
      </c>
      <c r="G15" s="21"/>
      <c r="J15" s="22"/>
      <c r="K15" s="22"/>
    </row>
    <row r="16" spans="1:11">
      <c r="A16" s="18">
        <v>14</v>
      </c>
      <c r="B16" t="s">
        <v>42</v>
      </c>
      <c r="C16">
        <v>1</v>
      </c>
      <c r="D16" s="16">
        <v>350</v>
      </c>
      <c r="E16" s="16">
        <f t="shared" si="0"/>
        <v>350</v>
      </c>
      <c r="G16" s="21"/>
      <c r="J16" s="22"/>
      <c r="K16" s="22"/>
    </row>
    <row r="17" spans="1:11">
      <c r="A17" s="18">
        <v>15</v>
      </c>
      <c r="B17" t="s">
        <v>51</v>
      </c>
      <c r="C17">
        <v>2</v>
      </c>
      <c r="D17" s="16">
        <v>250</v>
      </c>
      <c r="E17" s="16">
        <f t="shared" si="0"/>
        <v>500</v>
      </c>
      <c r="G17" s="21"/>
      <c r="J17" s="22"/>
      <c r="K17" s="22"/>
    </row>
    <row r="18" spans="1:11">
      <c r="A18" s="18">
        <v>16</v>
      </c>
      <c r="B18" t="s">
        <v>53</v>
      </c>
      <c r="C18">
        <v>1</v>
      </c>
      <c r="D18" s="16">
        <v>200</v>
      </c>
      <c r="E18" s="16">
        <f t="shared" si="0"/>
        <v>200</v>
      </c>
    </row>
    <row r="19" spans="1:11">
      <c r="A19" s="18">
        <v>17</v>
      </c>
      <c r="B19" t="s">
        <v>54</v>
      </c>
      <c r="C19">
        <v>1</v>
      </c>
      <c r="D19" s="16">
        <v>210</v>
      </c>
      <c r="E19" s="16">
        <f t="shared" si="0"/>
        <v>210</v>
      </c>
    </row>
    <row r="20" spans="1:11">
      <c r="A20" s="18">
        <v>18</v>
      </c>
      <c r="B20" t="s">
        <v>55</v>
      </c>
      <c r="C20">
        <v>1</v>
      </c>
      <c r="D20" s="16">
        <v>255</v>
      </c>
      <c r="E20" s="16">
        <f t="shared" si="0"/>
        <v>255</v>
      </c>
    </row>
    <row r="21" spans="1:11">
      <c r="A21" s="18">
        <v>19</v>
      </c>
      <c r="B21" t="s">
        <v>58</v>
      </c>
      <c r="C21">
        <v>1</v>
      </c>
      <c r="D21" s="16">
        <v>350</v>
      </c>
      <c r="E21" s="16">
        <f t="shared" si="0"/>
        <v>350</v>
      </c>
    </row>
    <row r="22" spans="1:11">
      <c r="A22" s="18">
        <v>20</v>
      </c>
      <c r="B22" t="s">
        <v>59</v>
      </c>
      <c r="C22">
        <v>1</v>
      </c>
      <c r="D22" s="16">
        <v>240</v>
      </c>
      <c r="E22" s="16">
        <f t="shared" si="0"/>
        <v>240</v>
      </c>
    </row>
    <row r="23" spans="1:11">
      <c r="A23" s="18">
        <v>15</v>
      </c>
      <c r="B23" t="s">
        <v>52</v>
      </c>
      <c r="C23">
        <v>3</v>
      </c>
      <c r="D23" s="16">
        <v>500</v>
      </c>
      <c r="E23" s="16">
        <f>C23*D23</f>
        <v>1500</v>
      </c>
    </row>
    <row r="24" spans="1:11">
      <c r="A24" s="64" t="s">
        <v>61</v>
      </c>
      <c r="B24" s="64"/>
      <c r="C24" s="64"/>
      <c r="D24" s="64"/>
      <c r="E24" s="20">
        <f>SUM(E3:E23)</f>
        <v>6908</v>
      </c>
    </row>
  </sheetData>
  <mergeCells count="4">
    <mergeCell ref="G1:K1"/>
    <mergeCell ref="A1:E1"/>
    <mergeCell ref="A24:D24"/>
    <mergeCell ref="G8:J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Февраль 2026</vt:lpstr>
      <vt:lpstr>Март 2026</vt:lpstr>
      <vt:lpstr>Апрель 2026</vt:lpstr>
      <vt:lpstr>Лист1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2026-04-29T11:35:37Z</dcterms:modified>
</cp:coreProperties>
</file>