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1"/>
  </bookViews>
  <sheets>
    <sheet name="Февраль 2026" sheetId="3" r:id="rId1"/>
    <sheet name="Март 2026" sheetId="1" r:id="rId2"/>
    <sheet name="Лист1" sheetId="2" r:id="rId3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/>
  <c r="C19"/>
  <c r="R19"/>
  <c r="R32" s="1"/>
  <c r="C18"/>
  <c r="N17"/>
  <c r="F16"/>
  <c r="F14"/>
  <c r="C13"/>
  <c r="N11"/>
  <c r="F11"/>
  <c r="G10"/>
  <c r="S10"/>
  <c r="S32" s="1"/>
  <c r="F10"/>
  <c r="F9"/>
  <c r="C6"/>
  <c r="D32"/>
  <c r="E32"/>
  <c r="I32"/>
  <c r="J32"/>
  <c r="K32"/>
  <c r="L32"/>
  <c r="M32"/>
  <c r="O32"/>
  <c r="P32"/>
  <c r="Q32"/>
  <c r="T32"/>
  <c r="U32"/>
  <c r="V30"/>
  <c r="V31"/>
  <c r="F32" l="1"/>
  <c r="R5"/>
  <c r="G5"/>
  <c r="C32" l="1"/>
  <c r="N4"/>
  <c r="S4"/>
  <c r="V4" s="1"/>
  <c r="C3"/>
  <c r="V3" s="1"/>
  <c r="H32"/>
  <c r="N32"/>
  <c r="G32"/>
  <c r="S27" i="3"/>
  <c r="F28"/>
  <c r="W32" i="1"/>
  <c r="V5"/>
  <c r="V6"/>
  <c r="V7"/>
  <c r="V8"/>
  <c r="V9"/>
  <c r="V10"/>
  <c r="V11"/>
  <c r="V12"/>
  <c r="V13"/>
  <c r="V14"/>
  <c r="V15"/>
  <c r="V16"/>
  <c r="V18"/>
  <c r="V19"/>
  <c r="V32" s="1"/>
  <c r="X32" s="1"/>
  <c r="V20"/>
  <c r="V21"/>
  <c r="V22"/>
  <c r="V23"/>
  <c r="V24"/>
  <c r="V25"/>
  <c r="V26"/>
  <c r="V27"/>
  <c r="V28"/>
  <c r="V29"/>
  <c r="F23" i="3" l="1"/>
  <c r="S23"/>
  <c r="N23"/>
  <c r="N24"/>
  <c r="U25"/>
  <c r="N25"/>
  <c r="N26"/>
  <c r="L26"/>
  <c r="F31"/>
  <c r="C20"/>
  <c r="G19"/>
  <c r="V17" i="1" l="1"/>
  <c r="V19" i="3"/>
  <c r="V20"/>
  <c r="V21"/>
  <c r="V22"/>
  <c r="V23"/>
  <c r="V24"/>
  <c r="V25"/>
  <c r="V26"/>
  <c r="V27"/>
  <c r="V28"/>
  <c r="V29"/>
  <c r="V30"/>
  <c r="V6"/>
  <c r="V7"/>
  <c r="V8"/>
  <c r="V9"/>
  <c r="V10"/>
  <c r="V14"/>
  <c r="V15"/>
  <c r="V16"/>
  <c r="V17"/>
  <c r="E31"/>
  <c r="G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V12" s="1"/>
  <c r="P11"/>
  <c r="P31" s="1"/>
  <c r="G11"/>
  <c r="C11"/>
  <c r="N6"/>
  <c r="N5"/>
  <c r="V5" s="1"/>
  <c r="N4"/>
  <c r="C3"/>
  <c r="V3" s="1"/>
  <c r="K7" i="2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N31" i="3" l="1"/>
  <c r="C31"/>
  <c r="V11"/>
  <c r="K8" i="2"/>
  <c r="E24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</commentList>
</comments>
</file>

<file path=xl/sharedStrings.xml><?xml version="1.0" encoding="utf-8"?>
<sst xmlns="http://schemas.openxmlformats.org/spreadsheetml/2006/main" count="149" uniqueCount="67">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</sst>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4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I34" sqref="I34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43" t="s">
        <v>27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44" t="s">
        <v>20</v>
      </c>
      <c r="B31" s="44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6"/>
  <sheetViews>
    <sheetView tabSelected="1" zoomScale="86" zoomScaleNormal="86" workbookViewId="0">
      <pane xSplit="2" ySplit="32" topLeftCell="C33" activePane="bottomRight" state="frozen"/>
      <selection pane="topRight" activeCell="C1" sqref="C1"/>
      <selection pane="bottomLeft" activeCell="A28" sqref="A28"/>
      <selection pane="bottomRight" activeCell="C32" sqref="C32:G32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46" t="s">
        <v>65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>
      <c r="A11" s="50">
        <v>13</v>
      </c>
      <c r="B11" s="50" t="s">
        <v>4</v>
      </c>
      <c r="C11" s="51"/>
      <c r="D11" s="51"/>
      <c r="E11" s="51"/>
      <c r="F11" s="51">
        <f>1070+60</f>
        <v>1130</v>
      </c>
      <c r="G11" s="51"/>
      <c r="H11" s="51"/>
      <c r="I11" s="51"/>
      <c r="J11" s="51"/>
      <c r="K11" s="51"/>
      <c r="L11" s="51"/>
      <c r="M11" s="51"/>
      <c r="N11" s="51">
        <f>251+328+262</f>
        <v>841</v>
      </c>
      <c r="O11" s="51"/>
      <c r="P11" s="51"/>
      <c r="Q11" s="51"/>
      <c r="R11" s="51"/>
      <c r="S11" s="51"/>
      <c r="T11" s="51"/>
      <c r="U11" s="51"/>
      <c r="V11" s="51">
        <f t="shared" si="0"/>
        <v>1971</v>
      </c>
      <c r="W11" s="52"/>
      <c r="X11" s="53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51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>
      <c r="A13" s="33">
        <v>15</v>
      </c>
      <c r="B13" s="33" t="s">
        <v>6</v>
      </c>
      <c r="C13" s="51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51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51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51">
        <v>350</v>
      </c>
      <c r="G15" s="34"/>
      <c r="H15" s="34"/>
      <c r="I15" s="34"/>
      <c r="J15" s="34"/>
      <c r="K15" s="34"/>
      <c r="L15" s="34"/>
      <c r="M15" s="34"/>
      <c r="N15" s="34"/>
      <c r="O15" s="51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51">
        <f>1080+109+350</f>
        <v>1539</v>
      </c>
      <c r="G16" s="34"/>
      <c r="H16" s="34"/>
      <c r="I16" s="34"/>
      <c r="J16" s="34"/>
      <c r="K16" s="34"/>
      <c r="L16" s="34"/>
      <c r="M16" s="34"/>
      <c r="N16" s="51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51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/>
      <c r="U20" s="34"/>
      <c r="V20" s="34">
        <f t="shared" si="0"/>
        <v>5500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>
        <f t="shared" si="0"/>
        <v>0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>
        <f t="shared" si="0"/>
        <v>0</v>
      </c>
      <c r="W22" s="35"/>
      <c r="X22" s="38"/>
    </row>
    <row r="23" spans="1:24">
      <c r="A23" s="33">
        <v>25</v>
      </c>
      <c r="B23" s="33" t="s">
        <v>2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>
        <f t="shared" si="0"/>
        <v>0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>
        <f t="shared" si="0"/>
        <v>0</v>
      </c>
      <c r="W25" s="35"/>
      <c r="X25" s="38"/>
    </row>
    <row r="26" spans="1:24">
      <c r="A26" s="33">
        <v>28</v>
      </c>
      <c r="B26" s="33" t="s">
        <v>5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>
        <f t="shared" si="0"/>
        <v>0</v>
      </c>
      <c r="W26" s="35"/>
      <c r="X26" s="38"/>
    </row>
    <row r="27" spans="1:24">
      <c r="A27" s="33">
        <v>29</v>
      </c>
      <c r="B27" s="33" t="s">
        <v>6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>
        <f t="shared" si="0"/>
        <v>0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>
        <f t="shared" si="0"/>
        <v>0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>
      <c r="A32" s="45" t="s">
        <v>20</v>
      </c>
      <c r="B32" s="45"/>
      <c r="C32" s="35">
        <f>SUM(C3:C31)</f>
        <v>13503.35</v>
      </c>
      <c r="D32" s="35">
        <f t="shared" ref="D32:U32" si="1">SUM(D3:D31)</f>
        <v>1191</v>
      </c>
      <c r="E32" s="35">
        <f t="shared" si="1"/>
        <v>0</v>
      </c>
      <c r="F32" s="35">
        <f t="shared" si="1"/>
        <v>7278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4183</v>
      </c>
      <c r="O32" s="35">
        <f t="shared" si="1"/>
        <v>1870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11767.95</v>
      </c>
      <c r="T32" s="35">
        <f t="shared" si="1"/>
        <v>7200</v>
      </c>
      <c r="U32" s="35">
        <f t="shared" si="1"/>
        <v>0</v>
      </c>
      <c r="V32" s="36">
        <f>SUM(V3:V31)</f>
        <v>69813.3</v>
      </c>
      <c r="W32" s="35">
        <f>SUM(W3:W29)</f>
        <v>68400</v>
      </c>
      <c r="X32" s="38">
        <f>W32-V32</f>
        <v>-1413.3000000000029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47" t="s">
        <v>49</v>
      </c>
      <c r="B1" s="47"/>
      <c r="C1" s="47"/>
      <c r="D1" s="47"/>
      <c r="E1" s="47"/>
      <c r="G1" s="47" t="s">
        <v>50</v>
      </c>
      <c r="H1" s="47"/>
      <c r="I1" s="47"/>
      <c r="J1" s="47"/>
      <c r="K1" s="47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49" t="s">
        <v>61</v>
      </c>
      <c r="H8" s="49"/>
      <c r="I8" s="49"/>
      <c r="J8" s="49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48" t="s">
        <v>61</v>
      </c>
      <c r="B24" s="48"/>
      <c r="C24" s="48"/>
      <c r="D24" s="48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Февраль 2026</vt:lpstr>
      <vt:lpstr>Март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2026-03-23T13:46:15Z</dcterms:modified>
</cp:coreProperties>
</file>