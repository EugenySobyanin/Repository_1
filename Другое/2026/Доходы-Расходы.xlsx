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/>
  </bookViews>
  <sheets>
    <sheet name="Февраль 2026" sheetId="3" r:id="rId1"/>
    <sheet name="Март 2026" sheetId="1" r:id="rId2"/>
    <sheet name="Лист1" sheetId="2" r:id="rId3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" i="3"/>
  <c r="C20"/>
  <c r="C30" s="1"/>
  <c r="G19"/>
  <c r="G30" s="1"/>
  <c r="S30"/>
  <c r="R30"/>
  <c r="N30"/>
  <c r="J30"/>
  <c r="D30"/>
  <c r="V18" l="1"/>
  <c r="V19"/>
  <c r="V20"/>
  <c r="V21"/>
  <c r="V22"/>
  <c r="V23"/>
  <c r="V24"/>
  <c r="V25"/>
  <c r="V26"/>
  <c r="V27"/>
  <c r="V28"/>
  <c r="V29"/>
  <c r="V30"/>
  <c r="V6"/>
  <c r="V7"/>
  <c r="V8"/>
  <c r="V9"/>
  <c r="V10"/>
  <c r="V11"/>
  <c r="V12"/>
  <c r="V13"/>
  <c r="V14"/>
  <c r="V15"/>
  <c r="V16"/>
  <c r="V17"/>
  <c r="V5"/>
  <c r="V4"/>
  <c r="V3"/>
  <c r="D31"/>
  <c r="E31"/>
  <c r="G31"/>
  <c r="H31"/>
  <c r="I31"/>
  <c r="J31"/>
  <c r="K31"/>
  <c r="L31"/>
  <c r="M31"/>
  <c r="N31"/>
  <c r="O31"/>
  <c r="P31"/>
  <c r="Q31"/>
  <c r="R31"/>
  <c r="S31"/>
  <c r="T31"/>
  <c r="U31"/>
  <c r="C31"/>
  <c r="N18"/>
  <c r="W18"/>
  <c r="W31"/>
  <c r="C13"/>
  <c r="P12"/>
  <c r="N12"/>
  <c r="D12"/>
  <c r="C12"/>
  <c r="P11"/>
  <c r="G11"/>
  <c r="C11"/>
  <c r="N6"/>
  <c r="N5"/>
  <c r="N4"/>
  <c r="C3"/>
  <c r="U13" i="1"/>
  <c r="E30"/>
  <c r="F30"/>
  <c r="U6"/>
  <c r="U5"/>
  <c r="U4"/>
  <c r="U3"/>
  <c r="K8" i="2"/>
  <c r="K7"/>
  <c r="E22"/>
  <c r="E24" s="1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K30" i="1"/>
  <c r="I30"/>
  <c r="J30"/>
  <c r="U7"/>
  <c r="U8"/>
  <c r="U9"/>
  <c r="U10"/>
  <c r="U14"/>
  <c r="U15"/>
  <c r="U16"/>
  <c r="U17"/>
  <c r="U18"/>
  <c r="U19"/>
  <c r="U20"/>
  <c r="U22"/>
  <c r="U23"/>
  <c r="U24"/>
  <c r="U25"/>
  <c r="U26"/>
  <c r="H30"/>
  <c r="L30"/>
  <c r="N30"/>
  <c r="P30"/>
  <c r="Q30"/>
  <c r="R30"/>
  <c r="S30"/>
  <c r="T30"/>
  <c r="V30"/>
  <c r="X30" i="3" l="1"/>
  <c r="O30" i="1"/>
  <c r="U12"/>
  <c r="U11"/>
  <c r="M30"/>
  <c r="C30"/>
  <c r="U21"/>
  <c r="V31" i="3" l="1"/>
  <c r="X17"/>
  <c r="U30" i="1"/>
  <c r="W3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</commentList>
</comments>
</file>

<file path=xl/sharedStrings.xml><?xml version="1.0" encoding="utf-8"?>
<sst xmlns="http://schemas.openxmlformats.org/spreadsheetml/2006/main" count="143" uniqueCount="65">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</sst>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4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9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12" fillId="9" borderId="1" xfId="0" applyFont="1" applyFill="1" applyBorder="1" applyAlignment="1">
      <alignment horizontal="center" vertical="center" wrapText="1"/>
    </xf>
    <xf numFmtId="0" fontId="13" fillId="10" borderId="4" xfId="0" applyFont="1" applyFill="1" applyBorder="1" applyAlignment="1">
      <alignment horizontal="center" vertical="center"/>
    </xf>
    <xf numFmtId="164" fontId="13" fillId="10" borderId="4" xfId="0" applyNumberFormat="1" applyFont="1" applyFill="1" applyBorder="1" applyAlignment="1">
      <alignment horizontal="center" vertical="center"/>
    </xf>
    <xf numFmtId="164" fontId="13" fillId="10" borderId="4" xfId="0" applyNumberFormat="1" applyFont="1" applyFill="1" applyBorder="1"/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3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164" fontId="13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tabSelected="1"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V35" sqref="V35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37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1">
        <v>5</v>
      </c>
      <c r="B3" s="31" t="s">
        <v>3</v>
      </c>
      <c r="C3" s="33">
        <f>183+2168</f>
        <v>2351</v>
      </c>
      <c r="D3" s="33">
        <v>3131</v>
      </c>
      <c r="E3" s="33"/>
      <c r="F3" s="33"/>
      <c r="G3" s="32"/>
      <c r="H3" s="32"/>
      <c r="I3" s="33"/>
      <c r="J3" s="33">
        <v>450</v>
      </c>
      <c r="K3" s="33"/>
      <c r="L3" s="33"/>
      <c r="M3" s="33"/>
      <c r="N3" s="33">
        <v>40</v>
      </c>
      <c r="O3" s="33"/>
      <c r="P3" s="33"/>
      <c r="Q3" s="33">
        <v>14418</v>
      </c>
      <c r="R3" s="33"/>
      <c r="S3" s="33">
        <v>5000</v>
      </c>
      <c r="T3" s="33"/>
      <c r="U3" s="33"/>
      <c r="V3" s="34">
        <f>SUM(C3:U3)</f>
        <v>25390</v>
      </c>
      <c r="W3" s="35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31">
        <v>20</v>
      </c>
      <c r="B18" s="31" t="s">
        <v>4</v>
      </c>
      <c r="C18" s="33"/>
      <c r="D18" s="32"/>
      <c r="E18" s="32"/>
      <c r="F18" s="32"/>
      <c r="G18" s="32"/>
      <c r="H18" s="32"/>
      <c r="I18" s="33">
        <v>1300</v>
      </c>
      <c r="J18" s="33"/>
      <c r="K18" s="33"/>
      <c r="L18" s="33"/>
      <c r="M18" s="33"/>
      <c r="N18" s="33">
        <f>1587+618</f>
        <v>2205</v>
      </c>
      <c r="O18" s="33"/>
      <c r="P18" s="33"/>
      <c r="Q18" s="33"/>
      <c r="R18" s="33"/>
      <c r="S18" s="33"/>
      <c r="T18" s="33"/>
      <c r="U18" s="33"/>
      <c r="V18" s="34">
        <f>SUM(C18:U18)</f>
        <v>3505</v>
      </c>
      <c r="W18" s="35">
        <f>30304+16451</f>
        <v>46755</v>
      </c>
      <c r="X18" s="36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360</v>
      </c>
      <c r="O23" s="7"/>
      <c r="P23" s="7"/>
      <c r="Q23" s="7"/>
      <c r="R23" s="7"/>
      <c r="S23" s="7"/>
      <c r="T23" s="7"/>
      <c r="U23" s="7"/>
      <c r="V23" s="8">
        <f t="shared" si="1"/>
        <v>360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1">
        <f t="shared" si="1"/>
        <v>0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8">
        <f t="shared" si="1"/>
        <v>0</v>
      </c>
      <c r="W25" s="9"/>
      <c r="X25" s="25"/>
    </row>
    <row r="26" spans="1:24">
      <c r="A26" s="5">
        <v>28</v>
      </c>
      <c r="B26" s="5" t="s">
        <v>5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1">
        <f t="shared" si="1"/>
        <v>0</v>
      </c>
      <c r="W26" s="12"/>
      <c r="X26" s="25"/>
    </row>
    <row r="27" spans="1:24">
      <c r="A27" s="5">
        <v>1</v>
      </c>
      <c r="B27" s="5" t="s">
        <v>6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8">
        <f t="shared" si="1"/>
        <v>0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1">
        <f t="shared" si="1"/>
        <v>0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8">
        <f t="shared" si="1"/>
        <v>0</v>
      </c>
      <c r="W29" s="12"/>
      <c r="X29" s="25"/>
    </row>
    <row r="30" spans="1:24">
      <c r="A30" s="5">
        <v>4</v>
      </c>
      <c r="B30" s="5" t="s">
        <v>2</v>
      </c>
      <c r="C30" s="14">
        <f>15000-SUM(C19:C29)</f>
        <v>11851</v>
      </c>
      <c r="D30" s="14">
        <f>12000-SUM(D19:D29)</f>
        <v>12000</v>
      </c>
      <c r="E30" s="10"/>
      <c r="F30" s="10"/>
      <c r="G30" s="14">
        <f>4200-SUM(G19:G29)</f>
        <v>65</v>
      </c>
      <c r="H30" s="10"/>
      <c r="I30" s="10"/>
      <c r="J30" s="14">
        <f>8000-SUM(J19:J29)</f>
        <v>8000</v>
      </c>
      <c r="K30" s="10"/>
      <c r="L30" s="10"/>
      <c r="M30" s="10"/>
      <c r="N30" s="14">
        <f>3500-SUM(N19:N29)</f>
        <v>2162</v>
      </c>
      <c r="O30" s="10"/>
      <c r="P30" s="10"/>
      <c r="Q30" s="10"/>
      <c r="R30" s="14">
        <f>2000-SUM(R19:R29)</f>
        <v>2000</v>
      </c>
      <c r="S30" s="14">
        <f>5000-SUM(S19:S29)</f>
        <v>5000</v>
      </c>
      <c r="T30" s="10"/>
      <c r="U30" s="10"/>
      <c r="V30" s="11">
        <f t="shared" si="1"/>
        <v>41078</v>
      </c>
      <c r="W30" s="12"/>
      <c r="X30" s="25">
        <f>W18+W21-SUM(V18:V30)</f>
        <v>-3205.4799999999959</v>
      </c>
    </row>
    <row r="31" spans="1:24">
      <c r="A31" s="38" t="s">
        <v>20</v>
      </c>
      <c r="B31" s="38"/>
      <c r="C31" s="13">
        <f>SUM(C3:C30)</f>
        <v>29330.45</v>
      </c>
      <c r="D31" s="13">
        <f t="shared" ref="D31:U31" si="2">SUM(D3:D30)</f>
        <v>23194</v>
      </c>
      <c r="E31" s="13">
        <f t="shared" si="2"/>
        <v>4516.4799999999996</v>
      </c>
      <c r="F31" s="13">
        <f>SUM(F3:F30)</f>
        <v>939</v>
      </c>
      <c r="G31" s="13">
        <f t="shared" si="2"/>
        <v>8610</v>
      </c>
      <c r="H31" s="13">
        <f t="shared" si="2"/>
        <v>0</v>
      </c>
      <c r="I31" s="13">
        <f t="shared" si="2"/>
        <v>2140</v>
      </c>
      <c r="J31" s="13">
        <f t="shared" si="2"/>
        <v>8450</v>
      </c>
      <c r="K31" s="13">
        <f t="shared" si="2"/>
        <v>0</v>
      </c>
      <c r="L31" s="13">
        <f t="shared" si="2"/>
        <v>0</v>
      </c>
      <c r="M31" s="13">
        <f t="shared" si="2"/>
        <v>0</v>
      </c>
      <c r="N31" s="13">
        <f t="shared" si="2"/>
        <v>8866</v>
      </c>
      <c r="O31" s="13">
        <f t="shared" si="2"/>
        <v>0</v>
      </c>
      <c r="P31" s="13">
        <f t="shared" si="2"/>
        <v>6337</v>
      </c>
      <c r="Q31" s="13">
        <f t="shared" si="2"/>
        <v>14418</v>
      </c>
      <c r="R31" s="13">
        <f t="shared" si="2"/>
        <v>2499</v>
      </c>
      <c r="S31" s="13">
        <f t="shared" si="2"/>
        <v>11055</v>
      </c>
      <c r="T31" s="13">
        <f t="shared" si="2"/>
        <v>0</v>
      </c>
      <c r="U31" s="13">
        <f t="shared" si="2"/>
        <v>0</v>
      </c>
      <c r="V31" s="13">
        <f t="shared" ref="V31:W31" si="3">SUM(V3:V26)</f>
        <v>79276.929999999993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34"/>
  <sheetViews>
    <sheetView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X17" sqref="X17"/>
    </sheetView>
  </sheetViews>
  <sheetFormatPr defaultRowHeight="1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>
      <c r="A1" s="40" t="s">
        <v>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</row>
    <row r="2" spans="1:45" ht="45" customHeight="1">
      <c r="A2" s="27" t="s">
        <v>0</v>
      </c>
      <c r="B2" s="27" t="s">
        <v>1</v>
      </c>
      <c r="C2" s="27" t="s">
        <v>9</v>
      </c>
      <c r="D2" s="27" t="s">
        <v>62</v>
      </c>
      <c r="E2" s="27" t="s">
        <v>10</v>
      </c>
      <c r="F2" s="27" t="s">
        <v>11</v>
      </c>
      <c r="G2" s="27" t="s">
        <v>63</v>
      </c>
      <c r="H2" s="27" t="s">
        <v>12</v>
      </c>
      <c r="I2" s="27" t="s">
        <v>24</v>
      </c>
      <c r="J2" s="27" t="s">
        <v>23</v>
      </c>
      <c r="K2" s="27" t="s">
        <v>13</v>
      </c>
      <c r="L2" s="27" t="s">
        <v>14</v>
      </c>
      <c r="M2" s="27" t="s">
        <v>15</v>
      </c>
      <c r="N2" s="27" t="s">
        <v>16</v>
      </c>
      <c r="O2" s="27" t="s">
        <v>60</v>
      </c>
      <c r="P2" s="27" t="s">
        <v>17</v>
      </c>
      <c r="Q2" s="27" t="s">
        <v>18</v>
      </c>
      <c r="R2" s="27" t="s">
        <v>25</v>
      </c>
      <c r="S2" s="27" t="s">
        <v>25</v>
      </c>
      <c r="T2" s="27" t="s">
        <v>26</v>
      </c>
      <c r="U2" s="27" t="s">
        <v>22</v>
      </c>
      <c r="V2" s="27" t="s">
        <v>19</v>
      </c>
      <c r="W2" s="27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>
      <c r="A3" s="28">
        <v>5</v>
      </c>
      <c r="B3" s="28" t="s">
        <v>3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>
        <f t="shared" ref="U3:U26" si="0">SUM(C3:T3)</f>
        <v>0</v>
      </c>
      <c r="V3" s="30"/>
      <c r="W3" s="41">
        <f>V30-U30</f>
        <v>0</v>
      </c>
    </row>
    <row r="4" spans="1:45">
      <c r="A4" s="28">
        <v>6</v>
      </c>
      <c r="B4" s="28" t="s">
        <v>4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>
        <f t="shared" si="0"/>
        <v>0</v>
      </c>
      <c r="V4" s="30"/>
      <c r="W4" s="41"/>
    </row>
    <row r="5" spans="1:45">
      <c r="A5" s="28">
        <v>7</v>
      </c>
      <c r="B5" s="28" t="s">
        <v>5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>
        <f t="shared" si="0"/>
        <v>0</v>
      </c>
      <c r="V5" s="30"/>
      <c r="W5" s="41"/>
    </row>
    <row r="6" spans="1:45">
      <c r="A6" s="28">
        <v>8</v>
      </c>
      <c r="B6" s="28" t="s">
        <v>6</v>
      </c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>
        <f t="shared" si="0"/>
        <v>0</v>
      </c>
      <c r="V6" s="30"/>
      <c r="W6" s="41"/>
    </row>
    <row r="7" spans="1:45">
      <c r="A7" s="28">
        <v>9</v>
      </c>
      <c r="B7" s="28" t="s">
        <v>7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>
        <f t="shared" si="0"/>
        <v>0</v>
      </c>
      <c r="V7" s="30"/>
      <c r="W7" s="41"/>
    </row>
    <row r="8" spans="1:45">
      <c r="A8" s="28">
        <v>10</v>
      </c>
      <c r="B8" s="28" t="s">
        <v>8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>
        <f t="shared" si="0"/>
        <v>0</v>
      </c>
      <c r="V8" s="30"/>
      <c r="W8" s="41"/>
    </row>
    <row r="9" spans="1:45">
      <c r="A9" s="28">
        <v>11</v>
      </c>
      <c r="B9" s="28" t="s">
        <v>2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f t="shared" si="0"/>
        <v>0</v>
      </c>
      <c r="V9" s="30"/>
      <c r="W9" s="41"/>
    </row>
    <row r="10" spans="1:45">
      <c r="A10" s="28">
        <v>12</v>
      </c>
      <c r="B10" s="28" t="s">
        <v>3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>
        <f t="shared" si="0"/>
        <v>0</v>
      </c>
      <c r="V10" s="30"/>
      <c r="W10" s="41"/>
    </row>
    <row r="11" spans="1:45">
      <c r="A11" s="28">
        <v>13</v>
      </c>
      <c r="B11" s="28" t="s">
        <v>4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>
        <f t="shared" si="0"/>
        <v>0</v>
      </c>
      <c r="V11" s="30"/>
      <c r="W11" s="41"/>
    </row>
    <row r="12" spans="1:45">
      <c r="A12" s="28">
        <v>14</v>
      </c>
      <c r="B12" s="28" t="s">
        <v>5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>
        <f t="shared" si="0"/>
        <v>0</v>
      </c>
      <c r="V12" s="30"/>
      <c r="W12" s="41"/>
    </row>
    <row r="13" spans="1:45">
      <c r="A13" s="28">
        <v>15</v>
      </c>
      <c r="B13" s="28" t="s">
        <v>6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>
        <f t="shared" si="0"/>
        <v>0</v>
      </c>
      <c r="V13" s="30"/>
      <c r="W13" s="41"/>
    </row>
    <row r="14" spans="1:45">
      <c r="A14" s="28">
        <v>16</v>
      </c>
      <c r="B14" s="28" t="s">
        <v>7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>
        <f t="shared" si="0"/>
        <v>0</v>
      </c>
      <c r="V14" s="30"/>
      <c r="W14" s="41"/>
    </row>
    <row r="15" spans="1:45">
      <c r="A15" s="28">
        <v>17</v>
      </c>
      <c r="B15" s="28" t="s">
        <v>8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>
        <f t="shared" si="0"/>
        <v>0</v>
      </c>
      <c r="V15" s="30"/>
      <c r="W15" s="41"/>
    </row>
    <row r="16" spans="1:45">
      <c r="A16" s="28">
        <v>18</v>
      </c>
      <c r="B16" s="28" t="s">
        <v>2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f t="shared" si="0"/>
        <v>0</v>
      </c>
      <c r="V16" s="30"/>
      <c r="W16" s="41"/>
    </row>
    <row r="17" spans="1:23">
      <c r="A17" s="28">
        <v>19</v>
      </c>
      <c r="B17" s="28" t="s">
        <v>3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>
        <f t="shared" si="0"/>
        <v>0</v>
      </c>
      <c r="V17" s="30"/>
      <c r="W17" s="41"/>
    </row>
    <row r="18" spans="1:23">
      <c r="A18" s="28">
        <v>20</v>
      </c>
      <c r="B18" s="28" t="s">
        <v>4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>
        <f t="shared" si="0"/>
        <v>0</v>
      </c>
      <c r="V18" s="30"/>
      <c r="W18" s="41"/>
    </row>
    <row r="19" spans="1:23">
      <c r="A19" s="28">
        <v>21</v>
      </c>
      <c r="B19" s="28" t="s">
        <v>5</v>
      </c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>
        <f t="shared" si="0"/>
        <v>0</v>
      </c>
      <c r="V19" s="30"/>
      <c r="W19" s="41"/>
    </row>
    <row r="20" spans="1:23">
      <c r="A20" s="28">
        <v>22</v>
      </c>
      <c r="B20" s="28" t="s">
        <v>6</v>
      </c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>
        <f t="shared" si="0"/>
        <v>0</v>
      </c>
      <c r="V20" s="30"/>
      <c r="W20" s="41"/>
    </row>
    <row r="21" spans="1:23">
      <c r="A21" s="28">
        <v>23</v>
      </c>
      <c r="B21" s="28" t="s">
        <v>7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>
        <f t="shared" si="0"/>
        <v>0</v>
      </c>
      <c r="V21" s="30"/>
      <c r="W21" s="41"/>
    </row>
    <row r="22" spans="1:23">
      <c r="A22" s="28">
        <v>24</v>
      </c>
      <c r="B22" s="28" t="s">
        <v>8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>
        <f t="shared" si="0"/>
        <v>0</v>
      </c>
      <c r="V22" s="30"/>
      <c r="W22" s="41"/>
    </row>
    <row r="23" spans="1:23">
      <c r="A23" s="28">
        <v>25</v>
      </c>
      <c r="B23" s="28" t="s">
        <v>2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>
        <f t="shared" si="0"/>
        <v>0</v>
      </c>
      <c r="V23" s="30"/>
      <c r="W23" s="41"/>
    </row>
    <row r="24" spans="1:23">
      <c r="A24" s="28">
        <v>26</v>
      </c>
      <c r="B24" s="28" t="s">
        <v>3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>
        <f t="shared" si="0"/>
        <v>0</v>
      </c>
      <c r="V24" s="30"/>
      <c r="W24" s="41"/>
    </row>
    <row r="25" spans="1:23">
      <c r="A25" s="28">
        <v>27</v>
      </c>
      <c r="B25" s="28" t="s">
        <v>4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>
        <f t="shared" si="0"/>
        <v>0</v>
      </c>
      <c r="V25" s="30"/>
      <c r="W25" s="41"/>
    </row>
    <row r="26" spans="1:23">
      <c r="A26" s="28">
        <v>28</v>
      </c>
      <c r="B26" s="28" t="s">
        <v>5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>
        <f t="shared" si="0"/>
        <v>0</v>
      </c>
      <c r="V26" s="30"/>
      <c r="W26" s="41"/>
    </row>
    <row r="27" spans="1:23">
      <c r="A27" s="28"/>
      <c r="B27" s="28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30"/>
      <c r="W27" s="41"/>
    </row>
    <row r="28" spans="1:23">
      <c r="A28" s="28"/>
      <c r="B28" s="28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30"/>
      <c r="W28" s="41"/>
    </row>
    <row r="29" spans="1:23">
      <c r="A29" s="28"/>
      <c r="B29" s="28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30"/>
      <c r="W29" s="41"/>
    </row>
    <row r="30" spans="1:23">
      <c r="A30" s="39" t="s">
        <v>20</v>
      </c>
      <c r="B30" s="39"/>
      <c r="C30" s="30">
        <f t="shared" ref="C30:V30" si="1">SUM(C3:C26)</f>
        <v>0</v>
      </c>
      <c r="D30" s="30"/>
      <c r="E30" s="30">
        <f t="shared" si="1"/>
        <v>0</v>
      </c>
      <c r="F30" s="30">
        <f t="shared" si="1"/>
        <v>0</v>
      </c>
      <c r="G30" s="30"/>
      <c r="H30" s="30">
        <f t="shared" si="1"/>
        <v>0</v>
      </c>
      <c r="I30" s="30">
        <f t="shared" si="1"/>
        <v>0</v>
      </c>
      <c r="J30" s="30">
        <f t="shared" si="1"/>
        <v>0</v>
      </c>
      <c r="K30" s="30">
        <f t="shared" si="1"/>
        <v>0</v>
      </c>
      <c r="L30" s="30">
        <f t="shared" si="1"/>
        <v>0</v>
      </c>
      <c r="M30" s="30">
        <f t="shared" si="1"/>
        <v>0</v>
      </c>
      <c r="N30" s="30">
        <f t="shared" si="1"/>
        <v>0</v>
      </c>
      <c r="O30" s="30">
        <f t="shared" si="1"/>
        <v>0</v>
      </c>
      <c r="P30" s="30">
        <f t="shared" si="1"/>
        <v>0</v>
      </c>
      <c r="Q30" s="30">
        <f t="shared" si="1"/>
        <v>0</v>
      </c>
      <c r="R30" s="30">
        <f t="shared" si="1"/>
        <v>0</v>
      </c>
      <c r="S30" s="30">
        <f t="shared" si="1"/>
        <v>0</v>
      </c>
      <c r="T30" s="30">
        <f t="shared" si="1"/>
        <v>0</v>
      </c>
      <c r="U30" s="30">
        <f t="shared" si="1"/>
        <v>0</v>
      </c>
      <c r="V30" s="30">
        <f t="shared" si="1"/>
        <v>0</v>
      </c>
      <c r="W30" s="41"/>
    </row>
    <row r="34" spans="2:9">
      <c r="B34" s="6"/>
      <c r="C34" s="6"/>
      <c r="D34" s="6"/>
      <c r="E34" s="6"/>
      <c r="F34" s="6"/>
      <c r="G34" s="6"/>
      <c r="H34" s="6"/>
      <c r="I34" s="6"/>
    </row>
  </sheetData>
  <mergeCells count="3">
    <mergeCell ref="A30:B30"/>
    <mergeCell ref="A1:W1"/>
    <mergeCell ref="W3:W3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42" t="s">
        <v>49</v>
      </c>
      <c r="B1" s="42"/>
      <c r="C1" s="42"/>
      <c r="D1" s="42"/>
      <c r="E1" s="42"/>
      <c r="G1" s="42" t="s">
        <v>50</v>
      </c>
      <c r="H1" s="42"/>
      <c r="I1" s="42"/>
      <c r="J1" s="42"/>
      <c r="K1" s="42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44" t="s">
        <v>61</v>
      </c>
      <c r="H8" s="44"/>
      <c r="I8" s="44"/>
      <c r="J8" s="44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43" t="s">
        <v>61</v>
      </c>
      <c r="B24" s="43"/>
      <c r="C24" s="43"/>
      <c r="D24" s="43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2026-02-25T06:28:51Z</dcterms:modified>
</cp:coreProperties>
</file>