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Февраль 2026" sheetId="3" r:id="rId1"/>
    <sheet name="Март 2026" sheetId="1" r:id="rId2"/>
    <sheet name="Лист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" i="1" l="1"/>
  <c r="G5" i="1"/>
  <c r="E17" i="1" l="1"/>
  <c r="C17" i="1"/>
  <c r="N4" i="1"/>
  <c r="S4" i="1"/>
  <c r="V4" i="1" s="1"/>
  <c r="C3" i="1"/>
  <c r="V3" i="1" s="1"/>
  <c r="H17" i="1"/>
  <c r="H30" i="1" s="1"/>
  <c r="N17" i="1"/>
  <c r="N30" i="1" s="1"/>
  <c r="G17" i="1"/>
  <c r="G30" i="1" s="1"/>
  <c r="E30" i="1"/>
  <c r="S27" i="3"/>
  <c r="F28" i="3"/>
  <c r="W30" i="1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D30" i="1"/>
  <c r="F30" i="1"/>
  <c r="I30" i="1"/>
  <c r="J30" i="1"/>
  <c r="K30" i="1"/>
  <c r="L30" i="1"/>
  <c r="M30" i="1"/>
  <c r="O30" i="1"/>
  <c r="P30" i="1"/>
  <c r="Q30" i="1"/>
  <c r="R30" i="1"/>
  <c r="T30" i="1"/>
  <c r="U30" i="1"/>
  <c r="S30" i="1" l="1"/>
  <c r="C30" i="1"/>
  <c r="F23" i="3"/>
  <c r="S23" i="3"/>
  <c r="N23" i="3"/>
  <c r="N24" i="3"/>
  <c r="U25" i="3"/>
  <c r="N25" i="3"/>
  <c r="N26" i="3"/>
  <c r="L26" i="3"/>
  <c r="F31" i="3"/>
  <c r="C20" i="3"/>
  <c r="G19" i="3"/>
  <c r="V17" i="1" l="1"/>
  <c r="X17" i="1" s="1"/>
  <c r="V19" i="3"/>
  <c r="V20" i="3"/>
  <c r="V21" i="3"/>
  <c r="V22" i="3"/>
  <c r="V23" i="3"/>
  <c r="V24" i="3"/>
  <c r="V25" i="3"/>
  <c r="V26" i="3"/>
  <c r="V27" i="3"/>
  <c r="V28" i="3"/>
  <c r="V29" i="3"/>
  <c r="V30" i="3"/>
  <c r="V6" i="3"/>
  <c r="V7" i="3"/>
  <c r="V8" i="3"/>
  <c r="V9" i="3"/>
  <c r="V10" i="3"/>
  <c r="V14" i="3"/>
  <c r="V15" i="3"/>
  <c r="V16" i="3"/>
  <c r="V17" i="3"/>
  <c r="E31" i="3"/>
  <c r="G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V12" i="3" s="1"/>
  <c r="P11" i="3"/>
  <c r="P31" i="3" s="1"/>
  <c r="G11" i="3"/>
  <c r="C11" i="3"/>
  <c r="N6" i="3"/>
  <c r="N5" i="3"/>
  <c r="V5" i="3" s="1"/>
  <c r="N4" i="3"/>
  <c r="C3" i="3"/>
  <c r="V3" i="3" s="1"/>
  <c r="K7" i="2"/>
  <c r="E22" i="2"/>
  <c r="E21" i="2"/>
  <c r="K5" i="2"/>
  <c r="K6" i="2"/>
  <c r="E20" i="2"/>
  <c r="E19" i="2"/>
  <c r="E18" i="2"/>
  <c r="E17" i="2"/>
  <c r="K4" i="2"/>
  <c r="K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3" i="2"/>
  <c r="E3" i="2"/>
  <c r="N31" i="3" l="1"/>
  <c r="C31" i="3"/>
  <c r="V11" i="3"/>
  <c r="K8" i="2"/>
  <c r="V30" i="1"/>
  <c r="E24" i="2"/>
  <c r="V4" i="3"/>
  <c r="X30" i="3"/>
  <c r="V31" i="3" l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на 8 марта</t>
        </r>
      </text>
    </comment>
  </commentList>
</comments>
</file>

<file path=xl/sharedStrings.xml><?xml version="1.0" encoding="utf-8"?>
<sst xmlns="http://schemas.openxmlformats.org/spreadsheetml/2006/main" count="147" uniqueCount="67">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</sst>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7" x14ac:knownFonts="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164" fontId="16" fillId="12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49" t="s">
        <v>27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</row>
    <row r="2" spans="1:46" ht="45" customHeight="1" x14ac:dyDescent="0.25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 x14ac:dyDescent="0.25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 x14ac:dyDescent="0.25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 x14ac:dyDescent="0.25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 x14ac:dyDescent="0.25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 x14ac:dyDescent="0.25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 x14ac:dyDescent="0.25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 x14ac:dyDescent="0.25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 x14ac:dyDescent="0.25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 x14ac:dyDescent="0.25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 x14ac:dyDescent="0.25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 x14ac:dyDescent="0.25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 x14ac:dyDescent="0.25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 x14ac:dyDescent="0.25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 x14ac:dyDescent="0.25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 x14ac:dyDescent="0.25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 x14ac:dyDescent="0.25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 x14ac:dyDescent="0.25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 x14ac:dyDescent="0.25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 x14ac:dyDescent="0.25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 x14ac:dyDescent="0.25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 x14ac:dyDescent="0.25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 x14ac:dyDescent="0.25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 x14ac:dyDescent="0.25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 x14ac:dyDescent="0.25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 x14ac:dyDescent="0.25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 x14ac:dyDescent="0.25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 x14ac:dyDescent="0.25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 x14ac:dyDescent="0.25">
      <c r="A31" s="50" t="s">
        <v>20</v>
      </c>
      <c r="B31" s="50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 x14ac:dyDescent="0.25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4"/>
  <sheetViews>
    <sheetView tabSelected="1" zoomScale="86" zoomScaleNormal="86" workbookViewId="0">
      <pane xSplit="2" ySplit="30" topLeftCell="C31" activePane="bottomRight" state="frozen"/>
      <selection pane="topRight" activeCell="C1" sqref="C1"/>
      <selection pane="bottomLeft" activeCell="A28" sqref="A28"/>
      <selection pane="bottomRight" activeCell="R6" sqref="R6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52" t="s">
        <v>65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46" ht="45" customHeight="1" x14ac:dyDescent="0.25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 x14ac:dyDescent="0.25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29" si="0">SUM(C4:U4)</f>
        <v>11685.95</v>
      </c>
      <c r="W4" s="35"/>
      <c r="X4" s="38"/>
    </row>
    <row r="5" spans="1:46" x14ac:dyDescent="0.25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 x14ac:dyDescent="0.25">
      <c r="A6" s="33">
        <v>8</v>
      </c>
      <c r="B6" s="33" t="s">
        <v>6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>
        <f t="shared" si="0"/>
        <v>0</v>
      </c>
      <c r="W6" s="35"/>
      <c r="X6" s="38"/>
    </row>
    <row r="7" spans="1:46" x14ac:dyDescent="0.25">
      <c r="A7" s="33">
        <v>9</v>
      </c>
      <c r="B7" s="33" t="s">
        <v>7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0</v>
      </c>
      <c r="W7" s="35"/>
      <c r="X7" s="38"/>
    </row>
    <row r="8" spans="1:46" x14ac:dyDescent="0.25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>
        <f t="shared" si="0"/>
        <v>0</v>
      </c>
      <c r="W8" s="35"/>
      <c r="X8" s="38"/>
    </row>
    <row r="9" spans="1:46" x14ac:dyDescent="0.25">
      <c r="A9" s="33">
        <v>11</v>
      </c>
      <c r="B9" s="33" t="s">
        <v>2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>
        <f t="shared" si="0"/>
        <v>0</v>
      </c>
      <c r="W9" s="35"/>
      <c r="X9" s="38"/>
    </row>
    <row r="10" spans="1:46" x14ac:dyDescent="0.25">
      <c r="A10" s="33">
        <v>12</v>
      </c>
      <c r="B10" s="33" t="s">
        <v>3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>
        <f t="shared" si="0"/>
        <v>0</v>
      </c>
      <c r="W10" s="35"/>
      <c r="X10" s="38"/>
    </row>
    <row r="11" spans="1:46" x14ac:dyDescent="0.25">
      <c r="A11" s="33">
        <v>13</v>
      </c>
      <c r="B11" s="33" t="s">
        <v>4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>
        <f t="shared" si="0"/>
        <v>0</v>
      </c>
      <c r="W11" s="35"/>
      <c r="X11" s="38"/>
    </row>
    <row r="12" spans="1:46" x14ac:dyDescent="0.25">
      <c r="A12" s="33">
        <v>14</v>
      </c>
      <c r="B12" s="33" t="s">
        <v>5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0</v>
      </c>
      <c r="W12" s="35"/>
      <c r="X12" s="38"/>
    </row>
    <row r="13" spans="1:46" x14ac:dyDescent="0.25">
      <c r="A13" s="33">
        <v>15</v>
      </c>
      <c r="B13" s="33" t="s">
        <v>6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0</v>
      </c>
      <c r="W13" s="35"/>
      <c r="X13" s="38"/>
    </row>
    <row r="14" spans="1:46" x14ac:dyDescent="0.25">
      <c r="A14" s="33">
        <v>16</v>
      </c>
      <c r="B14" s="33" t="s">
        <v>7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>
        <f t="shared" si="0"/>
        <v>0</v>
      </c>
      <c r="W14" s="35"/>
      <c r="X14" s="38"/>
    </row>
    <row r="15" spans="1:46" x14ac:dyDescent="0.25">
      <c r="A15" s="33">
        <v>17</v>
      </c>
      <c r="B15" s="33" t="s">
        <v>8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>
        <f t="shared" si="0"/>
        <v>0</v>
      </c>
      <c r="W15" s="35"/>
      <c r="X15" s="38"/>
    </row>
    <row r="16" spans="1:46" x14ac:dyDescent="0.25">
      <c r="A16" s="33">
        <v>18</v>
      </c>
      <c r="B16" s="33" t="s">
        <v>2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>
        <f t="shared" si="0"/>
        <v>0</v>
      </c>
      <c r="W16" s="35"/>
      <c r="X16" s="38"/>
    </row>
    <row r="17" spans="1:24" x14ac:dyDescent="0.25">
      <c r="A17" s="33">
        <v>19</v>
      </c>
      <c r="B17" s="33" t="s">
        <v>3</v>
      </c>
      <c r="C17" s="48">
        <f>(14500-SUM(C3:C16))  /2</f>
        <v>5901.3249999999998</v>
      </c>
      <c r="D17" s="34"/>
      <c r="E17" s="48">
        <f>(12000-SUM(E3:E16))/2</f>
        <v>6000</v>
      </c>
      <c r="F17" s="34"/>
      <c r="G17" s="48">
        <f>4400-SUM(G3:G16)</f>
        <v>992</v>
      </c>
      <c r="H17" s="48">
        <f>1300-SUM(H3:H16)</f>
        <v>1300</v>
      </c>
      <c r="I17" s="34"/>
      <c r="J17" s="34"/>
      <c r="K17" s="34"/>
      <c r="L17" s="34"/>
      <c r="M17" s="34"/>
      <c r="N17" s="48">
        <f>3200-SUM(N3:N16)</f>
        <v>1869</v>
      </c>
      <c r="O17" s="34"/>
      <c r="P17" s="34"/>
      <c r="Q17" s="34"/>
      <c r="R17" s="34"/>
      <c r="S17" s="34"/>
      <c r="T17" s="34"/>
      <c r="U17" s="34"/>
      <c r="V17" s="34">
        <f t="shared" si="0"/>
        <v>16062.325000000001</v>
      </c>
      <c r="W17" s="35"/>
      <c r="X17" s="47">
        <f>SUM(W3:W17)-SUM(V3:V17)</f>
        <v>-929.625</v>
      </c>
    </row>
    <row r="18" spans="1:24" x14ac:dyDescent="0.25">
      <c r="A18" s="43">
        <v>20</v>
      </c>
      <c r="B18" s="43" t="s">
        <v>4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>
        <f t="shared" si="0"/>
        <v>0</v>
      </c>
      <c r="W18" s="45"/>
      <c r="X18" s="46"/>
    </row>
    <row r="19" spans="1:24" x14ac:dyDescent="0.25">
      <c r="A19" s="33">
        <v>21</v>
      </c>
      <c r="B19" s="33" t="s">
        <v>5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48">
        <v>8000</v>
      </c>
      <c r="R19" s="34"/>
      <c r="S19" s="34"/>
      <c r="T19" s="34"/>
      <c r="U19" s="34"/>
      <c r="V19" s="34">
        <f t="shared" si="0"/>
        <v>8000</v>
      </c>
      <c r="W19" s="35"/>
      <c r="X19" s="38"/>
    </row>
    <row r="20" spans="1:24" x14ac:dyDescent="0.25">
      <c r="A20" s="33">
        <v>22</v>
      </c>
      <c r="B20" s="33" t="s">
        <v>6</v>
      </c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>
        <f t="shared" si="0"/>
        <v>0</v>
      </c>
      <c r="W20" s="35"/>
      <c r="X20" s="38"/>
    </row>
    <row r="21" spans="1:24" x14ac:dyDescent="0.25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>
        <f t="shared" si="0"/>
        <v>0</v>
      </c>
      <c r="W21" s="35"/>
      <c r="X21" s="38"/>
    </row>
    <row r="22" spans="1:24" x14ac:dyDescent="0.25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>
        <f t="shared" si="0"/>
        <v>0</v>
      </c>
      <c r="W22" s="35"/>
      <c r="X22" s="38"/>
    </row>
    <row r="23" spans="1:24" x14ac:dyDescent="0.25">
      <c r="A23" s="33">
        <v>25</v>
      </c>
      <c r="B23" s="33" t="s">
        <v>2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>
        <f t="shared" si="0"/>
        <v>0</v>
      </c>
      <c r="W23" s="35"/>
      <c r="X23" s="38"/>
    </row>
    <row r="24" spans="1:24" x14ac:dyDescent="0.25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 x14ac:dyDescent="0.25">
      <c r="A25" s="33">
        <v>27</v>
      </c>
      <c r="B25" s="33" t="s">
        <v>4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>
        <f t="shared" si="0"/>
        <v>0</v>
      </c>
      <c r="W25" s="35"/>
      <c r="X25" s="38"/>
    </row>
    <row r="26" spans="1:24" x14ac:dyDescent="0.25">
      <c r="A26" s="33">
        <v>28</v>
      </c>
      <c r="B26" s="33" t="s">
        <v>5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>
        <f t="shared" si="0"/>
        <v>0</v>
      </c>
      <c r="W26" s="35"/>
      <c r="X26" s="38"/>
    </row>
    <row r="27" spans="1:24" x14ac:dyDescent="0.25">
      <c r="A27" s="33">
        <v>29</v>
      </c>
      <c r="B27" s="33" t="s">
        <v>6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>
        <f t="shared" si="0"/>
        <v>0</v>
      </c>
      <c r="W27" s="35"/>
      <c r="X27" s="38"/>
    </row>
    <row r="28" spans="1:24" x14ac:dyDescent="0.25">
      <c r="A28" s="33">
        <v>30</v>
      </c>
      <c r="B28" s="33" t="s">
        <v>7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>
        <f t="shared" si="0"/>
        <v>0</v>
      </c>
      <c r="W28" s="35"/>
      <c r="X28" s="38"/>
    </row>
    <row r="29" spans="1:24" x14ac:dyDescent="0.25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 x14ac:dyDescent="0.25">
      <c r="A30" s="51" t="s">
        <v>20</v>
      </c>
      <c r="B30" s="51"/>
      <c r="C30" s="35">
        <f>SUM(C3:C29)</f>
        <v>8598.6749999999993</v>
      </c>
      <c r="D30" s="35">
        <f t="shared" ref="D30:V30" si="1">SUM(D3:D29)</f>
        <v>0</v>
      </c>
      <c r="E30" s="35">
        <f t="shared" si="1"/>
        <v>6000</v>
      </c>
      <c r="F30" s="35">
        <f t="shared" si="1"/>
        <v>1610</v>
      </c>
      <c r="G30" s="35">
        <f t="shared" si="1"/>
        <v>4400</v>
      </c>
      <c r="H30" s="35">
        <f t="shared" si="1"/>
        <v>1300</v>
      </c>
      <c r="I30" s="35">
        <f t="shared" si="1"/>
        <v>0</v>
      </c>
      <c r="J30" s="35">
        <f t="shared" si="1"/>
        <v>0</v>
      </c>
      <c r="K30" s="35">
        <f t="shared" si="1"/>
        <v>0</v>
      </c>
      <c r="L30" s="35">
        <f t="shared" si="1"/>
        <v>0</v>
      </c>
      <c r="M30" s="35">
        <f t="shared" si="1"/>
        <v>0</v>
      </c>
      <c r="N30" s="35">
        <f t="shared" si="1"/>
        <v>3200</v>
      </c>
      <c r="O30" s="35">
        <f t="shared" si="1"/>
        <v>0</v>
      </c>
      <c r="P30" s="35">
        <f t="shared" si="1"/>
        <v>8428</v>
      </c>
      <c r="Q30" s="35">
        <f>SUM(Q4:Q29)</f>
        <v>8000</v>
      </c>
      <c r="R30" s="35">
        <f t="shared" si="1"/>
        <v>1991</v>
      </c>
      <c r="S30" s="35">
        <f t="shared" si="1"/>
        <v>3125.95</v>
      </c>
      <c r="T30" s="35">
        <f t="shared" si="1"/>
        <v>6000</v>
      </c>
      <c r="U30" s="35">
        <f t="shared" si="1"/>
        <v>0</v>
      </c>
      <c r="V30" s="36">
        <f t="shared" si="1"/>
        <v>52653.625</v>
      </c>
      <c r="W30" s="35">
        <f>SUM(W3:W29)</f>
        <v>43724</v>
      </c>
      <c r="X30" s="38"/>
    </row>
    <row r="34" spans="2:10" x14ac:dyDescent="0.25">
      <c r="B34" s="6"/>
      <c r="C34" s="6"/>
      <c r="D34" s="6"/>
      <c r="E34" s="6"/>
      <c r="F34" s="6"/>
      <c r="G34" s="6"/>
      <c r="H34" s="6"/>
      <c r="I34" s="6"/>
      <c r="J34" s="6"/>
    </row>
  </sheetData>
  <mergeCells count="2">
    <mergeCell ref="A30:B30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workbookViewId="0">
      <selection activeCell="B20" sqref="B20"/>
    </sheetView>
  </sheetViews>
  <sheetFormatPr defaultRowHeight="15" x14ac:dyDescent="0.2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 x14ac:dyDescent="0.25">
      <c r="A1" s="53" t="s">
        <v>49</v>
      </c>
      <c r="B1" s="53"/>
      <c r="C1" s="53"/>
      <c r="D1" s="53"/>
      <c r="E1" s="53"/>
      <c r="G1" s="53" t="s">
        <v>50</v>
      </c>
      <c r="H1" s="53"/>
      <c r="I1" s="53"/>
      <c r="J1" s="53"/>
      <c r="K1" s="53"/>
    </row>
    <row r="2" spans="1:11" x14ac:dyDescent="0.25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 x14ac:dyDescent="0.25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 x14ac:dyDescent="0.25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 x14ac:dyDescent="0.25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 x14ac:dyDescent="0.25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 x14ac:dyDescent="0.25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 x14ac:dyDescent="0.25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55" t="s">
        <v>61</v>
      </c>
      <c r="H8" s="55"/>
      <c r="I8" s="55"/>
      <c r="J8" s="55"/>
      <c r="K8" s="20">
        <f>SUM(K3:K7)</f>
        <v>4873</v>
      </c>
    </row>
    <row r="9" spans="1:11" x14ac:dyDescent="0.25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 x14ac:dyDescent="0.25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 x14ac:dyDescent="0.25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 x14ac:dyDescent="0.25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 x14ac:dyDescent="0.25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 x14ac:dyDescent="0.25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 x14ac:dyDescent="0.25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 x14ac:dyDescent="0.25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 x14ac:dyDescent="0.25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 x14ac:dyDescent="0.25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 x14ac:dyDescent="0.25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 x14ac:dyDescent="0.25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 x14ac:dyDescent="0.25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 x14ac:dyDescent="0.25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 x14ac:dyDescent="0.25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 x14ac:dyDescent="0.25">
      <c r="A24" s="54" t="s">
        <v>61</v>
      </c>
      <c r="B24" s="54"/>
      <c r="C24" s="54"/>
      <c r="D24" s="54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2026-03-07T15:46:39Z</dcterms:modified>
</cp:coreProperties>
</file>