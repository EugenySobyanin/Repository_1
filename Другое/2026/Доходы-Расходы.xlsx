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1"/>
  <c r="H30" s="1"/>
  <c r="N17"/>
  <c r="N30" s="1"/>
  <c r="G17"/>
  <c r="G30" s="1"/>
  <c r="E17"/>
  <c r="E30" s="1"/>
  <c r="C17"/>
  <c r="S27" i="3"/>
  <c r="F28"/>
  <c r="W30" i="1"/>
  <c r="V4"/>
  <c r="V5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3"/>
  <c r="D30"/>
  <c r="F30"/>
  <c r="I30"/>
  <c r="J30"/>
  <c r="K30"/>
  <c r="L30"/>
  <c r="M30"/>
  <c r="O30"/>
  <c r="P30"/>
  <c r="Q30"/>
  <c r="R30"/>
  <c r="S30"/>
  <c r="T30"/>
  <c r="U30"/>
  <c r="V17" l="1"/>
  <c r="X17" s="1"/>
  <c r="C30"/>
  <c r="F23" i="3"/>
  <c r="S23"/>
  <c r="N23"/>
  <c r="N24"/>
  <c r="U25"/>
  <c r="N25"/>
  <c r="N26"/>
  <c r="L26"/>
  <c r="F31"/>
  <c r="C20"/>
  <c r="G19"/>
  <c r="V30" i="1" l="1"/>
  <c r="V19" i="3"/>
  <c r="V20"/>
  <c r="V21"/>
  <c r="V22"/>
  <c r="V23"/>
  <c r="V24"/>
  <c r="V25"/>
  <c r="V26"/>
  <c r="V27"/>
  <c r="V28"/>
  <c r="V29"/>
  <c r="V30"/>
  <c r="V6"/>
  <c r="V7"/>
  <c r="V8"/>
  <c r="V9"/>
  <c r="V10"/>
  <c r="V13"/>
  <c r="V14"/>
  <c r="V15"/>
  <c r="V16"/>
  <c r="V17"/>
  <c r="D31"/>
  <c r="E31"/>
  <c r="G31"/>
  <c r="H31"/>
  <c r="I31"/>
  <c r="J31"/>
  <c r="K31"/>
  <c r="L31"/>
  <c r="M31"/>
  <c r="O31"/>
  <c r="P31"/>
  <c r="Q31"/>
  <c r="R31"/>
  <c r="S31"/>
  <c r="T31"/>
  <c r="U31"/>
  <c r="C31"/>
  <c r="N18"/>
  <c r="V18" s="1"/>
  <c r="W18"/>
  <c r="W31" s="1"/>
  <c r="C13"/>
  <c r="P12"/>
  <c r="N12"/>
  <c r="D12"/>
  <c r="C12"/>
  <c r="V12" s="1"/>
  <c r="P11"/>
  <c r="G11"/>
  <c r="C11"/>
  <c r="V11" s="1"/>
  <c r="N6"/>
  <c r="N5"/>
  <c r="V5" s="1"/>
  <c r="N4"/>
  <c r="N31" s="1"/>
  <c r="C3"/>
  <c r="V3" s="1"/>
  <c r="K7" i="2"/>
  <c r="E22"/>
  <c r="E21"/>
  <c r="K5"/>
  <c r="K6"/>
  <c r="E20"/>
  <c r="E19"/>
  <c r="E18"/>
  <c r="E17"/>
  <c r="K4"/>
  <c r="K3"/>
  <c r="K8" s="1"/>
  <c r="E4"/>
  <c r="E5"/>
  <c r="E6"/>
  <c r="E7"/>
  <c r="E8"/>
  <c r="E9"/>
  <c r="E10"/>
  <c r="E11"/>
  <c r="E12"/>
  <c r="E13"/>
  <c r="E14"/>
  <c r="E15"/>
  <c r="E16"/>
  <c r="E23"/>
  <c r="E3"/>
  <c r="E24" l="1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</commentList>
</comments>
</file>

<file path=xl/sharedStrings.xml><?xml version="1.0" encoding="utf-8"?>
<sst xmlns="http://schemas.openxmlformats.org/spreadsheetml/2006/main" count="147" uniqueCount="67">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</sst>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7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0" fontId="12" fillId="10" borderId="4" xfId="0" applyFont="1" applyFill="1" applyBorder="1" applyAlignment="1">
      <alignment horizontal="right"/>
    </xf>
    <xf numFmtId="164" fontId="12" fillId="10" borderId="4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164" fontId="16" fillId="12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33" t="s">
        <v>27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34" t="s">
        <v>20</v>
      </c>
      <c r="B31" s="34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4"/>
  <sheetViews>
    <sheetView tabSelected="1"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W19" sqref="W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46" ht="45" customHeight="1">
      <c r="A2" s="44" t="s">
        <v>0</v>
      </c>
      <c r="B2" s="44" t="s">
        <v>1</v>
      </c>
      <c r="C2" s="44" t="s">
        <v>9</v>
      </c>
      <c r="D2" s="44" t="s">
        <v>62</v>
      </c>
      <c r="E2" s="44" t="s">
        <v>10</v>
      </c>
      <c r="F2" s="44" t="s">
        <v>66</v>
      </c>
      <c r="G2" s="44" t="s">
        <v>11</v>
      </c>
      <c r="H2" s="44" t="s">
        <v>63</v>
      </c>
      <c r="I2" s="44" t="s">
        <v>12</v>
      </c>
      <c r="J2" s="44" t="s">
        <v>24</v>
      </c>
      <c r="K2" s="44" t="s">
        <v>23</v>
      </c>
      <c r="L2" s="44" t="s">
        <v>13</v>
      </c>
      <c r="M2" s="44" t="s">
        <v>14</v>
      </c>
      <c r="N2" s="44" t="s">
        <v>15</v>
      </c>
      <c r="O2" s="44" t="s">
        <v>16</v>
      </c>
      <c r="P2" s="44" t="s">
        <v>60</v>
      </c>
      <c r="Q2" s="44" t="s">
        <v>17</v>
      </c>
      <c r="R2" s="44" t="s">
        <v>18</v>
      </c>
      <c r="S2" s="44" t="s">
        <v>25</v>
      </c>
      <c r="T2" s="44" t="s">
        <v>25</v>
      </c>
      <c r="U2" s="44" t="s">
        <v>26</v>
      </c>
      <c r="V2" s="44" t="s">
        <v>22</v>
      </c>
      <c r="W2" s="44" t="s">
        <v>19</v>
      </c>
      <c r="X2" s="44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46">
        <v>5</v>
      </c>
      <c r="B3" s="46" t="s">
        <v>3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55">
        <v>8000</v>
      </c>
      <c r="R3" s="55">
        <v>1000</v>
      </c>
      <c r="S3" s="47"/>
      <c r="T3" s="47"/>
      <c r="U3" s="47"/>
      <c r="V3" s="47">
        <f>SUM(C3:U3)</f>
        <v>9000</v>
      </c>
      <c r="W3" s="48">
        <v>43724</v>
      </c>
      <c r="X3" s="49"/>
    </row>
    <row r="4" spans="1:46">
      <c r="A4" s="39">
        <v>6</v>
      </c>
      <c r="B4" s="39" t="s">
        <v>4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>
        <f t="shared" ref="V4:V29" si="0">SUM(C4:U4)</f>
        <v>0</v>
      </c>
      <c r="W4" s="41"/>
      <c r="X4" s="45"/>
    </row>
    <row r="5" spans="1:46">
      <c r="A5" s="39">
        <v>7</v>
      </c>
      <c r="B5" s="39" t="s">
        <v>5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>
        <f t="shared" si="0"/>
        <v>0</v>
      </c>
      <c r="W5" s="41"/>
      <c r="X5" s="45"/>
    </row>
    <row r="6" spans="1:46">
      <c r="A6" s="39">
        <v>8</v>
      </c>
      <c r="B6" s="39" t="s">
        <v>6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>
        <f t="shared" si="0"/>
        <v>0</v>
      </c>
      <c r="W6" s="41"/>
      <c r="X6" s="45"/>
    </row>
    <row r="7" spans="1:46">
      <c r="A7" s="39">
        <v>9</v>
      </c>
      <c r="B7" s="39" t="s">
        <v>7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>
        <f t="shared" si="0"/>
        <v>0</v>
      </c>
      <c r="W7" s="41"/>
      <c r="X7" s="45"/>
    </row>
    <row r="8" spans="1:46">
      <c r="A8" s="39">
        <v>10</v>
      </c>
      <c r="B8" s="39" t="s">
        <v>8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>
        <f t="shared" si="0"/>
        <v>0</v>
      </c>
      <c r="W8" s="41"/>
      <c r="X8" s="45"/>
    </row>
    <row r="9" spans="1:46">
      <c r="A9" s="39">
        <v>11</v>
      </c>
      <c r="B9" s="39" t="s">
        <v>2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>
        <f t="shared" si="0"/>
        <v>0</v>
      </c>
      <c r="W9" s="41"/>
      <c r="X9" s="45"/>
    </row>
    <row r="10" spans="1:46">
      <c r="A10" s="39">
        <v>12</v>
      </c>
      <c r="B10" s="39" t="s">
        <v>3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>
        <f t="shared" si="0"/>
        <v>0</v>
      </c>
      <c r="W10" s="41"/>
      <c r="X10" s="45"/>
    </row>
    <row r="11" spans="1:46">
      <c r="A11" s="39">
        <v>13</v>
      </c>
      <c r="B11" s="39" t="s">
        <v>4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>
        <f t="shared" si="0"/>
        <v>0</v>
      </c>
      <c r="W11" s="41"/>
      <c r="X11" s="45"/>
    </row>
    <row r="12" spans="1:46">
      <c r="A12" s="39">
        <v>14</v>
      </c>
      <c r="B12" s="39" t="s">
        <v>5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>
        <f t="shared" si="0"/>
        <v>0</v>
      </c>
      <c r="W12" s="41"/>
      <c r="X12" s="45"/>
    </row>
    <row r="13" spans="1:46">
      <c r="A13" s="39">
        <v>15</v>
      </c>
      <c r="B13" s="39" t="s">
        <v>6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>
        <f t="shared" si="0"/>
        <v>0</v>
      </c>
      <c r="W13" s="41"/>
      <c r="X13" s="45"/>
    </row>
    <row r="14" spans="1:46">
      <c r="A14" s="39">
        <v>16</v>
      </c>
      <c r="B14" s="39" t="s">
        <v>7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>
        <f t="shared" si="0"/>
        <v>0</v>
      </c>
      <c r="W14" s="41"/>
      <c r="X14" s="45"/>
    </row>
    <row r="15" spans="1:46">
      <c r="A15" s="39">
        <v>17</v>
      </c>
      <c r="B15" s="39" t="s">
        <v>8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>
        <f t="shared" si="0"/>
        <v>0</v>
      </c>
      <c r="W15" s="41"/>
      <c r="X15" s="45"/>
    </row>
    <row r="16" spans="1:46">
      <c r="A16" s="39">
        <v>18</v>
      </c>
      <c r="B16" s="39" t="s">
        <v>2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>
        <f t="shared" si="0"/>
        <v>0</v>
      </c>
      <c r="W16" s="41"/>
      <c r="X16" s="45"/>
    </row>
    <row r="17" spans="1:24">
      <c r="A17" s="39">
        <v>19</v>
      </c>
      <c r="B17" s="39" t="s">
        <v>3</v>
      </c>
      <c r="C17" s="55">
        <f>14500-SUM(C3:C16)</f>
        <v>14500</v>
      </c>
      <c r="D17" s="40"/>
      <c r="E17" s="55">
        <f>12000-SUM(E3:E16)</f>
        <v>12000</v>
      </c>
      <c r="F17" s="40"/>
      <c r="G17" s="55">
        <f>4400-SUM(G3:G16)</f>
        <v>4400</v>
      </c>
      <c r="H17" s="55">
        <f>1300-SUM(H3:H16)</f>
        <v>1300</v>
      </c>
      <c r="I17" s="40"/>
      <c r="J17" s="40"/>
      <c r="K17" s="40"/>
      <c r="L17" s="40"/>
      <c r="M17" s="40"/>
      <c r="N17" s="55">
        <f>3200-SUM(N3:N16)</f>
        <v>3200</v>
      </c>
      <c r="O17" s="40"/>
      <c r="P17" s="40"/>
      <c r="Q17" s="40"/>
      <c r="R17" s="40"/>
      <c r="S17" s="40"/>
      <c r="T17" s="40"/>
      <c r="U17" s="40"/>
      <c r="V17" s="40">
        <f t="shared" si="0"/>
        <v>35400</v>
      </c>
      <c r="W17" s="41"/>
      <c r="X17" s="54">
        <f>SUM(W3:W17)-SUM(V3:V17)</f>
        <v>-676</v>
      </c>
    </row>
    <row r="18" spans="1:24">
      <c r="A18" s="50">
        <v>20</v>
      </c>
      <c r="B18" s="50" t="s">
        <v>4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>
        <f t="shared" si="0"/>
        <v>0</v>
      </c>
      <c r="W18" s="52"/>
      <c r="X18" s="53"/>
    </row>
    <row r="19" spans="1:24">
      <c r="A19" s="39">
        <v>21</v>
      </c>
      <c r="B19" s="39" t="s">
        <v>5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>
        <f t="shared" si="0"/>
        <v>0</v>
      </c>
      <c r="W19" s="41"/>
      <c r="X19" s="45"/>
    </row>
    <row r="20" spans="1:24">
      <c r="A20" s="39">
        <v>22</v>
      </c>
      <c r="B20" s="39" t="s">
        <v>6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>
        <f t="shared" si="0"/>
        <v>0</v>
      </c>
      <c r="W20" s="41"/>
      <c r="X20" s="45"/>
    </row>
    <row r="21" spans="1:24">
      <c r="A21" s="39">
        <v>23</v>
      </c>
      <c r="B21" s="39" t="s">
        <v>7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>
        <f t="shared" si="0"/>
        <v>0</v>
      </c>
      <c r="W21" s="41"/>
      <c r="X21" s="45"/>
    </row>
    <row r="22" spans="1:24">
      <c r="A22" s="39">
        <v>24</v>
      </c>
      <c r="B22" s="39" t="s">
        <v>8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>
        <f t="shared" si="0"/>
        <v>0</v>
      </c>
      <c r="W22" s="41"/>
      <c r="X22" s="45"/>
    </row>
    <row r="23" spans="1:24">
      <c r="A23" s="39">
        <v>25</v>
      </c>
      <c r="B23" s="39" t="s">
        <v>2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>
        <f t="shared" si="0"/>
        <v>0</v>
      </c>
      <c r="W23" s="41"/>
      <c r="X23" s="45"/>
    </row>
    <row r="24" spans="1:24">
      <c r="A24" s="39">
        <v>26</v>
      </c>
      <c r="B24" s="39" t="s">
        <v>3</v>
      </c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>
        <f t="shared" si="0"/>
        <v>0</v>
      </c>
      <c r="W24" s="41"/>
      <c r="X24" s="45"/>
    </row>
    <row r="25" spans="1:24">
      <c r="A25" s="39">
        <v>27</v>
      </c>
      <c r="B25" s="39" t="s">
        <v>4</v>
      </c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>
        <f t="shared" si="0"/>
        <v>0</v>
      </c>
      <c r="W25" s="41"/>
      <c r="X25" s="45"/>
    </row>
    <row r="26" spans="1:24">
      <c r="A26" s="39">
        <v>28</v>
      </c>
      <c r="B26" s="39" t="s">
        <v>5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>
        <f t="shared" si="0"/>
        <v>0</v>
      </c>
      <c r="W26" s="41"/>
      <c r="X26" s="45"/>
    </row>
    <row r="27" spans="1:24">
      <c r="A27" s="39">
        <v>29</v>
      </c>
      <c r="B27" s="39" t="s">
        <v>6</v>
      </c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>
        <f t="shared" si="0"/>
        <v>0</v>
      </c>
      <c r="W27" s="41"/>
      <c r="X27" s="45"/>
    </row>
    <row r="28" spans="1:24">
      <c r="A28" s="39">
        <v>30</v>
      </c>
      <c r="B28" s="39" t="s">
        <v>7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>
        <f t="shared" si="0"/>
        <v>0</v>
      </c>
      <c r="W28" s="41"/>
      <c r="X28" s="45"/>
    </row>
    <row r="29" spans="1:24">
      <c r="A29" s="39">
        <v>31</v>
      </c>
      <c r="B29" s="39" t="s">
        <v>8</v>
      </c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>
        <f t="shared" si="0"/>
        <v>0</v>
      </c>
      <c r="W29" s="41"/>
      <c r="X29" s="45"/>
    </row>
    <row r="30" spans="1:24">
      <c r="A30" s="42" t="s">
        <v>20</v>
      </c>
      <c r="B30" s="42"/>
      <c r="C30" s="41">
        <f>SUM(C3:C29)</f>
        <v>14500</v>
      </c>
      <c r="D30" s="41">
        <f t="shared" ref="D30:V30" si="1">SUM(D3:D29)</f>
        <v>0</v>
      </c>
      <c r="E30" s="41">
        <f t="shared" si="1"/>
        <v>12000</v>
      </c>
      <c r="F30" s="41">
        <f t="shared" si="1"/>
        <v>0</v>
      </c>
      <c r="G30" s="41">
        <f t="shared" si="1"/>
        <v>4400</v>
      </c>
      <c r="H30" s="41">
        <f t="shared" si="1"/>
        <v>1300</v>
      </c>
      <c r="I30" s="41">
        <f t="shared" si="1"/>
        <v>0</v>
      </c>
      <c r="J30" s="41">
        <f t="shared" si="1"/>
        <v>0</v>
      </c>
      <c r="K30" s="41">
        <f t="shared" si="1"/>
        <v>0</v>
      </c>
      <c r="L30" s="41">
        <f t="shared" si="1"/>
        <v>0</v>
      </c>
      <c r="M30" s="41">
        <f t="shared" si="1"/>
        <v>0</v>
      </c>
      <c r="N30" s="41">
        <f t="shared" si="1"/>
        <v>3200</v>
      </c>
      <c r="O30" s="41">
        <f t="shared" si="1"/>
        <v>0</v>
      </c>
      <c r="P30" s="41">
        <f t="shared" si="1"/>
        <v>0</v>
      </c>
      <c r="Q30" s="41">
        <f t="shared" si="1"/>
        <v>8000</v>
      </c>
      <c r="R30" s="41">
        <f t="shared" si="1"/>
        <v>1000</v>
      </c>
      <c r="S30" s="41">
        <f t="shared" si="1"/>
        <v>0</v>
      </c>
      <c r="T30" s="41">
        <f t="shared" si="1"/>
        <v>0</v>
      </c>
      <c r="U30" s="41">
        <f t="shared" si="1"/>
        <v>0</v>
      </c>
      <c r="V30" s="43">
        <f t="shared" si="1"/>
        <v>44400</v>
      </c>
      <c r="W30" s="41">
        <f>SUM(W3:W29)</f>
        <v>43724</v>
      </c>
      <c r="X30" s="45"/>
    </row>
    <row r="34" spans="2:10">
      <c r="B34" s="6"/>
      <c r="C34" s="6"/>
      <c r="D34" s="6"/>
      <c r="E34" s="6"/>
      <c r="F34" s="6"/>
      <c r="G34" s="6"/>
      <c r="H34" s="6"/>
      <c r="I34" s="6"/>
      <c r="J34" s="6"/>
    </row>
  </sheetData>
  <mergeCells count="2">
    <mergeCell ref="A30:B30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36" t="s">
        <v>49</v>
      </c>
      <c r="B1" s="36"/>
      <c r="C1" s="36"/>
      <c r="D1" s="36"/>
      <c r="E1" s="36"/>
      <c r="G1" s="36" t="s">
        <v>50</v>
      </c>
      <c r="H1" s="36"/>
      <c r="I1" s="36"/>
      <c r="J1" s="36"/>
      <c r="K1" s="36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38" t="s">
        <v>61</v>
      </c>
      <c r="H8" s="38"/>
      <c r="I8" s="38"/>
      <c r="J8" s="38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37" t="s">
        <v>61</v>
      </c>
      <c r="B24" s="37"/>
      <c r="C24" s="37"/>
      <c r="D24" s="37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2026-03-05T11:33:27Z</dcterms:modified>
</cp:coreProperties>
</file>