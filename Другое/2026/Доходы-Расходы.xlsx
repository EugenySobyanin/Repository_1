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4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9" i="6"/>
  <c r="D9"/>
  <c r="C9"/>
  <c r="Q10"/>
  <c r="H11"/>
  <c r="C14"/>
  <c r="W21"/>
  <c r="W22"/>
  <c r="W23"/>
  <c r="W24"/>
  <c r="W25"/>
  <c r="W26"/>
  <c r="W27"/>
  <c r="W28"/>
  <c r="W29"/>
  <c r="W30"/>
  <c r="W31"/>
  <c r="W32"/>
  <c r="W33"/>
  <c r="W34"/>
  <c r="W20"/>
  <c r="W19"/>
  <c r="C23"/>
  <c r="I21"/>
  <c r="H21"/>
  <c r="O20"/>
  <c r="D20"/>
  <c r="O6" l="1"/>
  <c r="C5"/>
  <c r="F5"/>
  <c r="O4"/>
  <c r="H4"/>
  <c r="P3"/>
  <c r="W5"/>
  <c r="W6"/>
  <c r="W7"/>
  <c r="W8"/>
  <c r="W9"/>
  <c r="W10"/>
  <c r="W11"/>
  <c r="W12"/>
  <c r="W13"/>
  <c r="W14"/>
  <c r="W15"/>
  <c r="W16"/>
  <c r="W17"/>
  <c r="W4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F18"/>
  <c r="E18"/>
  <c r="O18"/>
  <c r="N18"/>
  <c r="H18"/>
  <c r="Q18"/>
  <c r="H31" i="4"/>
  <c r="H36" s="1"/>
  <c r="C31"/>
  <c r="C32"/>
  <c r="C33"/>
  <c r="C35"/>
  <c r="W35" s="1"/>
  <c r="H7" i="5"/>
  <c r="H6"/>
  <c r="O28" i="4"/>
  <c r="O29"/>
  <c r="X36"/>
  <c r="D36"/>
  <c r="E36"/>
  <c r="E37" s="1"/>
  <c r="F36"/>
  <c r="G36"/>
  <c r="I36"/>
  <c r="J36"/>
  <c r="K36"/>
  <c r="L36"/>
  <c r="M36"/>
  <c r="M37" s="1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X36" i="6" l="1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C37" s="1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W18" i="6" l="1"/>
  <c r="W36" s="1"/>
  <c r="W35"/>
  <c r="Y35" s="1"/>
  <c r="C36"/>
  <c r="V4" i="4"/>
  <c r="V20" s="1"/>
  <c r="V37" s="1"/>
  <c r="Q3"/>
  <c r="Q20" s="1"/>
  <c r="Q37" s="1"/>
  <c r="S3"/>
  <c r="S20" s="1"/>
  <c r="S37" s="1"/>
  <c r="Y18" i="6" l="1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Теле 2</t>
        </r>
      </text>
    </comment>
  </commentList>
</comments>
</file>

<file path=xl/sharedStrings.xml><?xml version="1.0" encoding="utf-8"?>
<sst xmlns="http://schemas.openxmlformats.org/spreadsheetml/2006/main" count="254" uniqueCount="58">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</sst>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2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charset val="1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9"/>
      <color indexed="81"/>
      <name val="Tahoma"/>
      <charset val="1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</fills>
  <borders count="13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6" fillId="5" borderId="8" xfId="0" applyFont="1" applyFill="1" applyBorder="1" applyAlignment="1">
      <alignment horizontal="center" vertical="center"/>
    </xf>
    <xf numFmtId="164" fontId="17" fillId="0" borderId="7" xfId="0" applyNumberFormat="1" applyFont="1" applyBorder="1"/>
    <xf numFmtId="0" fontId="18" fillId="0" borderId="7" xfId="0" applyFont="1" applyBorder="1"/>
    <xf numFmtId="0" fontId="18" fillId="0" borderId="9" xfId="0" applyFont="1" applyBorder="1"/>
    <xf numFmtId="164" fontId="17" fillId="0" borderId="9" xfId="0" applyNumberFormat="1" applyFont="1" applyBorder="1"/>
    <xf numFmtId="0" fontId="18" fillId="15" borderId="10" xfId="0" applyFont="1" applyFill="1" applyBorder="1"/>
    <xf numFmtId="164" fontId="17" fillId="15" borderId="11" xfId="0" applyNumberFormat="1" applyFont="1" applyFill="1" applyBorder="1"/>
    <xf numFmtId="164" fontId="17" fillId="15" borderId="12" xfId="0" applyNumberFormat="1" applyFont="1" applyFill="1" applyBorder="1"/>
    <xf numFmtId="164" fontId="17" fillId="0" borderId="7" xfId="0" applyNumberFormat="1" applyFont="1" applyBorder="1" applyAlignment="1">
      <alignment horizontal="center"/>
    </xf>
    <xf numFmtId="0" fontId="21" fillId="5" borderId="1" xfId="0" applyFont="1" applyFill="1" applyBorder="1" applyAlignment="1">
      <alignment horizontal="center" vertical="center" wrapText="1"/>
    </xf>
    <xf numFmtId="164" fontId="23" fillId="6" borderId="7" xfId="0" applyNumberFormat="1" applyFont="1" applyFill="1" applyBorder="1"/>
    <xf numFmtId="164" fontId="23" fillId="6" borderId="7" xfId="0" applyNumberFormat="1" applyFont="1" applyFill="1" applyBorder="1" applyAlignment="1">
      <alignment vertical="center"/>
    </xf>
    <xf numFmtId="0" fontId="24" fillId="7" borderId="7" xfId="0" applyFont="1" applyFill="1" applyBorder="1" applyAlignment="1">
      <alignment horizontal="center" vertical="center"/>
    </xf>
    <xf numFmtId="0" fontId="25" fillId="7" borderId="7" xfId="0" applyFont="1" applyFill="1" applyBorder="1" applyAlignment="1">
      <alignment horizontal="center" vertical="center"/>
    </xf>
    <xf numFmtId="164" fontId="25" fillId="7" borderId="7" xfId="0" applyNumberFormat="1" applyFont="1" applyFill="1" applyBorder="1"/>
    <xf numFmtId="164" fontId="25" fillId="7" borderId="7" xfId="0" applyNumberFormat="1" applyFont="1" applyFill="1" applyBorder="1" applyAlignment="1">
      <alignment vertical="center"/>
    </xf>
    <xf numFmtId="0" fontId="24" fillId="17" borderId="7" xfId="0" applyFont="1" applyFill="1" applyBorder="1" applyAlignment="1">
      <alignment horizontal="center" vertical="center"/>
    </xf>
    <xf numFmtId="0" fontId="25" fillId="17" borderId="7" xfId="0" applyFont="1" applyFill="1" applyBorder="1" applyAlignment="1">
      <alignment horizontal="center" vertical="center"/>
    </xf>
    <xf numFmtId="164" fontId="25" fillId="17" borderId="7" xfId="0" applyNumberFormat="1" applyFont="1" applyFill="1" applyBorder="1"/>
    <xf numFmtId="164" fontId="25" fillId="17" borderId="7" xfId="0" applyNumberFormat="1" applyFont="1" applyFill="1" applyBorder="1" applyAlignment="1">
      <alignment vertical="center"/>
    </xf>
    <xf numFmtId="164" fontId="22" fillId="6" borderId="7" xfId="0" applyNumberFormat="1" applyFont="1" applyFill="1" applyBorder="1" applyAlignment="1">
      <alignment horizontal="right" vertical="center"/>
    </xf>
    <xf numFmtId="164" fontId="25" fillId="7" borderId="7" xfId="0" applyNumberFormat="1" applyFont="1" applyFill="1" applyBorder="1" applyAlignment="1">
      <alignment horizontal="right" vertical="center"/>
    </xf>
    <xf numFmtId="164" fontId="25" fillId="17" borderId="7" xfId="0" applyNumberFormat="1" applyFont="1" applyFill="1" applyBorder="1" applyAlignment="1">
      <alignment horizontal="right" vertical="center"/>
    </xf>
    <xf numFmtId="164" fontId="23" fillId="6" borderId="7" xfId="0" applyNumberFormat="1" applyFont="1" applyFill="1" applyBorder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20" fillId="5" borderId="0" xfId="0" applyFont="1" applyFill="1" applyAlignment="1">
      <alignment horizontal="center" vertical="center"/>
    </xf>
    <xf numFmtId="0" fontId="23" fillId="6" borderId="7" xfId="0" applyFont="1" applyFill="1" applyBorder="1" applyAlignment="1">
      <alignment horizontal="right" vertical="center"/>
    </xf>
    <xf numFmtId="0" fontId="22" fillId="6" borderId="7" xfId="0" applyFont="1" applyFill="1" applyBorder="1" applyAlignment="1">
      <alignment horizontal="right" vertical="center"/>
    </xf>
  </cellXfs>
  <cellStyles count="1">
    <cellStyle name="Обычный" xfId="0" builtinId="0"/>
  </cellStyles>
  <dxfs count="6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EC1606"/>
      </font>
    </dxf>
    <dxf>
      <font>
        <color rgb="FF57B418"/>
      </font>
    </dxf>
  </dxfs>
  <tableStyles count="0" defaultTableStyle="TableStyleMedium2" defaultPivotStyle="PivotStyleLight16"/>
  <colors>
    <mruColors>
      <color rgb="FF57B418"/>
      <color rgb="FFFF8585"/>
      <color rgb="FF6C0000"/>
      <color rgb="FFEC1606"/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5" priority="4">
      <formula>H5&gt;0</formula>
    </cfRule>
    <cfRule type="expression" dxfId="4" priority="3">
      <formula>H5&lt;0</formula>
    </cfRule>
  </conditionalFormatting>
  <conditionalFormatting sqref="H17">
    <cfRule type="expression" dxfId="3" priority="1">
      <formula>H17&lt;0</formula>
    </cfRule>
    <cfRule type="expression" dxfId="2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74" t="s">
        <v>27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75" t="s">
        <v>20</v>
      </c>
      <c r="B31" s="75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77" t="s">
        <v>32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76" t="s">
        <v>20</v>
      </c>
      <c r="B32" s="76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M38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77" t="s">
        <v>38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79" t="s">
        <v>35</v>
      </c>
      <c r="B20" s="80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42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79" t="s">
        <v>36</v>
      </c>
      <c r="B36" s="80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78" t="s">
        <v>37</v>
      </c>
      <c r="B37" s="78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tabSelected="1" zoomScale="85" zoomScaleNormal="85" workbookViewId="0">
      <pane xSplit="2" ySplit="36" topLeftCell="H37" activePane="bottomRight" state="frozen"/>
      <selection pane="topRight" activeCell="C1" sqref="C1"/>
      <selection pane="bottomLeft" activeCell="A28" sqref="A28"/>
      <selection pane="bottomRight" activeCell="J37" sqref="J37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1" t="s">
        <v>57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82" t="s">
        <v>35</v>
      </c>
      <c r="B18" s="82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/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v>397</v>
      </c>
      <c r="P24" s="72"/>
      <c r="Q24" s="72"/>
      <c r="R24" s="72"/>
      <c r="S24" s="72">
        <v>700</v>
      </c>
      <c r="T24" s="72"/>
      <c r="U24" s="72"/>
      <c r="V24" s="72"/>
      <c r="W24" s="72">
        <f t="shared" si="2"/>
        <v>4697</v>
      </c>
      <c r="X24" s="68"/>
      <c r="Y24" s="69"/>
    </row>
    <row r="25" spans="1:27" ht="15.75">
      <c r="A25" s="62">
        <v>26</v>
      </c>
      <c r="B25" s="63" t="s">
        <v>8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4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5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6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82" t="s">
        <v>36</v>
      </c>
      <c r="B35" s="82"/>
      <c r="C35" s="73">
        <f>SUM(C19:C34)</f>
        <v>3868</v>
      </c>
      <c r="D35" s="73">
        <f t="shared" ref="D35:V35" si="3">SUM(D19:D34)</f>
        <v>3716.6</v>
      </c>
      <c r="E35" s="73">
        <f t="shared" si="3"/>
        <v>0</v>
      </c>
      <c r="F35" s="73">
        <f t="shared" si="3"/>
        <v>0</v>
      </c>
      <c r="G35" s="73">
        <f t="shared" si="3"/>
        <v>0</v>
      </c>
      <c r="H35" s="73">
        <f t="shared" si="3"/>
        <v>4456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0</v>
      </c>
      <c r="M35" s="73">
        <f t="shared" si="3"/>
        <v>0</v>
      </c>
      <c r="N35" s="73">
        <f t="shared" si="3"/>
        <v>0</v>
      </c>
      <c r="O35" s="73">
        <f t="shared" si="3"/>
        <v>1971</v>
      </c>
      <c r="P35" s="73">
        <f t="shared" si="3"/>
        <v>25.18</v>
      </c>
      <c r="Q35" s="73">
        <f t="shared" si="3"/>
        <v>285</v>
      </c>
      <c r="R35" s="73">
        <f t="shared" si="3"/>
        <v>0</v>
      </c>
      <c r="S35" s="73">
        <f t="shared" si="3"/>
        <v>1400</v>
      </c>
      <c r="T35" s="73">
        <f>SUM(T19:T34)</f>
        <v>1649</v>
      </c>
      <c r="U35" s="73">
        <f t="shared" si="3"/>
        <v>2316</v>
      </c>
      <c r="V35" s="73">
        <f t="shared" si="3"/>
        <v>0</v>
      </c>
      <c r="W35" s="73">
        <f>SUM(W19:W34)</f>
        <v>24888.690000000002</v>
      </c>
      <c r="X35" s="60">
        <f>SUM(X19:X34)</f>
        <v>33088.14</v>
      </c>
      <c r="Y35" s="61">
        <f>X35-W35</f>
        <v>8199.4499999999971</v>
      </c>
    </row>
    <row r="36" spans="1:25" ht="31.5" customHeight="1">
      <c r="A36" s="83" t="s">
        <v>37</v>
      </c>
      <c r="B36" s="83"/>
      <c r="C36" s="70">
        <f>SUM(C18,C35)</f>
        <v>12296.35</v>
      </c>
      <c r="D36" s="70">
        <f t="shared" ref="D36:W36" si="4">SUM(D18,D35)</f>
        <v>12427.960000000001</v>
      </c>
      <c r="E36" s="70">
        <f t="shared" si="4"/>
        <v>0</v>
      </c>
      <c r="F36" s="70">
        <f t="shared" si="4"/>
        <v>1434</v>
      </c>
      <c r="G36" s="70">
        <f t="shared" si="4"/>
        <v>0</v>
      </c>
      <c r="H36" s="70">
        <f t="shared" si="4"/>
        <v>13360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0</v>
      </c>
      <c r="M36" s="70">
        <f t="shared" si="4"/>
        <v>0</v>
      </c>
      <c r="N36" s="70">
        <f t="shared" si="4"/>
        <v>0</v>
      </c>
      <c r="O36" s="70">
        <f t="shared" si="4"/>
        <v>4302</v>
      </c>
      <c r="P36" s="70">
        <f t="shared" si="4"/>
        <v>3342.18</v>
      </c>
      <c r="Q36" s="70">
        <f t="shared" si="4"/>
        <v>3747</v>
      </c>
      <c r="R36" s="70">
        <f t="shared" si="4"/>
        <v>0</v>
      </c>
      <c r="S36" s="70">
        <f>SUM(S18,S35)</f>
        <v>7949</v>
      </c>
      <c r="T36" s="70">
        <f t="shared" si="4"/>
        <v>10948</v>
      </c>
      <c r="U36" s="70">
        <f t="shared" si="4"/>
        <v>2316</v>
      </c>
      <c r="V36" s="70">
        <f t="shared" si="4"/>
        <v>0</v>
      </c>
      <c r="W36" s="70">
        <f t="shared" si="4"/>
        <v>83089.920000000013</v>
      </c>
      <c r="X36" s="70">
        <f>SUM(X18,X35)</f>
        <v>90059.05</v>
      </c>
      <c r="Y36" s="70">
        <f>SUM(Y18,Y35)</f>
        <v>6969.1299999999974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1" priority="1">
      <formula>Y18&lt;0</formula>
    </cfRule>
    <cfRule type="expression" dxfId="0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Сводная</vt:lpstr>
      <vt:lpstr>Февраль 2026</vt:lpstr>
      <vt:lpstr>Март 2026</vt:lpstr>
      <vt:lpstr>Апрель 2026</vt:lpstr>
      <vt:lpstr>Май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2026-05-25T10:56:54Z</dcterms:modified>
</cp:coreProperties>
</file>