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1" i="4"/>
  <c r="S36" s="1"/>
  <c r="S37" s="1"/>
  <c r="O25"/>
  <c r="O28"/>
  <c r="F37"/>
  <c r="J37"/>
  <c r="L37"/>
  <c r="M37"/>
  <c r="Q37"/>
  <c r="R37"/>
  <c r="U37"/>
  <c r="V37"/>
  <c r="X36"/>
  <c r="X37" s="1"/>
  <c r="D36"/>
  <c r="D37" s="1"/>
  <c r="E36"/>
  <c r="E37" s="1"/>
  <c r="F36"/>
  <c r="G36"/>
  <c r="G37" s="1"/>
  <c r="H36"/>
  <c r="H37" s="1"/>
  <c r="I36"/>
  <c r="I37" s="1"/>
  <c r="J36"/>
  <c r="K36"/>
  <c r="K37" s="1"/>
  <c r="L36"/>
  <c r="M36"/>
  <c r="N36"/>
  <c r="N37" s="1"/>
  <c r="P36"/>
  <c r="P37" s="1"/>
  <c r="Q36"/>
  <c r="R36"/>
  <c r="T36"/>
  <c r="T37" s="1"/>
  <c r="U36"/>
  <c r="V36"/>
  <c r="C36"/>
  <c r="C37" s="1"/>
  <c r="Y20"/>
  <c r="X20"/>
  <c r="W20"/>
  <c r="D20"/>
  <c r="E20"/>
  <c r="F20"/>
  <c r="G20"/>
  <c r="H20"/>
  <c r="I20"/>
  <c r="J20"/>
  <c r="K20"/>
  <c r="L20"/>
  <c r="M20"/>
  <c r="N20"/>
  <c r="O20"/>
  <c r="P20"/>
  <c r="Q20"/>
  <c r="R20"/>
  <c r="S20"/>
  <c r="T20"/>
  <c r="U20"/>
  <c r="V20"/>
  <c r="C20"/>
  <c r="C18"/>
  <c r="C16"/>
  <c r="W35"/>
  <c r="P6"/>
  <c r="P7"/>
  <c r="C11"/>
  <c r="O11"/>
  <c r="N11"/>
  <c r="C12"/>
  <c r="O36" l="1"/>
  <c r="O37" s="1"/>
  <c r="C5"/>
  <c r="C4"/>
  <c r="H4"/>
  <c r="V4" l="1"/>
  <c r="Q3"/>
  <c r="S3"/>
  <c r="W33" l="1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36" i="4" l="1"/>
  <c r="W37" s="1"/>
  <c r="F32" i="1"/>
  <c r="R5"/>
  <c r="R32" s="1"/>
  <c r="G5"/>
  <c r="Y36" i="4" l="1"/>
  <c r="Y37" s="1"/>
  <c r="N4" i="1"/>
  <c r="S4"/>
  <c r="C3"/>
  <c r="V3" s="1"/>
  <c r="H32"/>
  <c r="N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G31" s="1"/>
  <c r="C11"/>
  <c r="N6"/>
  <c r="V6" s="1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T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
</t>
        </r>
      </text>
    </comment>
  </commentList>
</comments>
</file>

<file path=xl/sharedStrings.xml><?xml version="1.0" encoding="utf-8"?>
<sst xmlns="http://schemas.openxmlformats.org/spreadsheetml/2006/main" count="210" uniqueCount="71">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</sst>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  <xf numFmtId="0" fontId="14" fillId="14" borderId="5" xfId="0" applyFont="1" applyFill="1" applyBorder="1" applyAlignment="1">
      <alignment horizontal="right" vertical="center"/>
    </xf>
    <xf numFmtId="0" fontId="14" fillId="14" borderId="6" xfId="0" applyFont="1" applyFill="1" applyBorder="1" applyAlignment="1">
      <alignment horizontal="right" vertical="center"/>
    </xf>
    <xf numFmtId="164" fontId="14" fillId="14" borderId="4" xfId="0" applyNumberFormat="1" applyFont="1" applyFill="1" applyBorder="1" applyAlignment="1">
      <alignment horizontal="center" vertical="center"/>
    </xf>
    <xf numFmtId="164" fontId="14" fillId="14" borderId="4" xfId="0" applyNumberFormat="1" applyFont="1" applyFill="1" applyBorder="1"/>
    <xf numFmtId="164" fontId="15" fillId="14" borderId="4" xfId="0" applyNumberFormat="1" applyFont="1" applyFill="1" applyBorder="1" applyAlignment="1">
      <alignment vertical="center"/>
    </xf>
    <xf numFmtId="0" fontId="14" fillId="15" borderId="4" xfId="0" applyFont="1" applyFill="1" applyBorder="1" applyAlignment="1">
      <alignment horizontal="right" vertical="center"/>
    </xf>
    <xf numFmtId="164" fontId="14" fillId="15" borderId="4" xfId="0" applyNumberFormat="1" applyFont="1" applyFill="1" applyBorder="1" applyAlignment="1">
      <alignment horizontal="center" vertical="center"/>
    </xf>
    <xf numFmtId="164" fontId="12" fillId="16" borderId="4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J3" sqref="J3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2" t="s">
        <v>27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3" t="s">
        <v>20</v>
      </c>
      <c r="B31" s="53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L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5" t="s">
        <v>65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54" t="s">
        <v>20</v>
      </c>
      <c r="B32" s="54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41"/>
  <sheetViews>
    <sheetView tabSelected="1" zoomScale="85" zoomScaleNormal="85" workbookViewId="0">
      <pane xSplit="2" ySplit="37" topLeftCell="C38" activePane="bottomRight" state="frozen"/>
      <selection pane="topRight" activeCell="C1" sqref="C1"/>
      <selection pane="bottomLeft" activeCell="A28" sqref="A28"/>
      <selection pane="bottomRight" activeCell="V26" sqref="V26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55" t="s">
        <v>65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>
        <f>22000+3500</f>
        <v>25500</v>
      </c>
      <c r="R3" s="40"/>
      <c r="S3" s="40">
        <f>4660+702+799</f>
        <v>6161</v>
      </c>
      <c r="T3" s="40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>
      <c r="A4" s="47">
        <v>4</v>
      </c>
      <c r="B4" s="47" t="s">
        <v>5</v>
      </c>
      <c r="C4" s="48">
        <f>100+422+585</f>
        <v>1107</v>
      </c>
      <c r="D4" s="48">
        <v>3679</v>
      </c>
      <c r="E4" s="48"/>
      <c r="F4" s="48"/>
      <c r="G4" s="48"/>
      <c r="H4" s="48">
        <f>2320+1728</f>
        <v>4048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>
        <v>990</v>
      </c>
      <c r="V4" s="48">
        <f>1320+1330+210</f>
        <v>2860</v>
      </c>
      <c r="W4" s="48">
        <f t="shared" ref="W4:W34" si="0">SUM(C4:V4)</f>
        <v>22822.22</v>
      </c>
      <c r="X4" s="49"/>
      <c r="Y4" s="50"/>
    </row>
    <row r="5" spans="1:47">
      <c r="A5" s="47">
        <v>5</v>
      </c>
      <c r="B5" s="47" t="s">
        <v>6</v>
      </c>
      <c r="C5" s="48">
        <f>3116+382</f>
        <v>3498</v>
      </c>
      <c r="D5" s="48"/>
      <c r="E5" s="48"/>
      <c r="F5" s="48"/>
      <c r="G5" s="48"/>
      <c r="H5" s="48"/>
      <c r="I5" s="48">
        <v>1500</v>
      </c>
      <c r="J5" s="48"/>
      <c r="K5" s="48"/>
      <c r="L5" s="48"/>
      <c r="M5" s="48"/>
      <c r="N5" s="48"/>
      <c r="O5" s="48"/>
      <c r="P5" s="48"/>
      <c r="Q5" s="48"/>
      <c r="R5" s="48">
        <v>9373</v>
      </c>
      <c r="S5" s="48">
        <v>199</v>
      </c>
      <c r="T5" s="48"/>
      <c r="U5" s="48"/>
      <c r="V5" s="48"/>
      <c r="W5" s="48">
        <f t="shared" si="0"/>
        <v>14570</v>
      </c>
      <c r="X5" s="49"/>
      <c r="Y5" s="50"/>
    </row>
    <row r="6" spans="1:47">
      <c r="A6" s="47">
        <v>6</v>
      </c>
      <c r="B6" s="47" t="s">
        <v>7</v>
      </c>
      <c r="C6" s="48">
        <v>918</v>
      </c>
      <c r="D6" s="48">
        <v>994</v>
      </c>
      <c r="E6" s="48"/>
      <c r="F6" s="48"/>
      <c r="G6" s="48"/>
      <c r="H6" s="48"/>
      <c r="I6" s="48"/>
      <c r="J6" s="48"/>
      <c r="K6" s="48">
        <v>3464</v>
      </c>
      <c r="L6" s="48"/>
      <c r="M6" s="48"/>
      <c r="N6" s="48"/>
      <c r="O6" s="48"/>
      <c r="P6" s="48">
        <f>500+288</f>
        <v>788</v>
      </c>
      <c r="Q6" s="48"/>
      <c r="R6" s="48"/>
      <c r="S6" s="48">
        <v>990</v>
      </c>
      <c r="T6" s="48"/>
      <c r="U6" s="48"/>
      <c r="V6" s="48"/>
      <c r="W6" s="48">
        <f t="shared" si="0"/>
        <v>7154</v>
      </c>
      <c r="X6" s="49"/>
      <c r="Y6" s="50"/>
    </row>
    <row r="7" spans="1:47">
      <c r="A7" s="47">
        <v>7</v>
      </c>
      <c r="B7" s="47" t="s">
        <v>8</v>
      </c>
      <c r="C7" s="48"/>
      <c r="D7" s="48">
        <v>714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>
        <f>500+280</f>
        <v>780</v>
      </c>
      <c r="Q7" s="48"/>
      <c r="R7" s="48"/>
      <c r="S7" s="48"/>
      <c r="T7" s="48"/>
      <c r="U7" s="48"/>
      <c r="V7" s="48"/>
      <c r="W7" s="48">
        <f t="shared" si="0"/>
        <v>1494</v>
      </c>
      <c r="X7" s="49"/>
      <c r="Y7" s="50"/>
    </row>
    <row r="8" spans="1:47">
      <c r="A8" s="47">
        <v>8</v>
      </c>
      <c r="B8" s="47" t="s">
        <v>2</v>
      </c>
      <c r="C8" s="48"/>
      <c r="D8" s="48"/>
      <c r="E8" s="48"/>
      <c r="F8" s="48">
        <v>420</v>
      </c>
      <c r="G8" s="48">
        <v>835</v>
      </c>
      <c r="H8" s="48">
        <v>285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1540</v>
      </c>
      <c r="X8" s="49"/>
      <c r="Y8" s="50"/>
    </row>
    <row r="9" spans="1:47">
      <c r="A9" s="47">
        <v>9</v>
      </c>
      <c r="B9" s="47" t="s">
        <v>3</v>
      </c>
      <c r="C9" s="48">
        <v>863</v>
      </c>
      <c r="D9" s="48">
        <v>710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>
        <v>409</v>
      </c>
      <c r="P9" s="48"/>
      <c r="Q9" s="48"/>
      <c r="R9" s="48"/>
      <c r="S9" s="48"/>
      <c r="T9" s="48"/>
      <c r="U9" s="48"/>
      <c r="V9" s="48"/>
      <c r="W9" s="48">
        <f t="shared" si="0"/>
        <v>1982</v>
      </c>
      <c r="X9" s="49"/>
      <c r="Y9" s="50"/>
    </row>
    <row r="10" spans="1:47">
      <c r="A10" s="47">
        <v>10</v>
      </c>
      <c r="B10" s="47" t="s">
        <v>4</v>
      </c>
      <c r="C10" s="48">
        <v>319</v>
      </c>
      <c r="D10" s="48">
        <v>940</v>
      </c>
      <c r="E10" s="48">
        <v>1895</v>
      </c>
      <c r="F10" s="48"/>
      <c r="G10" s="48">
        <v>835</v>
      </c>
      <c r="H10" s="48"/>
      <c r="I10" s="48">
        <v>1034</v>
      </c>
      <c r="J10" s="48"/>
      <c r="K10" s="48"/>
      <c r="L10" s="48"/>
      <c r="M10" s="48"/>
      <c r="N10" s="48"/>
      <c r="O10" s="48">
        <v>275</v>
      </c>
      <c r="P10" s="48"/>
      <c r="Q10" s="48"/>
      <c r="R10" s="48"/>
      <c r="S10" s="48"/>
      <c r="T10" s="48"/>
      <c r="U10" s="48"/>
      <c r="V10" s="48"/>
      <c r="W10" s="48">
        <f t="shared" si="0"/>
        <v>5298</v>
      </c>
      <c r="X10" s="49"/>
      <c r="Y10" s="50"/>
    </row>
    <row r="11" spans="1:47">
      <c r="A11" s="47">
        <v>11</v>
      </c>
      <c r="B11" s="47" t="s">
        <v>5</v>
      </c>
      <c r="C11" s="48">
        <f>790+282</f>
        <v>1072</v>
      </c>
      <c r="D11" s="48">
        <v>1311</v>
      </c>
      <c r="E11" s="48"/>
      <c r="F11" s="48"/>
      <c r="G11" s="48"/>
      <c r="H11" s="48"/>
      <c r="I11" s="48"/>
      <c r="J11" s="48"/>
      <c r="K11" s="48"/>
      <c r="L11" s="48"/>
      <c r="M11" s="48"/>
      <c r="N11" s="48">
        <f>1500+1900</f>
        <v>3400</v>
      </c>
      <c r="O11" s="48">
        <f>302+243</f>
        <v>545</v>
      </c>
      <c r="P11" s="48"/>
      <c r="Q11" s="48"/>
      <c r="R11" s="48"/>
      <c r="S11" s="48"/>
      <c r="T11" s="48"/>
      <c r="U11" s="48"/>
      <c r="V11" s="48"/>
      <c r="W11" s="48">
        <f t="shared" si="0"/>
        <v>6328</v>
      </c>
      <c r="X11" s="49">
        <v>5000</v>
      </c>
      <c r="Y11" s="50"/>
    </row>
    <row r="12" spans="1:47">
      <c r="A12" s="47">
        <v>12</v>
      </c>
      <c r="B12" s="47" t="s">
        <v>6</v>
      </c>
      <c r="C12" s="48">
        <f>69+603</f>
        <v>672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672</v>
      </c>
      <c r="X12" s="49">
        <v>10000</v>
      </c>
      <c r="Y12" s="50"/>
    </row>
    <row r="13" spans="1:47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>
      <c r="A14" s="47">
        <v>14</v>
      </c>
      <c r="B14" s="47" t="s">
        <v>8</v>
      </c>
      <c r="C14" s="48">
        <v>879</v>
      </c>
      <c r="D14" s="48"/>
      <c r="E14" s="48"/>
      <c r="F14" s="48">
        <v>1080</v>
      </c>
      <c r="G14" s="48">
        <v>580</v>
      </c>
      <c r="H14" s="48">
        <v>1261</v>
      </c>
      <c r="I14" s="48"/>
      <c r="J14" s="48"/>
      <c r="K14" s="48"/>
      <c r="L14" s="48"/>
      <c r="M14" s="48"/>
      <c r="N14" s="48"/>
      <c r="O14" s="48">
        <v>305</v>
      </c>
      <c r="P14" s="48"/>
      <c r="Q14" s="48"/>
      <c r="R14" s="48"/>
      <c r="S14" s="48"/>
      <c r="T14" s="48"/>
      <c r="U14" s="48"/>
      <c r="V14" s="48"/>
      <c r="W14" s="48">
        <f t="shared" si="0"/>
        <v>4105</v>
      </c>
      <c r="X14" s="49"/>
      <c r="Y14" s="50"/>
    </row>
    <row r="15" spans="1:47">
      <c r="A15" s="47">
        <v>15</v>
      </c>
      <c r="B15" s="47" t="s">
        <v>2</v>
      </c>
      <c r="C15" s="48">
        <v>700</v>
      </c>
      <c r="D15" s="48"/>
      <c r="E15" s="48"/>
      <c r="F15" s="48">
        <v>990</v>
      </c>
      <c r="G15" s="48"/>
      <c r="H15" s="48">
        <v>2200</v>
      </c>
      <c r="I15" s="48"/>
      <c r="J15" s="48"/>
      <c r="K15" s="48"/>
      <c r="L15" s="48"/>
      <c r="M15" s="48"/>
      <c r="N15" s="48"/>
      <c r="O15" s="48">
        <v>369</v>
      </c>
      <c r="P15" s="48"/>
      <c r="Q15" s="48"/>
      <c r="R15" s="48"/>
      <c r="S15" s="48"/>
      <c r="T15" s="48">
        <v>1400</v>
      </c>
      <c r="U15" s="48"/>
      <c r="V15" s="48"/>
      <c r="W15" s="48">
        <f t="shared" si="0"/>
        <v>5659</v>
      </c>
      <c r="X15" s="49"/>
      <c r="Y15" s="50"/>
    </row>
    <row r="16" spans="1:47">
      <c r="A16" s="47">
        <v>16</v>
      </c>
      <c r="B16" s="47" t="s">
        <v>3</v>
      </c>
      <c r="C16" s="48">
        <f>160+263</f>
        <v>423</v>
      </c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>
        <v>450</v>
      </c>
      <c r="U16" s="48"/>
      <c r="V16" s="48"/>
      <c r="W16" s="48">
        <f t="shared" si="0"/>
        <v>873</v>
      </c>
      <c r="X16" s="49"/>
      <c r="Y16" s="50"/>
    </row>
    <row r="17" spans="1:27">
      <c r="A17" s="47">
        <v>17</v>
      </c>
      <c r="B17" s="47" t="s">
        <v>4</v>
      </c>
      <c r="C17" s="48"/>
      <c r="D17" s="48"/>
      <c r="E17" s="48">
        <v>1116</v>
      </c>
      <c r="F17" s="48"/>
      <c r="G17" s="48"/>
      <c r="H17" s="48"/>
      <c r="I17" s="48"/>
      <c r="J17" s="48"/>
      <c r="K17" s="48"/>
      <c r="L17" s="48"/>
      <c r="M17" s="48"/>
      <c r="N17" s="48"/>
      <c r="O17" s="48">
        <v>307</v>
      </c>
      <c r="P17" s="48"/>
      <c r="Q17" s="48">
        <v>800</v>
      </c>
      <c r="R17" s="48"/>
      <c r="S17" s="48"/>
      <c r="T17" s="48"/>
      <c r="U17" s="48"/>
      <c r="V17" s="48"/>
      <c r="W17" s="48">
        <f t="shared" si="0"/>
        <v>2223</v>
      </c>
      <c r="X17" s="49"/>
      <c r="Y17" s="50"/>
    </row>
    <row r="18" spans="1:27">
      <c r="A18" s="47">
        <v>18</v>
      </c>
      <c r="B18" s="47" t="s">
        <v>5</v>
      </c>
      <c r="C18" s="48">
        <f>1357.83+470</f>
        <v>1827.83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>
        <v>187</v>
      </c>
      <c r="P18" s="48"/>
      <c r="Q18" s="48"/>
      <c r="R18" s="48"/>
      <c r="S18" s="48"/>
      <c r="T18" s="48"/>
      <c r="U18" s="48"/>
      <c r="V18" s="48"/>
      <c r="W18" s="48">
        <f t="shared" si="0"/>
        <v>2014.83</v>
      </c>
      <c r="X18" s="49"/>
      <c r="Y18" s="50"/>
    </row>
    <row r="19" spans="1:27">
      <c r="A19" s="47">
        <v>19</v>
      </c>
      <c r="B19" s="47" t="s">
        <v>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>
        <v>700</v>
      </c>
      <c r="T19" s="48"/>
      <c r="U19" s="48"/>
      <c r="V19" s="48"/>
      <c r="W19" s="48">
        <f t="shared" si="0"/>
        <v>700</v>
      </c>
      <c r="X19" s="49"/>
      <c r="Y19" s="50"/>
    </row>
    <row r="20" spans="1:27">
      <c r="A20" s="59" t="s">
        <v>68</v>
      </c>
      <c r="B20" s="60"/>
      <c r="C20" s="61">
        <f>SUM(C3:C19)</f>
        <v>12278.83</v>
      </c>
      <c r="D20" s="61">
        <f t="shared" ref="D20:V20" si="1">SUM(D3:D19)</f>
        <v>8348</v>
      </c>
      <c r="E20" s="61">
        <f t="shared" si="1"/>
        <v>3011</v>
      </c>
      <c r="F20" s="61">
        <f t="shared" si="1"/>
        <v>2490</v>
      </c>
      <c r="G20" s="61">
        <f t="shared" si="1"/>
        <v>2250</v>
      </c>
      <c r="H20" s="61">
        <f t="shared" si="1"/>
        <v>7794</v>
      </c>
      <c r="I20" s="61">
        <f t="shared" si="1"/>
        <v>2534</v>
      </c>
      <c r="J20" s="61">
        <f t="shared" si="1"/>
        <v>0</v>
      </c>
      <c r="K20" s="61">
        <f t="shared" si="1"/>
        <v>7127.2199999999993</v>
      </c>
      <c r="L20" s="61">
        <f t="shared" si="1"/>
        <v>0</v>
      </c>
      <c r="M20" s="61">
        <f t="shared" si="1"/>
        <v>0</v>
      </c>
      <c r="N20" s="61">
        <f t="shared" si="1"/>
        <v>8750</v>
      </c>
      <c r="O20" s="61">
        <f t="shared" si="1"/>
        <v>2397</v>
      </c>
      <c r="P20" s="61">
        <f t="shared" si="1"/>
        <v>1568</v>
      </c>
      <c r="Q20" s="61">
        <f t="shared" si="1"/>
        <v>27325</v>
      </c>
      <c r="R20" s="61">
        <f t="shared" si="1"/>
        <v>9373</v>
      </c>
      <c r="S20" s="61">
        <f t="shared" si="1"/>
        <v>8150</v>
      </c>
      <c r="T20" s="61">
        <f t="shared" si="1"/>
        <v>8850</v>
      </c>
      <c r="U20" s="61">
        <f t="shared" si="1"/>
        <v>1740</v>
      </c>
      <c r="V20" s="61">
        <f t="shared" si="1"/>
        <v>2860</v>
      </c>
      <c r="W20" s="61">
        <f>SUM(W3:W19)</f>
        <v>116846.05</v>
      </c>
      <c r="X20" s="62">
        <f>SUM(X3:X19)</f>
        <v>115688</v>
      </c>
      <c r="Y20" s="63">
        <f>X20-W20</f>
        <v>-1158.0500000000029</v>
      </c>
    </row>
    <row r="21" spans="1:27">
      <c r="A21" s="39">
        <v>20</v>
      </c>
      <c r="B21" s="39" t="s">
        <v>7</v>
      </c>
      <c r="C21" s="66">
        <v>1000</v>
      </c>
      <c r="D21" s="40">
        <v>299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66">
        <f>4660+700</f>
        <v>5360</v>
      </c>
      <c r="T21" s="40"/>
      <c r="U21" s="40"/>
      <c r="V21" s="40"/>
      <c r="W21" s="40">
        <f t="shared" si="0"/>
        <v>6659</v>
      </c>
      <c r="X21" s="41">
        <v>36010</v>
      </c>
      <c r="Y21" s="42"/>
    </row>
    <row r="22" spans="1:27">
      <c r="A22" s="47">
        <v>21</v>
      </c>
      <c r="B22" s="47" t="s">
        <v>8</v>
      </c>
      <c r="C22" s="66">
        <v>1000</v>
      </c>
      <c r="D22" s="48"/>
      <c r="E22" s="48"/>
      <c r="F22" s="48"/>
      <c r="G22" s="66">
        <v>700</v>
      </c>
      <c r="H22" s="48"/>
      <c r="I22" s="48"/>
      <c r="J22" s="48"/>
      <c r="K22" s="48"/>
      <c r="L22" s="48"/>
      <c r="M22" s="48"/>
      <c r="N22" s="66">
        <v>6000</v>
      </c>
      <c r="O22" s="48"/>
      <c r="P22" s="48"/>
      <c r="Q22" s="48"/>
      <c r="R22" s="48"/>
      <c r="S22" s="66">
        <v>500</v>
      </c>
      <c r="T22" s="66">
        <v>1600</v>
      </c>
      <c r="U22" s="48"/>
      <c r="V22" s="48"/>
      <c r="W22" s="48">
        <f t="shared" si="0"/>
        <v>9800</v>
      </c>
      <c r="X22" s="49"/>
      <c r="Y22" s="50"/>
      <c r="AA22" s="51"/>
    </row>
    <row r="23" spans="1:27">
      <c r="A23" s="47">
        <v>22</v>
      </c>
      <c r="B23" s="47" t="s">
        <v>2</v>
      </c>
      <c r="C23" s="66">
        <v>1000</v>
      </c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66">
        <v>409</v>
      </c>
      <c r="P23" s="48"/>
      <c r="Q23" s="48"/>
      <c r="R23" s="48"/>
      <c r="S23" s="48"/>
      <c r="T23" s="66">
        <v>1600</v>
      </c>
      <c r="U23" s="48"/>
      <c r="V23" s="48"/>
      <c r="W23" s="48">
        <f t="shared" si="0"/>
        <v>3009</v>
      </c>
      <c r="X23" s="49"/>
      <c r="Y23" s="50"/>
    </row>
    <row r="24" spans="1:27">
      <c r="A24" s="47">
        <v>23</v>
      </c>
      <c r="B24" s="47" t="s">
        <v>3</v>
      </c>
      <c r="C24" s="66">
        <v>1000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66">
        <v>275</v>
      </c>
      <c r="P24" s="48"/>
      <c r="Q24" s="48"/>
      <c r="R24" s="48"/>
      <c r="S24" s="48"/>
      <c r="T24" s="48"/>
      <c r="U24" s="48"/>
      <c r="V24" s="48"/>
      <c r="W24" s="48">
        <f t="shared" si="0"/>
        <v>1275</v>
      </c>
      <c r="X24" s="49"/>
      <c r="Y24" s="50"/>
    </row>
    <row r="25" spans="1:27">
      <c r="A25" s="47">
        <v>24</v>
      </c>
      <c r="B25" s="47" t="s">
        <v>4</v>
      </c>
      <c r="C25" s="66">
        <v>1000</v>
      </c>
      <c r="D25" s="48"/>
      <c r="E25" s="48"/>
      <c r="F25" s="48"/>
      <c r="G25" s="66">
        <v>700</v>
      </c>
      <c r="H25" s="48"/>
      <c r="I25" s="48"/>
      <c r="J25" s="48"/>
      <c r="K25" s="48"/>
      <c r="L25" s="48"/>
      <c r="M25" s="48"/>
      <c r="N25" s="48"/>
      <c r="O25" s="66">
        <f>302+243</f>
        <v>545</v>
      </c>
      <c r="P25" s="48"/>
      <c r="Q25" s="48"/>
      <c r="R25" s="48"/>
      <c r="S25" s="66">
        <v>1000</v>
      </c>
      <c r="T25" s="48"/>
      <c r="U25" s="48"/>
      <c r="V25" s="48"/>
      <c r="W25" s="48">
        <f t="shared" si="0"/>
        <v>3245</v>
      </c>
      <c r="X25" s="49"/>
      <c r="Y25" s="50"/>
    </row>
    <row r="26" spans="1:27">
      <c r="A26" s="47">
        <v>25</v>
      </c>
      <c r="B26" s="47" t="s">
        <v>5</v>
      </c>
      <c r="C26" s="66">
        <v>1000</v>
      </c>
      <c r="D26" s="48"/>
      <c r="E26" s="66">
        <v>2500</v>
      </c>
      <c r="F26" s="48"/>
      <c r="G26" s="48"/>
      <c r="H26" s="48"/>
      <c r="I26" s="66">
        <v>1200</v>
      </c>
      <c r="J26" s="48"/>
      <c r="K26" s="66">
        <v>5000</v>
      </c>
      <c r="L26" s="48"/>
      <c r="M26" s="48"/>
      <c r="N26" s="48"/>
      <c r="O26" s="66">
        <v>409</v>
      </c>
      <c r="P26" s="48"/>
      <c r="Q26" s="48"/>
      <c r="R26" s="48"/>
      <c r="S26" s="48"/>
      <c r="T26" s="48"/>
      <c r="U26" s="48"/>
      <c r="V26" s="48"/>
      <c r="W26" s="48">
        <f t="shared" si="0"/>
        <v>10109</v>
      </c>
      <c r="X26" s="49"/>
      <c r="Y26" s="50"/>
    </row>
    <row r="27" spans="1:27">
      <c r="A27" s="47">
        <v>26</v>
      </c>
      <c r="B27" s="47" t="s">
        <v>6</v>
      </c>
      <c r="C27" s="66">
        <v>1000</v>
      </c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66">
        <v>275</v>
      </c>
      <c r="P27" s="48"/>
      <c r="Q27" s="48"/>
      <c r="R27" s="48"/>
      <c r="S27" s="48"/>
      <c r="T27" s="48"/>
      <c r="U27" s="48"/>
      <c r="V27" s="48"/>
      <c r="W27" s="48">
        <f t="shared" si="0"/>
        <v>1275</v>
      </c>
      <c r="X27" s="49"/>
      <c r="Y27" s="50"/>
    </row>
    <row r="28" spans="1:27">
      <c r="A28" s="47">
        <v>27</v>
      </c>
      <c r="B28" s="47" t="s">
        <v>7</v>
      </c>
      <c r="C28" s="66">
        <v>1000</v>
      </c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66">
        <f>302+243</f>
        <v>545</v>
      </c>
      <c r="P28" s="48"/>
      <c r="Q28" s="48"/>
      <c r="R28" s="48"/>
      <c r="S28" s="48"/>
      <c r="T28" s="48"/>
      <c r="U28" s="48"/>
      <c r="V28" s="48"/>
      <c r="W28" s="48">
        <f t="shared" si="0"/>
        <v>1545</v>
      </c>
      <c r="X28" s="49"/>
      <c r="Y28" s="50"/>
    </row>
    <row r="29" spans="1:27">
      <c r="A29" s="47">
        <v>28</v>
      </c>
      <c r="B29" s="47" t="s">
        <v>8</v>
      </c>
      <c r="C29" s="66">
        <v>1000</v>
      </c>
      <c r="D29" s="48"/>
      <c r="E29" s="48"/>
      <c r="F29" s="48"/>
      <c r="G29" s="66">
        <v>700</v>
      </c>
      <c r="H29" s="48"/>
      <c r="I29" s="48"/>
      <c r="J29" s="48"/>
      <c r="K29" s="48"/>
      <c r="L29" s="48"/>
      <c r="M29" s="48"/>
      <c r="N29" s="48"/>
      <c r="O29" s="48"/>
      <c r="P29" s="66">
        <v>1000</v>
      </c>
      <c r="Q29" s="48"/>
      <c r="R29" s="48"/>
      <c r="S29" s="48"/>
      <c r="T29" s="48"/>
      <c r="U29" s="48"/>
      <c r="V29" s="48"/>
      <c r="W29" s="48">
        <f t="shared" si="0"/>
        <v>2700</v>
      </c>
      <c r="X29" s="49"/>
      <c r="Y29" s="50"/>
    </row>
    <row r="30" spans="1:27">
      <c r="A30" s="47">
        <v>29</v>
      </c>
      <c r="B30" s="47" t="s">
        <v>2</v>
      </c>
      <c r="C30" s="66">
        <v>1000</v>
      </c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1000</v>
      </c>
      <c r="X30" s="49"/>
      <c r="Y30" s="50"/>
    </row>
    <row r="31" spans="1:27">
      <c r="A31" s="47">
        <v>30</v>
      </c>
      <c r="B31" s="47" t="s">
        <v>3</v>
      </c>
      <c r="C31" s="66">
        <v>1000</v>
      </c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66">
        <v>305</v>
      </c>
      <c r="P31" s="48"/>
      <c r="Q31" s="48"/>
      <c r="R31" s="48"/>
      <c r="S31" s="48"/>
      <c r="T31" s="48"/>
      <c r="U31" s="48"/>
      <c r="V31" s="48"/>
      <c r="W31" s="48">
        <f t="shared" si="0"/>
        <v>1305</v>
      </c>
      <c r="X31" s="49"/>
      <c r="Y31" s="50"/>
    </row>
    <row r="32" spans="1:27">
      <c r="A32" s="47">
        <v>1</v>
      </c>
      <c r="B32" s="47" t="s">
        <v>4</v>
      </c>
      <c r="C32" s="66">
        <v>1000</v>
      </c>
      <c r="D32" s="48"/>
      <c r="E32" s="48"/>
      <c r="F32" s="48"/>
      <c r="G32" s="66">
        <v>700</v>
      </c>
      <c r="H32" s="48"/>
      <c r="I32" s="48"/>
      <c r="J32" s="48"/>
      <c r="K32" s="48"/>
      <c r="L32" s="48"/>
      <c r="M32" s="48"/>
      <c r="N32" s="48"/>
      <c r="O32" s="66">
        <v>369</v>
      </c>
      <c r="P32" s="48"/>
      <c r="Q32" s="48"/>
      <c r="R32" s="48"/>
      <c r="S32" s="48"/>
      <c r="T32" s="48"/>
      <c r="U32" s="48"/>
      <c r="V32" s="48"/>
      <c r="W32" s="48">
        <f t="shared" si="0"/>
        <v>2069</v>
      </c>
      <c r="X32" s="49"/>
      <c r="Y32" s="50"/>
    </row>
    <row r="33" spans="1:25">
      <c r="A33" s="47">
        <v>2</v>
      </c>
      <c r="B33" s="47" t="s">
        <v>5</v>
      </c>
      <c r="C33" s="66">
        <v>1000</v>
      </c>
      <c r="D33" s="48"/>
      <c r="E33" s="48"/>
      <c r="F33" s="48"/>
      <c r="G33" s="48"/>
      <c r="H33" s="66">
        <v>4000</v>
      </c>
      <c r="I33" s="66">
        <v>1200</v>
      </c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6200</v>
      </c>
      <c r="X33" s="49"/>
      <c r="Y33" s="50"/>
    </row>
    <row r="34" spans="1:25">
      <c r="A34" s="47">
        <v>3</v>
      </c>
      <c r="B34" s="47" t="s">
        <v>6</v>
      </c>
      <c r="C34" s="66">
        <v>1000</v>
      </c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66">
        <v>307</v>
      </c>
      <c r="P34" s="48"/>
      <c r="Q34" s="48"/>
      <c r="R34" s="48"/>
      <c r="S34" s="48"/>
      <c r="T34" s="48"/>
      <c r="U34" s="48"/>
      <c r="V34" s="48"/>
      <c r="W34" s="48">
        <f t="shared" si="0"/>
        <v>1307</v>
      </c>
      <c r="X34" s="49"/>
      <c r="Y34" s="50"/>
    </row>
    <row r="35" spans="1:25">
      <c r="A35" s="47">
        <v>4</v>
      </c>
      <c r="B35" s="47" t="s">
        <v>7</v>
      </c>
      <c r="C35" s="66">
        <v>1000</v>
      </c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66">
        <v>187</v>
      </c>
      <c r="P35" s="48"/>
      <c r="Q35" s="48"/>
      <c r="R35" s="48"/>
      <c r="S35" s="48"/>
      <c r="T35" s="48"/>
      <c r="U35" s="48"/>
      <c r="V35" s="48"/>
      <c r="W35" s="48">
        <f>SUM(C35:V35)</f>
        <v>1187</v>
      </c>
      <c r="X35" s="49"/>
      <c r="Y35" s="50"/>
    </row>
    <row r="36" spans="1:25">
      <c r="A36" s="59" t="s">
        <v>69</v>
      </c>
      <c r="B36" s="60"/>
      <c r="C36" s="61">
        <f>SUM(C21:C35)</f>
        <v>15000</v>
      </c>
      <c r="D36" s="61">
        <f t="shared" ref="D36:V36" si="2">SUM(D21:D35)</f>
        <v>299</v>
      </c>
      <c r="E36" s="61">
        <f t="shared" si="2"/>
        <v>2500</v>
      </c>
      <c r="F36" s="61">
        <f t="shared" si="2"/>
        <v>0</v>
      </c>
      <c r="G36" s="61">
        <f t="shared" si="2"/>
        <v>2800</v>
      </c>
      <c r="H36" s="61">
        <f t="shared" si="2"/>
        <v>4000</v>
      </c>
      <c r="I36" s="61">
        <f t="shared" si="2"/>
        <v>2400</v>
      </c>
      <c r="J36" s="61">
        <f t="shared" si="2"/>
        <v>0</v>
      </c>
      <c r="K36" s="61">
        <f t="shared" si="2"/>
        <v>5000</v>
      </c>
      <c r="L36" s="61">
        <f t="shared" si="2"/>
        <v>0</v>
      </c>
      <c r="M36" s="61">
        <f t="shared" si="2"/>
        <v>0</v>
      </c>
      <c r="N36" s="61">
        <f t="shared" si="2"/>
        <v>6000</v>
      </c>
      <c r="O36" s="61">
        <f t="shared" si="2"/>
        <v>3626</v>
      </c>
      <c r="P36" s="61">
        <f t="shared" si="2"/>
        <v>1000</v>
      </c>
      <c r="Q36" s="61">
        <f t="shared" si="2"/>
        <v>0</v>
      </c>
      <c r="R36" s="61">
        <f t="shared" si="2"/>
        <v>0</v>
      </c>
      <c r="S36" s="61">
        <f t="shared" si="2"/>
        <v>6860</v>
      </c>
      <c r="T36" s="61">
        <f t="shared" si="2"/>
        <v>3200</v>
      </c>
      <c r="U36" s="61">
        <f t="shared" si="2"/>
        <v>0</v>
      </c>
      <c r="V36" s="61">
        <f t="shared" si="2"/>
        <v>0</v>
      </c>
      <c r="W36" s="61">
        <f>SUM(W21:W35)</f>
        <v>52685</v>
      </c>
      <c r="X36" s="62">
        <f>SUM(X21:X35)</f>
        <v>36010</v>
      </c>
      <c r="Y36" s="63">
        <f>X36-W36</f>
        <v>-16675</v>
      </c>
    </row>
    <row r="37" spans="1:25" ht="31.5" customHeight="1">
      <c r="A37" s="64" t="s">
        <v>70</v>
      </c>
      <c r="B37" s="64"/>
      <c r="C37" s="65">
        <f>SUM(C20,C36)</f>
        <v>27278.83</v>
      </c>
      <c r="D37" s="65">
        <f t="shared" ref="D37:V37" si="3">SUM(D20,D36)</f>
        <v>8647</v>
      </c>
      <c r="E37" s="65">
        <f t="shared" si="3"/>
        <v>5511</v>
      </c>
      <c r="F37" s="65">
        <f t="shared" si="3"/>
        <v>2490</v>
      </c>
      <c r="G37" s="65">
        <f t="shared" si="3"/>
        <v>5050</v>
      </c>
      <c r="H37" s="65">
        <f t="shared" si="3"/>
        <v>11794</v>
      </c>
      <c r="I37" s="65">
        <f t="shared" si="3"/>
        <v>4934</v>
      </c>
      <c r="J37" s="65">
        <f t="shared" si="3"/>
        <v>0</v>
      </c>
      <c r="K37" s="65">
        <f t="shared" si="3"/>
        <v>12127.22</v>
      </c>
      <c r="L37" s="65">
        <f t="shared" si="3"/>
        <v>0</v>
      </c>
      <c r="M37" s="65">
        <f t="shared" si="3"/>
        <v>0</v>
      </c>
      <c r="N37" s="65">
        <f t="shared" si="3"/>
        <v>14750</v>
      </c>
      <c r="O37" s="65">
        <f t="shared" si="3"/>
        <v>6023</v>
      </c>
      <c r="P37" s="65">
        <f t="shared" si="3"/>
        <v>2568</v>
      </c>
      <c r="Q37" s="65">
        <f t="shared" si="3"/>
        <v>27325</v>
      </c>
      <c r="R37" s="65">
        <f t="shared" si="3"/>
        <v>9373</v>
      </c>
      <c r="S37" s="65">
        <f t="shared" si="3"/>
        <v>15010</v>
      </c>
      <c r="T37" s="65">
        <f t="shared" si="3"/>
        <v>12050</v>
      </c>
      <c r="U37" s="65">
        <f t="shared" si="3"/>
        <v>1740</v>
      </c>
      <c r="V37" s="65">
        <f t="shared" si="3"/>
        <v>2860</v>
      </c>
      <c r="W37" s="65">
        <f t="shared" ref="W37" si="4">SUM(W20,W36)</f>
        <v>169531.05</v>
      </c>
      <c r="X37" s="65">
        <f>SUM(X20,X36)</f>
        <v>151698</v>
      </c>
      <c r="Y37" s="65">
        <f>SUM(Y20,Y36)</f>
        <v>-17833.050000000003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6" t="s">
        <v>49</v>
      </c>
      <c r="B1" s="56"/>
      <c r="C1" s="56"/>
      <c r="D1" s="56"/>
      <c r="E1" s="56"/>
      <c r="G1" s="56" t="s">
        <v>50</v>
      </c>
      <c r="H1" s="56"/>
      <c r="I1" s="56"/>
      <c r="J1" s="56"/>
      <c r="K1" s="56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58" t="s">
        <v>61</v>
      </c>
      <c r="H8" s="58"/>
      <c r="I8" s="58"/>
      <c r="J8" s="58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57" t="s">
        <v>61</v>
      </c>
      <c r="B24" s="57"/>
      <c r="C24" s="57"/>
      <c r="D24" s="57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2026-04-20T11:02:55Z</dcterms:modified>
</cp:coreProperties>
</file>