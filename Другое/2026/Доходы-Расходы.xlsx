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2"/>
  </bookViews>
  <sheets>
    <sheet name="Февраль 2026" sheetId="3" r:id="rId1"/>
    <sheet name="Март 2026" sheetId="1" r:id="rId2"/>
    <sheet name="Апрель 2026" sheetId="4" r:id="rId3"/>
    <sheet name="Лист1" sheetId="2" r:id="rId4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" i="4"/>
  <c r="O19"/>
  <c r="I19"/>
  <c r="H19"/>
  <c r="F19"/>
  <c r="C19"/>
  <c r="W32" l="1"/>
  <c r="W33"/>
  <c r="W34"/>
  <c r="D35"/>
  <c r="E35"/>
  <c r="F35"/>
  <c r="G35"/>
  <c r="H35"/>
  <c r="I35"/>
  <c r="J35"/>
  <c r="K35"/>
  <c r="L35"/>
  <c r="M35"/>
  <c r="N35"/>
  <c r="O35"/>
  <c r="P35"/>
  <c r="Q35"/>
  <c r="R35"/>
  <c r="S35"/>
  <c r="T35"/>
  <c r="U35"/>
  <c r="V35"/>
  <c r="C35"/>
  <c r="X35"/>
  <c r="W31"/>
  <c r="W30"/>
  <c r="W29"/>
  <c r="W28"/>
  <c r="W27"/>
  <c r="W26"/>
  <c r="W25"/>
  <c r="W24"/>
  <c r="W23"/>
  <c r="W22"/>
  <c r="W21"/>
  <c r="W20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R32" s="1"/>
  <c r="C18"/>
  <c r="N17"/>
  <c r="F16"/>
  <c r="F14"/>
  <c r="C13"/>
  <c r="N11"/>
  <c r="F11"/>
  <c r="G10"/>
  <c r="S10"/>
  <c r="S32" s="1"/>
  <c r="F10"/>
  <c r="F9"/>
  <c r="C6"/>
  <c r="D32"/>
  <c r="E32"/>
  <c r="I32"/>
  <c r="J32"/>
  <c r="K32"/>
  <c r="L32"/>
  <c r="M32"/>
  <c r="O32"/>
  <c r="P32"/>
  <c r="Q32"/>
  <c r="T32"/>
  <c r="U32"/>
  <c r="V30"/>
  <c r="V31"/>
  <c r="Y19" i="4" l="1"/>
  <c r="W35"/>
  <c r="Y35" s="1"/>
  <c r="F32" i="1"/>
  <c r="R5"/>
  <c r="G5"/>
  <c r="C32" l="1"/>
  <c r="N4"/>
  <c r="S4"/>
  <c r="V4" s="1"/>
  <c r="C3"/>
  <c r="V3" s="1"/>
  <c r="H32"/>
  <c r="N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W32" l="1"/>
  <c r="V32"/>
  <c r="F23" i="3"/>
  <c r="S23"/>
  <c r="N23"/>
  <c r="N24"/>
  <c r="U25"/>
  <c r="N25"/>
  <c r="N26"/>
  <c r="L26"/>
  <c r="F31"/>
  <c r="C20"/>
  <c r="G19"/>
  <c r="X32" i="1" l="1"/>
  <c r="V17"/>
  <c r="V19" i="3"/>
  <c r="V20"/>
  <c r="V21"/>
  <c r="V22"/>
  <c r="V23"/>
  <c r="V24"/>
  <c r="V25"/>
  <c r="V26"/>
  <c r="V27"/>
  <c r="V28"/>
  <c r="V29"/>
  <c r="V30"/>
  <c r="V6"/>
  <c r="V7"/>
  <c r="V8"/>
  <c r="V9"/>
  <c r="V10"/>
  <c r="V14"/>
  <c r="V15"/>
  <c r="V16"/>
  <c r="V17"/>
  <c r="E31"/>
  <c r="G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V12" s="1"/>
  <c r="P11"/>
  <c r="P31" s="1"/>
  <c r="G11"/>
  <c r="C11"/>
  <c r="N6"/>
  <c r="N5"/>
  <c r="V5" s="1"/>
  <c r="N4"/>
  <c r="C3"/>
  <c r="V3" s="1"/>
  <c r="K7" i="2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N31" i="3" l="1"/>
  <c r="C31"/>
  <c r="V11"/>
  <c r="K8" i="2"/>
  <c r="E24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пальто</t>
        </r>
      </text>
    </comment>
    <comment ref="T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 + штрафы за парковку
</t>
        </r>
      </text>
    </comment>
  </commentList>
</comments>
</file>

<file path=xl/sharedStrings.xml><?xml version="1.0" encoding="utf-8"?>
<sst xmlns="http://schemas.openxmlformats.org/spreadsheetml/2006/main" count="208" uniqueCount="68">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</sst>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3" borderId="4" xfId="0" applyFont="1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 vertical="center"/>
    </xf>
    <xf numFmtId="164" fontId="12" fillId="13" borderId="4" xfId="0" applyNumberFormat="1" applyFont="1" applyFill="1" applyBorder="1"/>
    <xf numFmtId="164" fontId="12" fillId="13" borderId="4" xfId="0" applyNumberFormat="1" applyFont="1" applyFill="1" applyBorder="1" applyAlignment="1">
      <alignment vertical="center"/>
    </xf>
    <xf numFmtId="164" fontId="12" fillId="13" borderId="4" xfId="0" applyNumberFormat="1" applyFont="1" applyFill="1" applyBorder="1" applyAlignment="1">
      <alignment horizontal="center"/>
    </xf>
    <xf numFmtId="164" fontId="12" fillId="14" borderId="4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12" fillId="13" borderId="4" xfId="0" applyFont="1" applyFill="1" applyBorder="1" applyAlignment="1">
      <alignment horizontal="right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  <xf numFmtId="164" fontId="0" fillId="2" borderId="0" xfId="0" applyNumberFormat="1" applyFill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I34" sqref="I34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3" t="s">
        <v>27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54" t="s">
        <v>20</v>
      </c>
      <c r="B31" s="54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G33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6" t="s">
        <v>65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>
        <v>600</v>
      </c>
      <c r="U20" s="34"/>
      <c r="V20" s="34">
        <f t="shared" si="0"/>
        <v>6100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>
        <v>311</v>
      </c>
      <c r="P21" s="34"/>
      <c r="Q21" s="34"/>
      <c r="R21" s="34"/>
      <c r="S21" s="34"/>
      <c r="T21" s="34"/>
      <c r="U21" s="34"/>
      <c r="V21" s="34">
        <f t="shared" si="0"/>
        <v>311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>
        <v>295</v>
      </c>
      <c r="P22" s="34"/>
      <c r="Q22" s="34"/>
      <c r="R22" s="34"/>
      <c r="S22" s="34">
        <v>900</v>
      </c>
      <c r="T22" s="34"/>
      <c r="U22" s="34"/>
      <c r="V22" s="34">
        <f t="shared" si="0"/>
        <v>1195</v>
      </c>
      <c r="W22" s="35"/>
      <c r="X22" s="38"/>
    </row>
    <row r="23" spans="1:24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>
        <v>1104</v>
      </c>
      <c r="D25" s="34">
        <v>856</v>
      </c>
      <c r="E25" s="34"/>
      <c r="F25" s="34"/>
      <c r="G25" s="34"/>
      <c r="H25" s="34"/>
      <c r="I25" s="34"/>
      <c r="J25" s="34"/>
      <c r="K25" s="34"/>
      <c r="L25" s="34"/>
      <c r="M25" s="34"/>
      <c r="N25" s="34">
        <f>201+182</f>
        <v>383</v>
      </c>
      <c r="O25" s="34"/>
      <c r="P25" s="34"/>
      <c r="Q25" s="34"/>
      <c r="R25" s="34"/>
      <c r="S25" s="34"/>
      <c r="T25" s="34"/>
      <c r="U25" s="34"/>
      <c r="V25" s="34">
        <f t="shared" si="0"/>
        <v>2343</v>
      </c>
      <c r="W25" s="35"/>
      <c r="X25" s="38"/>
    </row>
    <row r="26" spans="1:24">
      <c r="A26" s="33">
        <v>28</v>
      </c>
      <c r="B26" s="33" t="s">
        <v>5</v>
      </c>
      <c r="C26" s="34"/>
      <c r="D26" s="34">
        <v>1067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>
        <v>132</v>
      </c>
      <c r="T26" s="34"/>
      <c r="U26" s="34"/>
      <c r="V26" s="34">
        <f t="shared" si="0"/>
        <v>1199</v>
      </c>
      <c r="W26" s="35"/>
      <c r="X26" s="38"/>
    </row>
    <row r="27" spans="1:24">
      <c r="A27" s="33">
        <v>29</v>
      </c>
      <c r="B27" s="33" t="s">
        <v>6</v>
      </c>
      <c r="C27" s="44">
        <f>735+868</f>
        <v>1603</v>
      </c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>
        <f>322+198</f>
        <v>520</v>
      </c>
      <c r="O27" s="34"/>
      <c r="P27" s="34"/>
      <c r="Q27" s="34"/>
      <c r="R27" s="34"/>
      <c r="S27" s="34"/>
      <c r="T27" s="34"/>
      <c r="U27" s="34"/>
      <c r="V27" s="34">
        <f t="shared" si="0"/>
        <v>2123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44">
        <f>350</f>
        <v>350</v>
      </c>
      <c r="G28" s="34"/>
      <c r="H28" s="34"/>
      <c r="I28" s="34"/>
      <c r="J28" s="34"/>
      <c r="K28" s="34"/>
      <c r="L28" s="34"/>
      <c r="M28" s="34"/>
      <c r="N28" s="44">
        <v>228</v>
      </c>
      <c r="O28" s="34"/>
      <c r="P28" s="34"/>
      <c r="Q28" s="34"/>
      <c r="R28" s="34"/>
      <c r="S28" s="34"/>
      <c r="T28" s="34"/>
      <c r="U28" s="34"/>
      <c r="V28" s="34">
        <f t="shared" si="0"/>
        <v>578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>
      <c r="A32" s="55" t="s">
        <v>20</v>
      </c>
      <c r="B32" s="55"/>
      <c r="C32" s="35">
        <f>SUM(C3:C31)</f>
        <v>16843.349999999999</v>
      </c>
      <c r="D32" s="35">
        <f t="shared" ref="D32:U32" si="1">SUM(D3:D31)</f>
        <v>3114</v>
      </c>
      <c r="E32" s="35">
        <f t="shared" si="1"/>
        <v>0</v>
      </c>
      <c r="F32" s="35">
        <f t="shared" si="1"/>
        <v>8372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6106</v>
      </c>
      <c r="O32" s="35">
        <f t="shared" si="1"/>
        <v>2476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12799.95</v>
      </c>
      <c r="T32" s="35">
        <f t="shared" si="1"/>
        <v>7800</v>
      </c>
      <c r="U32" s="35">
        <f t="shared" si="1"/>
        <v>0</v>
      </c>
      <c r="V32" s="36">
        <f>SUM(V3:V31)</f>
        <v>80331.3</v>
      </c>
      <c r="W32" s="35">
        <f>SUM(W3:W29)</f>
        <v>68400</v>
      </c>
      <c r="X32" s="38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U39"/>
  <sheetViews>
    <sheetView tabSelected="1" zoomScale="85" zoomScaleNormal="85" workbookViewId="0">
      <pane xSplit="2" ySplit="35" topLeftCell="C36" activePane="bottomRight" state="frozen"/>
      <selection pane="topRight" activeCell="C1" sqref="C1"/>
      <selection pane="bottomLeft" activeCell="A28" sqref="A28"/>
      <selection pane="bottomRight" activeCell="AA21" sqref="AA21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56" t="s">
        <v>65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47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67</v>
      </c>
      <c r="H2" s="37" t="s">
        <v>11</v>
      </c>
      <c r="I2" s="37" t="s">
        <v>63</v>
      </c>
      <c r="J2" s="37" t="s">
        <v>12</v>
      </c>
      <c r="K2" s="37" t="s">
        <v>24</v>
      </c>
      <c r="L2" s="37" t="s">
        <v>23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60</v>
      </c>
      <c r="R2" s="37" t="s">
        <v>17</v>
      </c>
      <c r="S2" s="37" t="s">
        <v>18</v>
      </c>
      <c r="T2" s="37" t="s">
        <v>25</v>
      </c>
      <c r="U2" s="37" t="s">
        <v>25</v>
      </c>
      <c r="V2" s="37" t="s">
        <v>26</v>
      </c>
      <c r="W2" s="37" t="s">
        <v>22</v>
      </c>
      <c r="X2" s="37" t="s">
        <v>19</v>
      </c>
      <c r="Y2" s="3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9">
        <v>3</v>
      </c>
      <c r="B3" s="39" t="s">
        <v>4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8">
        <v>22000</v>
      </c>
      <c r="R3" s="52">
        <v>10000</v>
      </c>
      <c r="S3" s="48">
        <f>4660+702</f>
        <v>5362</v>
      </c>
      <c r="T3" s="48">
        <v>7000</v>
      </c>
      <c r="U3" s="40"/>
      <c r="V3" s="40"/>
      <c r="W3" s="40">
        <f>SUM(C3:V3)</f>
        <v>44362</v>
      </c>
      <c r="X3" s="41">
        <v>100688</v>
      </c>
      <c r="Y3" s="42"/>
    </row>
    <row r="4" spans="1:47">
      <c r="A4" s="47">
        <v>4</v>
      </c>
      <c r="B4" s="47" t="s">
        <v>5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52">
        <v>5000</v>
      </c>
      <c r="O4" s="48"/>
      <c r="P4" s="48"/>
      <c r="Q4" s="48"/>
      <c r="R4" s="48"/>
      <c r="S4" s="52">
        <v>2000</v>
      </c>
      <c r="T4" s="48"/>
      <c r="U4" s="48"/>
      <c r="V4" s="48"/>
      <c r="W4" s="48">
        <f t="shared" ref="W4:W34" si="0">SUM(C4:V4)</f>
        <v>7000</v>
      </c>
      <c r="X4" s="49"/>
      <c r="Y4" s="50"/>
    </row>
    <row r="5" spans="1:47">
      <c r="A5" s="47">
        <v>5</v>
      </c>
      <c r="B5" s="47" t="s">
        <v>6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>
        <f t="shared" si="0"/>
        <v>0</v>
      </c>
      <c r="X5" s="49"/>
      <c r="Y5" s="50"/>
    </row>
    <row r="6" spans="1:47">
      <c r="A6" s="47">
        <v>6</v>
      </c>
      <c r="B6" s="47" t="s">
        <v>7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>
        <f t="shared" si="0"/>
        <v>0</v>
      </c>
      <c r="X6" s="49"/>
      <c r="Y6" s="50"/>
    </row>
    <row r="7" spans="1:47">
      <c r="A7" s="47">
        <v>7</v>
      </c>
      <c r="B7" s="47" t="s">
        <v>8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>
        <f t="shared" si="0"/>
        <v>0</v>
      </c>
      <c r="X7" s="49"/>
      <c r="Y7" s="50"/>
    </row>
    <row r="8" spans="1:47">
      <c r="A8" s="47">
        <v>8</v>
      </c>
      <c r="B8" s="47" t="s">
        <v>2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>
        <f t="shared" si="0"/>
        <v>0</v>
      </c>
      <c r="X8" s="49"/>
      <c r="Y8" s="50"/>
    </row>
    <row r="9" spans="1:47">
      <c r="A9" s="47">
        <v>9</v>
      </c>
      <c r="B9" s="47" t="s">
        <v>3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>
        <f t="shared" si="0"/>
        <v>0</v>
      </c>
      <c r="X9" s="49"/>
      <c r="Y9" s="50"/>
    </row>
    <row r="10" spans="1:47">
      <c r="A10" s="47">
        <v>10</v>
      </c>
      <c r="B10" s="47" t="s">
        <v>4</v>
      </c>
      <c r="C10" s="48"/>
      <c r="D10" s="48"/>
      <c r="E10" s="48"/>
      <c r="F10" s="48"/>
      <c r="G10" s="48"/>
      <c r="H10" s="48"/>
      <c r="I10" s="48"/>
      <c r="J10" s="48"/>
      <c r="K10" s="52">
        <v>10000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>
        <f t="shared" si="0"/>
        <v>10000</v>
      </c>
      <c r="X10" s="49"/>
      <c r="Y10" s="50"/>
    </row>
    <row r="11" spans="1:47">
      <c r="A11" s="47">
        <v>11</v>
      </c>
      <c r="B11" s="47" t="s">
        <v>5</v>
      </c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>
        <f t="shared" si="0"/>
        <v>0</v>
      </c>
      <c r="X11" s="49"/>
      <c r="Y11" s="50"/>
    </row>
    <row r="12" spans="1:47">
      <c r="A12" s="47">
        <v>12</v>
      </c>
      <c r="B12" s="47" t="s">
        <v>6</v>
      </c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>
        <f t="shared" si="0"/>
        <v>0</v>
      </c>
      <c r="X12" s="49"/>
      <c r="Y12" s="50"/>
    </row>
    <row r="13" spans="1:47">
      <c r="A13" s="47">
        <v>13</v>
      </c>
      <c r="B13" s="47" t="s">
        <v>7</v>
      </c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>
        <f t="shared" si="0"/>
        <v>0</v>
      </c>
      <c r="X13" s="49"/>
      <c r="Y13" s="50"/>
    </row>
    <row r="14" spans="1:47">
      <c r="A14" s="47">
        <v>14</v>
      </c>
      <c r="B14" s="47" t="s">
        <v>8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>
        <f t="shared" si="0"/>
        <v>0</v>
      </c>
      <c r="X14" s="49"/>
      <c r="Y14" s="50"/>
    </row>
    <row r="15" spans="1:47">
      <c r="A15" s="47">
        <v>15</v>
      </c>
      <c r="B15" s="47" t="s">
        <v>2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>
        <f t="shared" si="0"/>
        <v>0</v>
      </c>
      <c r="X15" s="49"/>
      <c r="Y15" s="50"/>
    </row>
    <row r="16" spans="1:47">
      <c r="A16" s="47">
        <v>16</v>
      </c>
      <c r="B16" s="47" t="s">
        <v>3</v>
      </c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>
        <f t="shared" si="0"/>
        <v>0</v>
      </c>
      <c r="X16" s="49"/>
      <c r="Y16" s="50"/>
    </row>
    <row r="17" spans="1:27">
      <c r="A17" s="47">
        <v>17</v>
      </c>
      <c r="B17" s="47" t="s">
        <v>4</v>
      </c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>
        <f t="shared" si="0"/>
        <v>0</v>
      </c>
      <c r="X17" s="49"/>
      <c r="Y17" s="50"/>
    </row>
    <row r="18" spans="1:27">
      <c r="A18" s="47">
        <v>18</v>
      </c>
      <c r="B18" s="47" t="s">
        <v>5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 t="shared" si="0"/>
        <v>0</v>
      </c>
      <c r="X18" s="49"/>
      <c r="Y18" s="50"/>
    </row>
    <row r="19" spans="1:27">
      <c r="A19" s="47">
        <v>19</v>
      </c>
      <c r="B19" s="47" t="s">
        <v>6</v>
      </c>
      <c r="C19" s="52">
        <f>10000-SUM(C3:C18)</f>
        <v>10000</v>
      </c>
      <c r="D19" s="48"/>
      <c r="E19" s="48"/>
      <c r="F19" s="52">
        <f>7300-SUM(F3:F18)</f>
        <v>7300</v>
      </c>
      <c r="G19" s="48"/>
      <c r="H19" s="52">
        <f>8700-SUM(H3:H18)</f>
        <v>8700</v>
      </c>
      <c r="I19" s="52">
        <f>2000-SUM(I3:I18)</f>
        <v>2000</v>
      </c>
      <c r="J19" s="48"/>
      <c r="K19" s="48"/>
      <c r="L19" s="48"/>
      <c r="M19" s="48"/>
      <c r="N19" s="48"/>
      <c r="O19" s="52">
        <f>4000-SUM(O3:O18)</f>
        <v>4000</v>
      </c>
      <c r="P19" s="48"/>
      <c r="Q19" s="48"/>
      <c r="R19" s="48"/>
      <c r="S19" s="48"/>
      <c r="T19" s="48"/>
      <c r="U19" s="48"/>
      <c r="V19" s="48"/>
      <c r="W19" s="48">
        <f t="shared" si="0"/>
        <v>32000</v>
      </c>
      <c r="X19" s="49"/>
      <c r="Y19" s="50">
        <f>X3-SUM(W3:W19)</f>
        <v>7326</v>
      </c>
    </row>
    <row r="20" spans="1:27">
      <c r="A20" s="39">
        <v>20</v>
      </c>
      <c r="B20" s="39" t="s">
        <v>7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>
        <f t="shared" si="0"/>
        <v>0</v>
      </c>
      <c r="X20" s="41"/>
      <c r="Y20" s="42"/>
    </row>
    <row r="21" spans="1:27">
      <c r="A21" s="47">
        <v>21</v>
      </c>
      <c r="B21" s="47" t="s">
        <v>8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>
        <f t="shared" si="0"/>
        <v>0</v>
      </c>
      <c r="X21" s="49"/>
      <c r="Y21" s="50"/>
      <c r="AA21" s="61"/>
    </row>
    <row r="22" spans="1:27">
      <c r="A22" s="47">
        <v>22</v>
      </c>
      <c r="B22" s="47" t="s">
        <v>2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>
        <f t="shared" si="0"/>
        <v>0</v>
      </c>
      <c r="X22" s="49"/>
      <c r="Y22" s="50"/>
    </row>
    <row r="23" spans="1:27">
      <c r="A23" s="47">
        <v>23</v>
      </c>
      <c r="B23" s="47" t="s">
        <v>3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>
        <f t="shared" si="0"/>
        <v>0</v>
      </c>
      <c r="X23" s="49"/>
      <c r="Y23" s="50"/>
    </row>
    <row r="24" spans="1:27">
      <c r="A24" s="47">
        <v>24</v>
      </c>
      <c r="B24" s="47" t="s">
        <v>4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>
        <f t="shared" si="0"/>
        <v>0</v>
      </c>
      <c r="X24" s="49"/>
      <c r="Y24" s="50"/>
    </row>
    <row r="25" spans="1:27">
      <c r="A25" s="47">
        <v>25</v>
      </c>
      <c r="B25" s="47" t="s">
        <v>5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>
        <f t="shared" si="0"/>
        <v>0</v>
      </c>
      <c r="X25" s="49"/>
      <c r="Y25" s="50"/>
    </row>
    <row r="26" spans="1:27">
      <c r="A26" s="47">
        <v>26</v>
      </c>
      <c r="B26" s="47" t="s">
        <v>6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>
        <f t="shared" si="0"/>
        <v>0</v>
      </c>
      <c r="X26" s="49"/>
      <c r="Y26" s="50"/>
    </row>
    <row r="27" spans="1:27">
      <c r="A27" s="47">
        <v>27</v>
      </c>
      <c r="B27" s="47" t="s">
        <v>7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>
        <f t="shared" si="0"/>
        <v>0</v>
      </c>
      <c r="X27" s="49"/>
      <c r="Y27" s="50"/>
    </row>
    <row r="28" spans="1:27">
      <c r="A28" s="47">
        <v>28</v>
      </c>
      <c r="B28" s="47" t="s">
        <v>8</v>
      </c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>
        <f t="shared" si="0"/>
        <v>0</v>
      </c>
      <c r="X28" s="49"/>
      <c r="Y28" s="50"/>
    </row>
    <row r="29" spans="1:27">
      <c r="A29" s="47">
        <v>29</v>
      </c>
      <c r="B29" s="47" t="s">
        <v>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>
        <f t="shared" si="0"/>
        <v>0</v>
      </c>
      <c r="X29" s="49"/>
      <c r="Y29" s="50"/>
    </row>
    <row r="30" spans="1:27">
      <c r="A30" s="47">
        <v>30</v>
      </c>
      <c r="B30" s="47" t="s">
        <v>3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>
        <f t="shared" si="0"/>
        <v>0</v>
      </c>
      <c r="X30" s="49"/>
      <c r="Y30" s="50"/>
    </row>
    <row r="31" spans="1:27">
      <c r="A31" s="47">
        <v>1</v>
      </c>
      <c r="B31" s="47" t="s">
        <v>4</v>
      </c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>
        <f t="shared" si="0"/>
        <v>0</v>
      </c>
      <c r="X31" s="49"/>
      <c r="Y31" s="50"/>
    </row>
    <row r="32" spans="1:27">
      <c r="A32" s="47">
        <v>2</v>
      </c>
      <c r="B32" s="47" t="s">
        <v>5</v>
      </c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>
        <f t="shared" si="0"/>
        <v>0</v>
      </c>
      <c r="X32" s="49"/>
      <c r="Y32" s="50"/>
    </row>
    <row r="33" spans="1:25">
      <c r="A33" s="47">
        <v>3</v>
      </c>
      <c r="B33" s="47" t="s">
        <v>6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>
        <f t="shared" si="0"/>
        <v>0</v>
      </c>
      <c r="X33" s="49"/>
      <c r="Y33" s="50"/>
    </row>
    <row r="34" spans="1:25">
      <c r="A34" s="47">
        <v>4</v>
      </c>
      <c r="B34" s="47" t="s">
        <v>7</v>
      </c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>
        <f t="shared" si="0"/>
        <v>0</v>
      </c>
      <c r="X34" s="49"/>
      <c r="Y34" s="50"/>
    </row>
    <row r="35" spans="1:25">
      <c r="A35" s="57" t="s">
        <v>20</v>
      </c>
      <c r="B35" s="57"/>
      <c r="C35" s="51">
        <f>SUM(C3:C34)</f>
        <v>10000</v>
      </c>
      <c r="D35" s="51">
        <f t="shared" ref="D35:W35" si="1">SUM(D3:D34)</f>
        <v>0</v>
      </c>
      <c r="E35" s="51">
        <f t="shared" si="1"/>
        <v>0</v>
      </c>
      <c r="F35" s="51">
        <f t="shared" si="1"/>
        <v>7300</v>
      </c>
      <c r="G35" s="51">
        <f t="shared" si="1"/>
        <v>0</v>
      </c>
      <c r="H35" s="51">
        <f t="shared" si="1"/>
        <v>8700</v>
      </c>
      <c r="I35" s="51">
        <f t="shared" si="1"/>
        <v>2000</v>
      </c>
      <c r="J35" s="51">
        <f t="shared" si="1"/>
        <v>0</v>
      </c>
      <c r="K35" s="51">
        <f t="shared" si="1"/>
        <v>10000</v>
      </c>
      <c r="L35" s="51">
        <f t="shared" si="1"/>
        <v>0</v>
      </c>
      <c r="M35" s="51">
        <f t="shared" si="1"/>
        <v>0</v>
      </c>
      <c r="N35" s="51">
        <f t="shared" si="1"/>
        <v>5000</v>
      </c>
      <c r="O35" s="51">
        <f t="shared" si="1"/>
        <v>4000</v>
      </c>
      <c r="P35" s="51">
        <f t="shared" si="1"/>
        <v>0</v>
      </c>
      <c r="Q35" s="51">
        <f t="shared" si="1"/>
        <v>22000</v>
      </c>
      <c r="R35" s="51">
        <f t="shared" si="1"/>
        <v>10000</v>
      </c>
      <c r="S35" s="51">
        <f t="shared" si="1"/>
        <v>7362</v>
      </c>
      <c r="T35" s="51">
        <f t="shared" si="1"/>
        <v>7000</v>
      </c>
      <c r="U35" s="51">
        <f t="shared" si="1"/>
        <v>0</v>
      </c>
      <c r="V35" s="51">
        <f t="shared" si="1"/>
        <v>0</v>
      </c>
      <c r="W35" s="51">
        <f t="shared" si="1"/>
        <v>93362</v>
      </c>
      <c r="X35" s="49">
        <f>SUM(X3:X29)</f>
        <v>100688</v>
      </c>
      <c r="Y35" s="50">
        <f>X35-W35</f>
        <v>7326</v>
      </c>
    </row>
    <row r="39" spans="1:25">
      <c r="B39" s="6"/>
      <c r="C39" s="6"/>
      <c r="D39" s="6"/>
      <c r="E39" s="6"/>
      <c r="F39" s="6"/>
      <c r="G39" s="6"/>
      <c r="H39" s="6"/>
      <c r="I39" s="6"/>
      <c r="J39" s="6"/>
      <c r="K39" s="6"/>
    </row>
  </sheetData>
  <mergeCells count="2">
    <mergeCell ref="A1:Y1"/>
    <mergeCell ref="A35:B35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58" t="s">
        <v>49</v>
      </c>
      <c r="B1" s="58"/>
      <c r="C1" s="58"/>
      <c r="D1" s="58"/>
      <c r="E1" s="58"/>
      <c r="G1" s="58" t="s">
        <v>50</v>
      </c>
      <c r="H1" s="58"/>
      <c r="I1" s="58"/>
      <c r="J1" s="58"/>
      <c r="K1" s="58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60" t="s">
        <v>61</v>
      </c>
      <c r="H8" s="60"/>
      <c r="I8" s="60"/>
      <c r="J8" s="60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59" t="s">
        <v>61</v>
      </c>
      <c r="B24" s="59"/>
      <c r="C24" s="59"/>
      <c r="D24" s="59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Февраль 2026</vt:lpstr>
      <vt:lpstr>Март 2026</vt:lpstr>
      <vt:lpstr>Апрель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2026-04-03T13:05:34Z</dcterms:modified>
</cp:coreProperties>
</file>