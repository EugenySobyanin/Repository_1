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5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7" l="1"/>
  <c r="F6" i="7"/>
  <c r="C5" i="7"/>
  <c r="D4" i="7"/>
  <c r="C3" i="7"/>
  <c r="H3" i="7"/>
  <c r="P7" i="7"/>
  <c r="F8" i="7"/>
  <c r="N8" i="7"/>
  <c r="O9" i="7"/>
  <c r="C11" i="7"/>
  <c r="P17" i="7"/>
  <c r="O24" i="6"/>
  <c r="C24" i="6"/>
  <c r="V25" i="6"/>
  <c r="O25" i="6"/>
  <c r="C25" i="6"/>
  <c r="O27" i="6"/>
  <c r="S27" i="6"/>
  <c r="L28" i="6"/>
  <c r="H28" i="6"/>
  <c r="V28" i="6"/>
  <c r="C29" i="6"/>
  <c r="W29" i="6" s="1"/>
  <c r="C30" i="6"/>
  <c r="W30" i="6" s="1"/>
  <c r="N31" i="6"/>
  <c r="S31" i="6"/>
  <c r="V3" i="7"/>
  <c r="V18" i="7" s="1"/>
  <c r="S3" i="7"/>
  <c r="S18" i="7" s="1"/>
  <c r="X3" i="7"/>
  <c r="X18" i="7" s="1"/>
  <c r="X35" i="7"/>
  <c r="V35" i="7"/>
  <c r="U35" i="7"/>
  <c r="U36" i="7" s="1"/>
  <c r="T35" i="7"/>
  <c r="S35" i="7"/>
  <c r="R35" i="7"/>
  <c r="Q35" i="7"/>
  <c r="P35" i="7"/>
  <c r="N35" i="7"/>
  <c r="M35" i="7"/>
  <c r="L35" i="7"/>
  <c r="K35" i="7"/>
  <c r="K36" i="7" s="1"/>
  <c r="J35" i="7"/>
  <c r="J36" i="7" s="1"/>
  <c r="G35" i="7"/>
  <c r="F35" i="7"/>
  <c r="E35" i="7"/>
  <c r="C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I35" i="7"/>
  <c r="H35" i="7"/>
  <c r="W20" i="7"/>
  <c r="O35" i="7"/>
  <c r="D35" i="7"/>
  <c r="W19" i="7"/>
  <c r="U18" i="7"/>
  <c r="T18" i="7"/>
  <c r="R18" i="7"/>
  <c r="Q18" i="7"/>
  <c r="P18" i="7"/>
  <c r="N18" i="7"/>
  <c r="N36" i="7" s="1"/>
  <c r="M18" i="7"/>
  <c r="L18" i="7"/>
  <c r="K18" i="7"/>
  <c r="J18" i="7"/>
  <c r="I18" i="7"/>
  <c r="H18" i="7"/>
  <c r="H36" i="7" s="1"/>
  <c r="G18" i="7"/>
  <c r="E18" i="7"/>
  <c r="D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F18" i="7"/>
  <c r="C18" i="7"/>
  <c r="W4" i="7"/>
  <c r="O18" i="7"/>
  <c r="T9" i="6"/>
  <c r="D9" i="6"/>
  <c r="C9" i="6"/>
  <c r="Q10" i="6"/>
  <c r="H11" i="6"/>
  <c r="C14" i="6"/>
  <c r="W21" i="6"/>
  <c r="W22" i="6"/>
  <c r="W26" i="6"/>
  <c r="W32" i="6"/>
  <c r="W33" i="6"/>
  <c r="W34" i="6"/>
  <c r="W20" i="6"/>
  <c r="W19" i="6"/>
  <c r="C23" i="6"/>
  <c r="W23" i="6" s="1"/>
  <c r="I21" i="6"/>
  <c r="H21" i="6"/>
  <c r="O20" i="6"/>
  <c r="D20" i="6"/>
  <c r="W24" i="6" l="1"/>
  <c r="W25" i="6"/>
  <c r="W27" i="6"/>
  <c r="W28" i="6"/>
  <c r="W31" i="6"/>
  <c r="V36" i="7"/>
  <c r="W3" i="7"/>
  <c r="W18" i="7" s="1"/>
  <c r="W35" i="7"/>
  <c r="Y35" i="7" s="1"/>
  <c r="E36" i="7"/>
  <c r="G36" i="7"/>
  <c r="P36" i="7"/>
  <c r="T36" i="7"/>
  <c r="S36" i="7"/>
  <c r="R36" i="7"/>
  <c r="Q36" i="7"/>
  <c r="F36" i="7"/>
  <c r="C36" i="7"/>
  <c r="M36" i="7"/>
  <c r="I36" i="7"/>
  <c r="L36" i="7"/>
  <c r="O36" i="7"/>
  <c r="D36" i="7"/>
  <c r="X36" i="7"/>
  <c r="O6" i="6"/>
  <c r="C5" i="6"/>
  <c r="F5" i="6"/>
  <c r="O4" i="6"/>
  <c r="H4" i="6"/>
  <c r="H18" i="6" s="1"/>
  <c r="P3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S3" i="6"/>
  <c r="S18" i="6" s="1"/>
  <c r="S21" i="4"/>
  <c r="S36" i="4" s="1"/>
  <c r="D3" i="6"/>
  <c r="D18" i="6" s="1"/>
  <c r="H8" i="5"/>
  <c r="X35" i="6"/>
  <c r="V35" i="6"/>
  <c r="U35" i="6"/>
  <c r="T35" i="6"/>
  <c r="R35" i="6"/>
  <c r="Q35" i="6"/>
  <c r="P35" i="6"/>
  <c r="N35" i="6"/>
  <c r="M35" i="6"/>
  <c r="L35" i="6"/>
  <c r="K35" i="6"/>
  <c r="J35" i="6"/>
  <c r="I35" i="6"/>
  <c r="G35" i="6"/>
  <c r="F35" i="6"/>
  <c r="E35" i="6"/>
  <c r="D35" i="6"/>
  <c r="S35" i="6"/>
  <c r="X18" i="6"/>
  <c r="V18" i="6"/>
  <c r="U18" i="6"/>
  <c r="T18" i="6"/>
  <c r="R18" i="6"/>
  <c r="M18" i="6"/>
  <c r="L18" i="6"/>
  <c r="K18" i="6"/>
  <c r="J18" i="6"/>
  <c r="I18" i="6"/>
  <c r="G18" i="6"/>
  <c r="F18" i="6"/>
  <c r="E18" i="6"/>
  <c r="O18" i="6"/>
  <c r="N18" i="6"/>
  <c r="Q18" i="6"/>
  <c r="H31" i="4"/>
  <c r="H36" i="4" s="1"/>
  <c r="C31" i="4"/>
  <c r="C32" i="4"/>
  <c r="C33" i="4"/>
  <c r="C35" i="4"/>
  <c r="W35" i="4" s="1"/>
  <c r="H7" i="5"/>
  <c r="H6" i="5"/>
  <c r="O28" i="4"/>
  <c r="O29" i="4"/>
  <c r="X36" i="4"/>
  <c r="D36" i="4"/>
  <c r="E36" i="4"/>
  <c r="F36" i="4"/>
  <c r="G36" i="4"/>
  <c r="I36" i="4"/>
  <c r="J36" i="4"/>
  <c r="K36" i="4"/>
  <c r="L36" i="4"/>
  <c r="M36" i="4"/>
  <c r="N36" i="4"/>
  <c r="P36" i="4"/>
  <c r="Q36" i="4"/>
  <c r="R36" i="4"/>
  <c r="T36" i="4"/>
  <c r="U36" i="4"/>
  <c r="V36" i="4"/>
  <c r="X20" i="4"/>
  <c r="D20" i="4"/>
  <c r="E20" i="4"/>
  <c r="F20" i="4"/>
  <c r="G20" i="4"/>
  <c r="I20" i="4"/>
  <c r="J20" i="4"/>
  <c r="J37" i="4" s="1"/>
  <c r="K20" i="4"/>
  <c r="L20" i="4"/>
  <c r="L37" i="4" s="1"/>
  <c r="M20" i="4"/>
  <c r="R20" i="4"/>
  <c r="T20" i="4"/>
  <c r="U20" i="4"/>
  <c r="C18" i="4"/>
  <c r="C16" i="4"/>
  <c r="P6" i="4"/>
  <c r="P20" i="4" s="1"/>
  <c r="P7" i="4"/>
  <c r="C11" i="4"/>
  <c r="O11" i="4"/>
  <c r="O20" i="4" s="1"/>
  <c r="N11" i="4"/>
  <c r="N20" i="4" s="1"/>
  <c r="C12" i="4"/>
  <c r="E37" i="4" l="1"/>
  <c r="M37" i="4"/>
  <c r="W4" i="6"/>
  <c r="W36" i="7"/>
  <c r="Y18" i="7"/>
  <c r="Y36" i="7" s="1"/>
  <c r="X36" i="6"/>
  <c r="W3" i="6"/>
  <c r="D37" i="4"/>
  <c r="X37" i="4"/>
  <c r="M36" i="6"/>
  <c r="Q36" i="6"/>
  <c r="L36" i="6"/>
  <c r="E36" i="6"/>
  <c r="D36" i="6"/>
  <c r="N36" i="6"/>
  <c r="R36" i="6"/>
  <c r="J36" i="6"/>
  <c r="I36" i="6"/>
  <c r="G36" i="6"/>
  <c r="F36" i="6"/>
  <c r="K36" i="6"/>
  <c r="C35" i="6"/>
  <c r="H35" i="6"/>
  <c r="H36" i="6" s="1"/>
  <c r="P18" i="6"/>
  <c r="P36" i="6" s="1"/>
  <c r="V36" i="6"/>
  <c r="C18" i="6"/>
  <c r="U36" i="6"/>
  <c r="T36" i="6"/>
  <c r="S36" i="6"/>
  <c r="O35" i="6"/>
  <c r="O36" i="6" s="1"/>
  <c r="C36" i="4"/>
  <c r="C37" i="4" s="1"/>
  <c r="R37" i="4"/>
  <c r="T37" i="4"/>
  <c r="P37" i="4"/>
  <c r="U37" i="4"/>
  <c r="G37" i="4"/>
  <c r="N37" i="4"/>
  <c r="F37" i="4"/>
  <c r="K37" i="4"/>
  <c r="I37" i="4"/>
  <c r="O36" i="4"/>
  <c r="O37" i="4" s="1"/>
  <c r="C5" i="4"/>
  <c r="C4" i="4"/>
  <c r="C20" i="4" s="1"/>
  <c r="H4" i="4"/>
  <c r="H20" i="4" s="1"/>
  <c r="H37" i="4" s="1"/>
  <c r="W18" i="6" l="1"/>
  <c r="W35" i="6"/>
  <c r="Y35" i="6" s="1"/>
  <c r="C36" i="6"/>
  <c r="V4" i="4"/>
  <c r="V20" i="4" s="1"/>
  <c r="V37" i="4" s="1"/>
  <c r="Q3" i="4"/>
  <c r="Q20" i="4" s="1"/>
  <c r="Q37" i="4" s="1"/>
  <c r="S3" i="4"/>
  <c r="S20" i="4" s="1"/>
  <c r="S37" i="4" s="1"/>
  <c r="W36" i="6" l="1"/>
  <c r="Y18" i="6"/>
  <c r="Y36" i="6" s="1"/>
  <c r="W33" i="4"/>
  <c r="W34" i="4"/>
  <c r="W32" i="4"/>
  <c r="W31" i="4"/>
  <c r="W30" i="4"/>
  <c r="W29" i="4"/>
  <c r="W28" i="4"/>
  <c r="W27" i="4"/>
  <c r="W26" i="4"/>
  <c r="W25" i="4"/>
  <c r="W24" i="4"/>
  <c r="W23" i="4"/>
  <c r="W22" i="4"/>
  <c r="W21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F28" i="1"/>
  <c r="N27" i="1"/>
  <c r="C27" i="1"/>
  <c r="N25" i="1"/>
  <c r="N23" i="1"/>
  <c r="F23" i="1"/>
  <c r="C23" i="1"/>
  <c r="C20" i="1"/>
  <c r="C19" i="1"/>
  <c r="R19" i="1"/>
  <c r="C18" i="1"/>
  <c r="N17" i="1"/>
  <c r="F16" i="1"/>
  <c r="F14" i="1"/>
  <c r="C13" i="1"/>
  <c r="N11" i="1"/>
  <c r="F11" i="1"/>
  <c r="G10" i="1"/>
  <c r="S10" i="1"/>
  <c r="F10" i="1"/>
  <c r="F9" i="1"/>
  <c r="C6" i="1"/>
  <c r="D32" i="1"/>
  <c r="E32" i="1"/>
  <c r="I32" i="1"/>
  <c r="J32" i="1"/>
  <c r="K32" i="1"/>
  <c r="L32" i="1"/>
  <c r="M32" i="1"/>
  <c r="O32" i="1"/>
  <c r="P32" i="1"/>
  <c r="Q32" i="1"/>
  <c r="T32" i="1"/>
  <c r="U32" i="1"/>
  <c r="V30" i="1"/>
  <c r="V31" i="1"/>
  <c r="W20" i="4" l="1"/>
  <c r="Y20" i="4" s="1"/>
  <c r="W36" i="4"/>
  <c r="F32" i="1"/>
  <c r="R5" i="1"/>
  <c r="R32" i="1" s="1"/>
  <c r="G5" i="1"/>
  <c r="W37" i="4" l="1"/>
  <c r="Y36" i="4"/>
  <c r="Y37" i="4" s="1"/>
  <c r="N4" i="1"/>
  <c r="N32" i="1" s="1"/>
  <c r="S4" i="1"/>
  <c r="C3" i="1"/>
  <c r="V3" i="1" s="1"/>
  <c r="H32" i="1"/>
  <c r="G32" i="1"/>
  <c r="S27" i="3"/>
  <c r="F28" i="3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V4" i="1" l="1"/>
  <c r="S32" i="1"/>
  <c r="C32" i="1"/>
  <c r="W32" i="1"/>
  <c r="F23" i="3"/>
  <c r="S23" i="3"/>
  <c r="N23" i="3"/>
  <c r="N24" i="3"/>
  <c r="U25" i="3"/>
  <c r="N25" i="3"/>
  <c r="N26" i="3"/>
  <c r="L26" i="3"/>
  <c r="F31" i="3"/>
  <c r="C20" i="3"/>
  <c r="G19" i="3"/>
  <c r="V17" i="1" l="1"/>
  <c r="V32" i="1" s="1"/>
  <c r="X32" i="1" s="1"/>
  <c r="V19" i="3"/>
  <c r="V20" i="3"/>
  <c r="V21" i="3"/>
  <c r="V22" i="3"/>
  <c r="V23" i="3"/>
  <c r="V24" i="3"/>
  <c r="V25" i="3"/>
  <c r="V26" i="3"/>
  <c r="V27" i="3"/>
  <c r="V28" i="3"/>
  <c r="V29" i="3"/>
  <c r="V30" i="3"/>
  <c r="V7" i="3"/>
  <c r="V8" i="3"/>
  <c r="V9" i="3"/>
  <c r="V10" i="3"/>
  <c r="V14" i="3"/>
  <c r="V15" i="3"/>
  <c r="V16" i="3"/>
  <c r="V17" i="3"/>
  <c r="E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P11" i="3"/>
  <c r="G11" i="3"/>
  <c r="G31" i="3" s="1"/>
  <c r="C11" i="3"/>
  <c r="N6" i="3"/>
  <c r="V6" i="3" s="1"/>
  <c r="N5" i="3"/>
  <c r="V5" i="3" s="1"/>
  <c r="N4" i="3"/>
  <c r="C3" i="3"/>
  <c r="V3" i="3" s="1"/>
  <c r="V12" i="3" l="1"/>
  <c r="P31" i="3"/>
  <c r="N31" i="3"/>
  <c r="C31" i="3"/>
  <c r="V11" i="3"/>
  <c r="V4" i="3"/>
  <c r="X30" i="3"/>
  <c r="V31" i="3" l="1"/>
  <c r="X31" i="3" s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 shape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X3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 долг у бати</t>
        </r>
      </text>
    </comment>
    <comment ref="H3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Брэкфаст бенд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музыка, белье, сотовая связь</t>
        </r>
      </text>
    </comment>
    <comment ref="T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
</t>
        </r>
      </text>
    </comment>
    <comment ref="H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гиннес на обед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 мясо
</t>
        </r>
      </text>
    </comment>
    <comment ref="H1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Чикен хаус</t>
        </r>
      </text>
    </comment>
    <comment ref="H1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
</t>
        </r>
      </text>
    </comment>
    <comment ref="Q19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Сиги</t>
        </r>
      </text>
    </comment>
    <comment ref="S19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2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 + Мяуча</t>
        </r>
      </text>
    </comment>
    <comment ref="T2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X2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бенз</t>
        </r>
      </text>
    </comment>
    <comment ref="J2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Рыбалка</t>
        </r>
      </text>
    </comment>
    <comment ref="S2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Теле 2</t>
        </r>
      </text>
    </comment>
    <comment ref="V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Мама перевела Ане (дала в долг)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</t>
        </r>
      </text>
    </comment>
    <comment ref="N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sharedStrings.xml><?xml version="1.0" encoding="utf-8"?>
<sst xmlns="http://schemas.openxmlformats.org/spreadsheetml/2006/main" count="314" uniqueCount="59">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</sst>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29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9"/>
      <color indexed="81"/>
      <name val="Tahoma"/>
      <charset val="1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6" fillId="5" borderId="8" xfId="0" applyFont="1" applyFill="1" applyBorder="1" applyAlignment="1">
      <alignment horizontal="center" vertical="center"/>
    </xf>
    <xf numFmtId="164" fontId="17" fillId="0" borderId="7" xfId="0" applyNumberFormat="1" applyFont="1" applyBorder="1"/>
    <xf numFmtId="0" fontId="18" fillId="0" borderId="7" xfId="0" applyFont="1" applyBorder="1"/>
    <xf numFmtId="0" fontId="18" fillId="0" borderId="9" xfId="0" applyFont="1" applyBorder="1"/>
    <xf numFmtId="164" fontId="17" fillId="0" borderId="9" xfId="0" applyNumberFormat="1" applyFont="1" applyBorder="1"/>
    <xf numFmtId="0" fontId="18" fillId="15" borderId="10" xfId="0" applyFont="1" applyFill="1" applyBorder="1"/>
    <xf numFmtId="164" fontId="17" fillId="15" borderId="11" xfId="0" applyNumberFormat="1" applyFont="1" applyFill="1" applyBorder="1"/>
    <xf numFmtId="164" fontId="17" fillId="15" borderId="12" xfId="0" applyNumberFormat="1" applyFont="1" applyFill="1" applyBorder="1"/>
    <xf numFmtId="164" fontId="17" fillId="0" borderId="7" xfId="0" applyNumberFormat="1" applyFont="1" applyBorder="1" applyAlignment="1">
      <alignment horizontal="center"/>
    </xf>
    <xf numFmtId="0" fontId="21" fillId="5" borderId="1" xfId="0" applyFont="1" applyFill="1" applyBorder="1" applyAlignment="1">
      <alignment horizontal="center" vertical="center" wrapText="1"/>
    </xf>
    <xf numFmtId="164" fontId="23" fillId="6" borderId="7" xfId="0" applyNumberFormat="1" applyFont="1" applyFill="1" applyBorder="1"/>
    <xf numFmtId="164" fontId="23" fillId="6" borderId="7" xfId="0" applyNumberFormat="1" applyFont="1" applyFill="1" applyBorder="1" applyAlignment="1">
      <alignment vertical="center"/>
    </xf>
    <xf numFmtId="0" fontId="24" fillId="7" borderId="7" xfId="0" applyFont="1" applyFill="1" applyBorder="1" applyAlignment="1">
      <alignment horizontal="center" vertical="center"/>
    </xf>
    <xf numFmtId="0" fontId="25" fillId="7" borderId="7" xfId="0" applyFont="1" applyFill="1" applyBorder="1" applyAlignment="1">
      <alignment horizontal="center" vertical="center"/>
    </xf>
    <xf numFmtId="164" fontId="25" fillId="7" borderId="7" xfId="0" applyNumberFormat="1" applyFont="1" applyFill="1" applyBorder="1"/>
    <xf numFmtId="164" fontId="25" fillId="7" borderId="7" xfId="0" applyNumberFormat="1" applyFont="1" applyFill="1" applyBorder="1" applyAlignment="1">
      <alignment vertical="center"/>
    </xf>
    <xf numFmtId="0" fontId="24" fillId="17" borderId="7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164" fontId="25" fillId="17" borderId="7" xfId="0" applyNumberFormat="1" applyFont="1" applyFill="1" applyBorder="1"/>
    <xf numFmtId="164" fontId="25" fillId="17" borderId="7" xfId="0" applyNumberFormat="1" applyFont="1" applyFill="1" applyBorder="1" applyAlignment="1">
      <alignment vertical="center"/>
    </xf>
    <xf numFmtId="164" fontId="22" fillId="6" borderId="7" xfId="0" applyNumberFormat="1" applyFont="1" applyFill="1" applyBorder="1" applyAlignment="1">
      <alignment horizontal="right" vertical="center"/>
    </xf>
    <xf numFmtId="164" fontId="25" fillId="7" borderId="7" xfId="0" applyNumberFormat="1" applyFont="1" applyFill="1" applyBorder="1" applyAlignment="1">
      <alignment horizontal="right" vertical="center"/>
    </xf>
    <xf numFmtId="164" fontId="25" fillId="17" borderId="7" xfId="0" applyNumberFormat="1" applyFont="1" applyFill="1" applyBorder="1" applyAlignment="1">
      <alignment horizontal="right" vertical="center"/>
    </xf>
    <xf numFmtId="164" fontId="23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20" fillId="5" borderId="0" xfId="0" applyFont="1" applyFill="1" applyAlignment="1">
      <alignment horizontal="center" vertical="center"/>
    </xf>
    <xf numFmtId="0" fontId="23" fillId="6" borderId="7" xfId="0" applyFont="1" applyFill="1" applyBorder="1" applyAlignment="1">
      <alignment horizontal="right" vertical="center"/>
    </xf>
    <xf numFmtId="0" fontId="22" fillId="6" borderId="7" xfId="0" applyFont="1" applyFill="1" applyBorder="1" applyAlignment="1">
      <alignment horizontal="right" vertical="center"/>
    </xf>
    <xf numFmtId="0" fontId="26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164" fontId="25" fillId="18" borderId="7" xfId="0" applyNumberFormat="1" applyFont="1" applyFill="1" applyBorder="1"/>
    <xf numFmtId="0" fontId="28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</cellXfs>
  <cellStyles count="1">
    <cellStyle name="Обычный" xfId="0" builtinId="0"/>
  </cellStyles>
  <dxfs count="8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EC1606"/>
      </font>
    </dxf>
    <dxf>
      <font>
        <color rgb="FF57B418"/>
      </font>
    </dxf>
  </dxfs>
  <tableStyles count="0" defaultTableStyle="TableStyleMedium2" defaultPivotStyle="PivotStyleLight16"/>
  <colors>
    <mruColors>
      <color rgb="FF57B418"/>
      <color rgb="FFFF8585"/>
      <color rgb="FF6C0000"/>
      <color rgb="FFEC1606"/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5.7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5.7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5.7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5.7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5.75">
      <c r="C9" s="52" t="s">
        <v>47</v>
      </c>
      <c r="D9" s="51"/>
      <c r="E9" s="51"/>
      <c r="F9" s="51"/>
      <c r="G9" s="51"/>
      <c r="H9" s="51"/>
    </row>
    <row r="10" spans="3:8" ht="15.75">
      <c r="C10" s="52" t="s">
        <v>48</v>
      </c>
      <c r="D10" s="51"/>
      <c r="E10" s="51"/>
      <c r="F10" s="51"/>
      <c r="G10" s="51"/>
      <c r="H10" s="51"/>
    </row>
    <row r="11" spans="3:8" ht="15.75">
      <c r="C11" s="52" t="s">
        <v>49</v>
      </c>
      <c r="D11" s="51"/>
      <c r="E11" s="51"/>
      <c r="F11" s="51"/>
      <c r="G11" s="51"/>
      <c r="H11" s="51"/>
    </row>
    <row r="12" spans="3:8" ht="15.75">
      <c r="C12" s="52" t="s">
        <v>50</v>
      </c>
      <c r="D12" s="51"/>
      <c r="E12" s="51"/>
      <c r="F12" s="51"/>
      <c r="G12" s="51"/>
      <c r="H12" s="51"/>
    </row>
    <row r="13" spans="3:8" ht="15.75">
      <c r="C13" s="52" t="s">
        <v>51</v>
      </c>
      <c r="D13" s="51"/>
      <c r="E13" s="51"/>
      <c r="F13" s="51"/>
      <c r="G13" s="51"/>
      <c r="H13" s="51"/>
    </row>
    <row r="14" spans="3:8" ht="15.75">
      <c r="C14" s="52" t="s">
        <v>52</v>
      </c>
      <c r="D14" s="51"/>
      <c r="E14" s="51"/>
      <c r="F14" s="51"/>
      <c r="G14" s="51"/>
      <c r="H14" s="51"/>
    </row>
    <row r="15" spans="3:8" ht="15.75">
      <c r="C15" s="52" t="s">
        <v>53</v>
      </c>
      <c r="D15" s="51"/>
      <c r="E15" s="51"/>
      <c r="F15" s="51"/>
      <c r="G15" s="51"/>
      <c r="H15" s="51"/>
    </row>
    <row r="16" spans="3:8" ht="16.5" thickBot="1">
      <c r="C16" s="53" t="s">
        <v>54</v>
      </c>
      <c r="D16" s="54"/>
      <c r="E16" s="54"/>
      <c r="F16" s="54"/>
      <c r="G16" s="54"/>
      <c r="H16" s="54"/>
    </row>
    <row r="17" spans="3:8" ht="16.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7" priority="4">
      <formula>H5&gt;0</formula>
    </cfRule>
    <cfRule type="expression" dxfId="6" priority="3">
      <formula>H5&lt;0</formula>
    </cfRule>
  </conditionalFormatting>
  <conditionalFormatting sqref="H17">
    <cfRule type="expression" dxfId="5" priority="1">
      <formula>H17&lt;0</formula>
    </cfRule>
    <cfRule type="expression" dxfId="4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6" t="s">
        <v>27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77" t="s">
        <v>20</v>
      </c>
      <c r="B31" s="77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9" t="s">
        <v>32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78" t="s">
        <v>20</v>
      </c>
      <c r="B32" s="78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79" t="s">
        <v>38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81" t="s">
        <v>35</v>
      </c>
      <c r="B20" s="82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90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81" t="s">
        <v>36</v>
      </c>
      <c r="B36" s="82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80" t="s">
        <v>37</v>
      </c>
      <c r="B37" s="80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N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3" t="s">
        <v>57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84" t="s">
        <v>35</v>
      </c>
      <c r="B18" s="84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88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88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84" t="s">
        <v>36</v>
      </c>
      <c r="B35" s="84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85" t="s">
        <v>37</v>
      </c>
      <c r="B36" s="85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tabSelected="1"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O36" sqref="O36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6" t="s">
        <v>58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</row>
    <row r="2" spans="1:47" ht="45" customHeight="1">
      <c r="A2" s="89" t="s">
        <v>0</v>
      </c>
      <c r="B2" s="89" t="s">
        <v>1</v>
      </c>
      <c r="C2" s="89" t="s">
        <v>9</v>
      </c>
      <c r="D2" s="89" t="s">
        <v>29</v>
      </c>
      <c r="E2" s="89" t="s">
        <v>10</v>
      </c>
      <c r="F2" s="89" t="s">
        <v>33</v>
      </c>
      <c r="G2" s="89" t="s">
        <v>34</v>
      </c>
      <c r="H2" s="89" t="s">
        <v>11</v>
      </c>
      <c r="I2" s="89" t="s">
        <v>30</v>
      </c>
      <c r="J2" s="89" t="s">
        <v>12</v>
      </c>
      <c r="K2" s="89" t="s">
        <v>24</v>
      </c>
      <c r="L2" s="89" t="s">
        <v>23</v>
      </c>
      <c r="M2" s="89" t="s">
        <v>13</v>
      </c>
      <c r="N2" s="89" t="s">
        <v>14</v>
      </c>
      <c r="O2" s="89" t="s">
        <v>15</v>
      </c>
      <c r="P2" s="89" t="s">
        <v>16</v>
      </c>
      <c r="Q2" s="89" t="s">
        <v>28</v>
      </c>
      <c r="R2" s="89" t="s">
        <v>17</v>
      </c>
      <c r="S2" s="89" t="s">
        <v>18</v>
      </c>
      <c r="T2" s="89" t="s">
        <v>25</v>
      </c>
      <c r="U2" s="89" t="s">
        <v>25</v>
      </c>
      <c r="V2" s="89" t="s">
        <v>26</v>
      </c>
      <c r="W2" s="89" t="s">
        <v>22</v>
      </c>
      <c r="X2" s="89" t="s">
        <v>19</v>
      </c>
      <c r="Y2" s="8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88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88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87" t="s">
        <v>35</v>
      </c>
      <c r="B18" s="87"/>
      <c r="C18" s="74">
        <f t="shared" ref="C18:X18" si="1">SUM(C3:C17)</f>
        <v>7904</v>
      </c>
      <c r="D18" s="74">
        <f t="shared" si="1"/>
        <v>16157.07</v>
      </c>
      <c r="E18" s="74">
        <f t="shared" si="1"/>
        <v>5490</v>
      </c>
      <c r="F18" s="74">
        <f t="shared" si="1"/>
        <v>3116</v>
      </c>
      <c r="G18" s="74">
        <f t="shared" si="1"/>
        <v>0</v>
      </c>
      <c r="H18" s="74">
        <f t="shared" si="1"/>
        <v>6509</v>
      </c>
      <c r="I18" s="74">
        <f t="shared" si="1"/>
        <v>1413</v>
      </c>
      <c r="J18" s="74">
        <f t="shared" si="1"/>
        <v>0</v>
      </c>
      <c r="K18" s="74">
        <f t="shared" si="1"/>
        <v>0</v>
      </c>
      <c r="L18" s="74">
        <f t="shared" si="1"/>
        <v>0</v>
      </c>
      <c r="M18" s="74">
        <f t="shared" si="1"/>
        <v>0</v>
      </c>
      <c r="N18" s="74">
        <f t="shared" si="1"/>
        <v>17454</v>
      </c>
      <c r="O18" s="74">
        <f t="shared" si="1"/>
        <v>1911</v>
      </c>
      <c r="P18" s="74">
        <f t="shared" si="1"/>
        <v>2926</v>
      </c>
      <c r="Q18" s="74">
        <f t="shared" si="1"/>
        <v>10030</v>
      </c>
      <c r="R18" s="74">
        <f t="shared" si="1"/>
        <v>0</v>
      </c>
      <c r="S18" s="74">
        <f t="shared" si="1"/>
        <v>3081</v>
      </c>
      <c r="T18" s="74">
        <f t="shared" si="1"/>
        <v>5005</v>
      </c>
      <c r="U18" s="74">
        <f t="shared" si="1"/>
        <v>0</v>
      </c>
      <c r="V18" s="74">
        <f t="shared" si="1"/>
        <v>850</v>
      </c>
      <c r="W18" s="74">
        <f t="shared" si="1"/>
        <v>81846.070000000007</v>
      </c>
      <c r="X18" s="75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87" t="s">
        <v>36</v>
      </c>
      <c r="B35" s="87"/>
      <c r="C35" s="74">
        <f>SUM(C19:C34)</f>
        <v>0</v>
      </c>
      <c r="D35" s="74">
        <f t="shared" ref="D35:V35" si="3">SUM(D19:D34)</f>
        <v>0</v>
      </c>
      <c r="E35" s="74">
        <f t="shared" si="3"/>
        <v>0</v>
      </c>
      <c r="F35" s="74">
        <f t="shared" si="3"/>
        <v>0</v>
      </c>
      <c r="G35" s="74">
        <f t="shared" si="3"/>
        <v>0</v>
      </c>
      <c r="H35" s="74">
        <f t="shared" si="3"/>
        <v>351</v>
      </c>
      <c r="I35" s="74">
        <f t="shared" si="3"/>
        <v>0</v>
      </c>
      <c r="J35" s="74">
        <f t="shared" si="3"/>
        <v>0</v>
      </c>
      <c r="K35" s="74">
        <f t="shared" si="3"/>
        <v>0</v>
      </c>
      <c r="L35" s="74">
        <f t="shared" si="3"/>
        <v>0</v>
      </c>
      <c r="M35" s="74">
        <f t="shared" si="3"/>
        <v>0</v>
      </c>
      <c r="N35" s="74">
        <f t="shared" si="3"/>
        <v>7500</v>
      </c>
      <c r="O35" s="74">
        <f t="shared" si="3"/>
        <v>556</v>
      </c>
      <c r="P35" s="74">
        <f t="shared" si="3"/>
        <v>0</v>
      </c>
      <c r="Q35" s="74">
        <f t="shared" si="3"/>
        <v>0</v>
      </c>
      <c r="R35" s="74">
        <f t="shared" si="3"/>
        <v>0</v>
      </c>
      <c r="S35" s="74">
        <f t="shared" si="3"/>
        <v>0</v>
      </c>
      <c r="T35" s="74">
        <f>SUM(T19:T34)</f>
        <v>0</v>
      </c>
      <c r="U35" s="74">
        <f t="shared" si="3"/>
        <v>0</v>
      </c>
      <c r="V35" s="74">
        <f t="shared" si="3"/>
        <v>0</v>
      </c>
      <c r="W35" s="74">
        <f>SUM(W19:W34)</f>
        <v>8407</v>
      </c>
      <c r="X35" s="75">
        <f>SUM(X19:X34)</f>
        <v>32257.279999999999</v>
      </c>
      <c r="Y35" s="61">
        <f>X35-W35</f>
        <v>23850.28</v>
      </c>
    </row>
    <row r="36" spans="1:25" ht="31.5" customHeight="1">
      <c r="A36" s="84" t="s">
        <v>37</v>
      </c>
      <c r="B36" s="84"/>
      <c r="C36" s="73">
        <f>SUM(C18,C35)</f>
        <v>7904</v>
      </c>
      <c r="D36" s="73">
        <f t="shared" ref="D36:W36" si="4">SUM(D18,D35)</f>
        <v>16157.07</v>
      </c>
      <c r="E36" s="73">
        <f t="shared" si="4"/>
        <v>5490</v>
      </c>
      <c r="F36" s="73">
        <f t="shared" si="4"/>
        <v>3116</v>
      </c>
      <c r="G36" s="73">
        <f t="shared" si="4"/>
        <v>0</v>
      </c>
      <c r="H36" s="73">
        <f t="shared" si="4"/>
        <v>6860</v>
      </c>
      <c r="I36" s="73">
        <f t="shared" si="4"/>
        <v>1413</v>
      </c>
      <c r="J36" s="73">
        <f t="shared" si="4"/>
        <v>0</v>
      </c>
      <c r="K36" s="73">
        <f t="shared" si="4"/>
        <v>0</v>
      </c>
      <c r="L36" s="73">
        <f t="shared" si="4"/>
        <v>0</v>
      </c>
      <c r="M36" s="73">
        <f t="shared" si="4"/>
        <v>0</v>
      </c>
      <c r="N36" s="73">
        <f t="shared" si="4"/>
        <v>24954</v>
      </c>
      <c r="O36" s="73">
        <f t="shared" si="4"/>
        <v>2467</v>
      </c>
      <c r="P36" s="73">
        <f t="shared" si="4"/>
        <v>2926</v>
      </c>
      <c r="Q36" s="73">
        <f t="shared" si="4"/>
        <v>10030</v>
      </c>
      <c r="R36" s="73">
        <f t="shared" si="4"/>
        <v>0</v>
      </c>
      <c r="S36" s="73">
        <f>SUM(S18,S35)</f>
        <v>3081</v>
      </c>
      <c r="T36" s="73">
        <f t="shared" si="4"/>
        <v>5005</v>
      </c>
      <c r="U36" s="73">
        <f t="shared" si="4"/>
        <v>0</v>
      </c>
      <c r="V36" s="73">
        <f t="shared" si="4"/>
        <v>850</v>
      </c>
      <c r="W36" s="73">
        <f t="shared" si="4"/>
        <v>90253.07</v>
      </c>
      <c r="X36" s="73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1" priority="1">
      <formula>Y18&lt;0</formula>
    </cfRule>
    <cfRule type="expression" dxfId="0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2026-06-20T13:40:27Z</dcterms:modified>
</cp:coreProperties>
</file>