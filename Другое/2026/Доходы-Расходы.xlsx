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10980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easob</author>
  </authors>
  <commentList>
    <comment ref="Q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Вернул за ущерб от ВПЧ</t>
        </r>
      </text>
    </comment>
    <comment ref="S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Яндекс Плюс</t>
        </r>
      </text>
    </comment>
    <comment ref="H4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Завтрак в 1\2</t>
        </r>
      </text>
    </comment>
    <comment ref="S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Вк музыка</t>
        </r>
      </text>
    </comment>
  </commentList>
</comments>
</file>

<file path=xl/sharedStrings.xml><?xml version="1.0" encoding="utf-8"?>
<sst xmlns="http://schemas.openxmlformats.org/spreadsheetml/2006/main" count="376" uniqueCount="60">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</sst>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#\ ##0.00\ &quot;₽&quot;"/>
  </numFmts>
  <fonts count="54">
    <font>
      <sz val="11"/>
      <color theme="1"/>
      <name val="Calibri"/>
      <charset val="134"/>
      <scheme val="minor"/>
    </font>
    <font>
      <b/>
      <sz val="20"/>
      <color rgb="FFD5DA08"/>
      <name val="Impact"/>
      <charset val="204"/>
    </font>
    <font>
      <sz val="11"/>
      <color theme="0" tint="-0.0499893185216834"/>
      <name val="Franklin Gothic Demi"/>
      <charset val="204"/>
    </font>
    <font>
      <sz val="11"/>
      <color theme="1" tint="0.0499893185216834"/>
      <name val="Antique Olive Compact"/>
      <charset val="134"/>
    </font>
    <font>
      <sz val="11"/>
      <color theme="1" tint="0.0499893185216834"/>
      <name val="Algerian"/>
      <charset val="134"/>
    </font>
    <font>
      <b/>
      <sz val="11"/>
      <color theme="0"/>
      <name val="Calibri"/>
      <charset val="204"/>
      <scheme val="minor"/>
    </font>
    <font>
      <b/>
      <sz val="11"/>
      <color rgb="FFD5DA08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75585192419"/>
      <name val="Arial Black"/>
      <charset val="204"/>
    </font>
    <font>
      <sz val="11"/>
      <color theme="0" tint="-0.0499893185216834"/>
      <name val="Arial Black"/>
      <charset val="204"/>
    </font>
    <font>
      <sz val="11"/>
      <color theme="1" tint="0.0499893185216834"/>
      <name val="Calibri"/>
      <charset val="134"/>
      <scheme val="minor"/>
    </font>
    <font>
      <b/>
      <sz val="11"/>
      <color theme="1" tint="0.0499893185216834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6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</fonts>
  <fills count="5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9" tint="0.399975585192419"/>
      </left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theme="1" tint="0.149998474074526"/>
      </left>
      <right style="thin">
        <color theme="1" tint="0.149998474074526"/>
      </right>
      <top style="thin">
        <color theme="1" tint="0.149998474074526"/>
      </top>
      <bottom style="thin">
        <color theme="1" tint="0.149998474074526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medium">
        <color auto="1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8" fillId="0" borderId="0" applyFont="0" applyFill="0" applyBorder="0" applyAlignment="0" applyProtection="0">
      <alignment vertical="center"/>
    </xf>
    <xf numFmtId="177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178" fontId="28" fillId="0" borderId="0" applyFont="0" applyFill="0" applyBorder="0" applyAlignment="0" applyProtection="0">
      <alignment vertical="center"/>
    </xf>
    <xf numFmtId="179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0" borderId="13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4" applyNumberFormat="0" applyFill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1" borderId="16" applyNumberFormat="0" applyAlignment="0" applyProtection="0">
      <alignment vertical="center"/>
    </xf>
    <xf numFmtId="0" fontId="38" fillId="22" borderId="17" applyNumberFormat="0" applyAlignment="0" applyProtection="0">
      <alignment vertical="center"/>
    </xf>
    <xf numFmtId="0" fontId="39" fillId="22" borderId="16" applyNumberFormat="0" applyAlignment="0" applyProtection="0">
      <alignment vertical="center"/>
    </xf>
    <xf numFmtId="0" fontId="40" fillId="23" borderId="18" applyNumberFormat="0" applyAlignment="0" applyProtection="0">
      <alignment vertical="center"/>
    </xf>
    <xf numFmtId="0" fontId="41" fillId="0" borderId="19" applyNumberFormat="0" applyFill="0" applyAlignment="0" applyProtection="0">
      <alignment vertical="center"/>
    </xf>
    <xf numFmtId="0" fontId="42" fillId="0" borderId="20" applyNumberFormat="0" applyFill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6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6" fillId="46" borderId="0" applyNumberFormat="0" applyBorder="0" applyAlignment="0" applyProtection="0">
      <alignment vertical="center"/>
    </xf>
    <xf numFmtId="0" fontId="46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6" fillId="50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180" fontId="4" fillId="5" borderId="2" xfId="0" applyNumberFormat="1" applyFont="1" applyFill="1" applyBorder="1" applyAlignment="1">
      <alignment horizontal="right" vertical="center"/>
    </xf>
    <xf numFmtId="0" fontId="5" fillId="6" borderId="2" xfId="0" applyFont="1" applyFill="1" applyBorder="1" applyAlignment="1">
      <alignment horizontal="right" vertical="center"/>
    </xf>
    <xf numFmtId="180" fontId="5" fillId="6" borderId="2" xfId="0" applyNumberFormat="1" applyFont="1" applyFill="1" applyBorder="1" applyAlignment="1">
      <alignment horizontal="right" vertical="center"/>
    </xf>
    <xf numFmtId="0" fontId="6" fillId="6" borderId="2" xfId="0" applyFont="1" applyFill="1" applyBorder="1" applyAlignment="1">
      <alignment horizontal="right" vertical="center"/>
    </xf>
    <xf numFmtId="180" fontId="6" fillId="6" borderId="2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0" fontId="2" fillId="7" borderId="1" xfId="0" applyFont="1" applyFill="1" applyBorder="1" applyAlignment="1">
      <alignment horizontal="center" vertical="center" wrapText="1"/>
    </xf>
    <xf numFmtId="180" fontId="4" fillId="8" borderId="2" xfId="0" applyNumberFormat="1" applyFont="1" applyFill="1" applyBorder="1"/>
    <xf numFmtId="180" fontId="4" fillId="5" borderId="2" xfId="0" applyNumberFormat="1" applyFont="1" applyFill="1" applyBorder="1"/>
    <xf numFmtId="180" fontId="4" fillId="4" borderId="2" xfId="0" applyNumberFormat="1" applyFont="1" applyFill="1" applyBorder="1"/>
    <xf numFmtId="180" fontId="5" fillId="6" borderId="2" xfId="0" applyNumberFormat="1" applyFont="1" applyFill="1" applyBorder="1"/>
    <xf numFmtId="0" fontId="0" fillId="2" borderId="0" xfId="0" applyFill="1" applyAlignment="1">
      <alignment horizontal="center" vertical="center" wrapText="1"/>
    </xf>
    <xf numFmtId="180" fontId="4" fillId="4" borderId="2" xfId="0" applyNumberFormat="1" applyFont="1" applyFill="1" applyBorder="1" applyAlignment="1">
      <alignment vertical="center"/>
    </xf>
    <xf numFmtId="180" fontId="4" fillId="5" borderId="2" xfId="0" applyNumberFormat="1" applyFont="1" applyFill="1" applyBorder="1" applyAlignment="1">
      <alignment vertical="center"/>
    </xf>
    <xf numFmtId="180" fontId="7" fillId="6" borderId="2" xfId="0" applyNumberFormat="1" applyFont="1" applyFill="1" applyBorder="1" applyAlignment="1">
      <alignment vertical="center"/>
    </xf>
    <xf numFmtId="180" fontId="0" fillId="2" borderId="0" xfId="0" applyNumberFormat="1" applyFill="1"/>
    <xf numFmtId="180" fontId="6" fillId="6" borderId="2" xfId="0" applyNumberFormat="1" applyFont="1" applyFill="1" applyBorder="1" applyAlignment="1">
      <alignment vertical="center"/>
    </xf>
    <xf numFmtId="180" fontId="8" fillId="6" borderId="2" xfId="0" applyNumberFormat="1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/>
    </xf>
    <xf numFmtId="0" fontId="10" fillId="6" borderId="2" xfId="0" applyFont="1" applyFill="1" applyBorder="1" applyAlignment="1">
      <alignment horizontal="right" vertical="center"/>
    </xf>
    <xf numFmtId="180" fontId="10" fillId="6" borderId="2" xfId="0" applyNumberFormat="1" applyFont="1" applyFill="1" applyBorder="1" applyAlignment="1">
      <alignment horizontal="right" vertical="center"/>
    </xf>
    <xf numFmtId="0" fontId="11" fillId="3" borderId="0" xfId="0" applyFont="1" applyFill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right" vertical="center"/>
    </xf>
    <xf numFmtId="180" fontId="7" fillId="6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right" vertical="center"/>
    </xf>
    <xf numFmtId="180" fontId="7" fillId="6" borderId="2" xfId="0" applyNumberFormat="1" applyFont="1" applyFill="1" applyBorder="1"/>
    <xf numFmtId="0" fontId="13" fillId="9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/>
    </xf>
    <xf numFmtId="180" fontId="15" fillId="11" borderId="3" xfId="0" applyNumberFormat="1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180" fontId="15" fillId="12" borderId="3" xfId="0" applyNumberFormat="1" applyFont="1" applyFill="1" applyBorder="1" applyAlignment="1">
      <alignment horizontal="center" vertical="center"/>
    </xf>
    <xf numFmtId="0" fontId="16" fillId="13" borderId="4" xfId="0" applyFont="1" applyFill="1" applyBorder="1" applyAlignment="1">
      <alignment horizontal="right" vertical="center"/>
    </xf>
    <xf numFmtId="0" fontId="16" fillId="13" borderId="5" xfId="0" applyFont="1" applyFill="1" applyBorder="1" applyAlignment="1">
      <alignment horizontal="right" vertical="center"/>
    </xf>
    <xf numFmtId="180" fontId="16" fillId="13" borderId="3" xfId="0" applyNumberFormat="1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right" vertical="center"/>
    </xf>
    <xf numFmtId="180" fontId="16" fillId="14" borderId="3" xfId="0" applyNumberFormat="1" applyFont="1" applyFill="1" applyBorder="1" applyAlignment="1">
      <alignment horizontal="center" vertical="center"/>
    </xf>
    <xf numFmtId="180" fontId="15" fillId="11" borderId="3" xfId="0" applyNumberFormat="1" applyFont="1" applyFill="1" applyBorder="1"/>
    <xf numFmtId="180" fontId="15" fillId="12" borderId="3" xfId="0" applyNumberFormat="1" applyFont="1" applyFill="1" applyBorder="1"/>
    <xf numFmtId="180" fontId="16" fillId="13" borderId="3" xfId="0" applyNumberFormat="1" applyFont="1" applyFill="1" applyBorder="1"/>
    <xf numFmtId="180" fontId="15" fillId="8" borderId="3" xfId="0" applyNumberFormat="1" applyFont="1" applyFill="1" applyBorder="1"/>
    <xf numFmtId="180" fontId="15" fillId="11" borderId="3" xfId="0" applyNumberFormat="1" applyFont="1" applyFill="1" applyBorder="1" applyAlignment="1">
      <alignment vertical="center"/>
    </xf>
    <xf numFmtId="180" fontId="15" fillId="12" borderId="3" xfId="0" applyNumberFormat="1" applyFont="1" applyFill="1" applyBorder="1" applyAlignment="1">
      <alignment vertical="center"/>
    </xf>
    <xf numFmtId="180" fontId="17" fillId="13" borderId="3" xfId="0" applyNumberFormat="1" applyFont="1" applyFill="1" applyBorder="1" applyAlignment="1">
      <alignment vertical="center"/>
    </xf>
    <xf numFmtId="0" fontId="15" fillId="15" borderId="3" xfId="0" applyFont="1" applyFill="1" applyBorder="1" applyAlignment="1">
      <alignment horizontal="center" vertical="center"/>
    </xf>
    <xf numFmtId="180" fontId="15" fillId="15" borderId="3" xfId="0" applyNumberFormat="1" applyFont="1" applyFill="1" applyBorder="1" applyAlignment="1">
      <alignment horizontal="center" vertical="center"/>
    </xf>
    <xf numFmtId="0" fontId="15" fillId="16" borderId="3" xfId="0" applyFont="1" applyFill="1" applyBorder="1" applyAlignment="1">
      <alignment horizontal="center" vertical="center"/>
    </xf>
    <xf numFmtId="180" fontId="15" fillId="16" borderId="3" xfId="0" applyNumberFormat="1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right"/>
    </xf>
    <xf numFmtId="180" fontId="15" fillId="15" borderId="3" xfId="0" applyNumberFormat="1" applyFont="1" applyFill="1" applyBorder="1"/>
    <xf numFmtId="180" fontId="15" fillId="15" borderId="3" xfId="0" applyNumberFormat="1" applyFont="1" applyFill="1" applyBorder="1" applyAlignment="1">
      <alignment vertical="center"/>
    </xf>
    <xf numFmtId="180" fontId="15" fillId="16" borderId="3" xfId="0" applyNumberFormat="1" applyFont="1" applyFill="1" applyBorder="1"/>
    <xf numFmtId="180" fontId="15" fillId="16" borderId="3" xfId="0" applyNumberFormat="1" applyFont="1" applyFill="1" applyBorder="1" applyAlignment="1">
      <alignment vertical="center"/>
    </xf>
    <xf numFmtId="180" fontId="15" fillId="15" borderId="3" xfId="0" applyNumberFormat="1" applyFont="1" applyFill="1" applyBorder="1" applyAlignment="1">
      <alignment horizontal="center"/>
    </xf>
    <xf numFmtId="0" fontId="18" fillId="17" borderId="0" xfId="0" applyFont="1" applyFill="1" applyAlignment="1">
      <alignment horizontal="center" vertical="center"/>
    </xf>
    <xf numFmtId="0" fontId="19" fillId="18" borderId="1" xfId="0" applyFont="1" applyFill="1" applyBorder="1" applyAlignment="1">
      <alignment horizontal="center" vertical="center" wrapText="1"/>
    </xf>
    <xf numFmtId="0" fontId="20" fillId="9" borderId="6" xfId="0" applyFont="1" applyFill="1" applyBorder="1" applyAlignment="1">
      <alignment horizontal="center" vertical="center"/>
    </xf>
    <xf numFmtId="180" fontId="21" fillId="9" borderId="6" xfId="0" applyNumberFormat="1" applyFont="1" applyFill="1" applyBorder="1" applyAlignment="1">
      <alignment horizontal="center" vertical="center"/>
    </xf>
    <xf numFmtId="180" fontId="22" fillId="9" borderId="6" xfId="0" applyNumberFormat="1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/>
    </xf>
    <xf numFmtId="180" fontId="22" fillId="3" borderId="6" xfId="0" applyNumberFormat="1" applyFont="1" applyFill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180" fontId="22" fillId="6" borderId="6" xfId="0" applyNumberFormat="1" applyFont="1" applyFill="1" applyBorder="1" applyAlignment="1">
      <alignment horizontal="center" vertical="center"/>
    </xf>
    <xf numFmtId="180" fontId="23" fillId="6" borderId="6" xfId="0" applyNumberFormat="1" applyFont="1" applyFill="1" applyBorder="1" applyAlignment="1">
      <alignment horizontal="center" vertical="center"/>
    </xf>
    <xf numFmtId="180" fontId="23" fillId="3" borderId="6" xfId="0" applyNumberFormat="1" applyFont="1" applyFill="1" applyBorder="1" applyAlignment="1">
      <alignment horizontal="center" vertical="center"/>
    </xf>
    <xf numFmtId="180" fontId="21" fillId="3" borderId="6" xfId="0" applyNumberFormat="1" applyFont="1" applyFill="1" applyBorder="1" applyAlignment="1">
      <alignment horizontal="center" vertical="center"/>
    </xf>
    <xf numFmtId="180" fontId="21" fillId="6" borderId="6" xfId="0" applyNumberFormat="1" applyFont="1" applyFill="1" applyBorder="1" applyAlignment="1">
      <alignment horizontal="center" vertical="center"/>
    </xf>
    <xf numFmtId="0" fontId="20" fillId="6" borderId="6" xfId="0" applyFont="1" applyFill="1" applyBorder="1" applyAlignment="1">
      <alignment horizontal="right"/>
    </xf>
    <xf numFmtId="180" fontId="20" fillId="6" borderId="6" xfId="0" applyNumberFormat="1" applyFont="1" applyFill="1" applyBorder="1"/>
    <xf numFmtId="180" fontId="20" fillId="9" borderId="6" xfId="0" applyNumberFormat="1" applyFont="1" applyFill="1" applyBorder="1" applyAlignment="1">
      <alignment horizontal="center" vertical="center"/>
    </xf>
    <xf numFmtId="180" fontId="24" fillId="9" borderId="6" xfId="0" applyNumberFormat="1" applyFont="1" applyFill="1" applyBorder="1"/>
    <xf numFmtId="180" fontId="22" fillId="6" borderId="0" xfId="0" applyNumberFormat="1" applyFont="1" applyFill="1" applyBorder="1" applyAlignment="1">
      <alignment vertical="center"/>
    </xf>
    <xf numFmtId="180" fontId="20" fillId="3" borderId="6" xfId="0" applyNumberFormat="1" applyFont="1" applyFill="1" applyBorder="1" applyAlignment="1">
      <alignment horizontal="center" vertical="center"/>
    </xf>
    <xf numFmtId="180" fontId="24" fillId="3" borderId="6" xfId="0" applyNumberFormat="1" applyFont="1" applyFill="1" applyBorder="1"/>
    <xf numFmtId="180" fontId="20" fillId="6" borderId="6" xfId="0" applyNumberFormat="1" applyFont="1" applyFill="1" applyBorder="1" applyAlignment="1">
      <alignment horizontal="center" vertical="center"/>
    </xf>
    <xf numFmtId="180" fontId="24" fillId="6" borderId="6" xfId="0" applyNumberFormat="1" applyFont="1" applyFill="1" applyBorder="1"/>
    <xf numFmtId="180" fontId="22" fillId="9" borderId="0" xfId="0" applyNumberFormat="1" applyFont="1" applyFill="1" applyBorder="1" applyAlignment="1">
      <alignment vertical="center"/>
    </xf>
    <xf numFmtId="180" fontId="22" fillId="6" borderId="7" xfId="0" applyNumberFormat="1" applyFont="1" applyFill="1" applyBorder="1" applyAlignment="1">
      <alignment vertical="center"/>
    </xf>
    <xf numFmtId="0" fontId="0" fillId="19" borderId="0" xfId="0" applyFill="1"/>
    <xf numFmtId="0" fontId="25" fillId="3" borderId="8" xfId="0" applyFont="1" applyFill="1" applyBorder="1" applyAlignment="1">
      <alignment horizontal="center" vertical="center"/>
    </xf>
    <xf numFmtId="0" fontId="26" fillId="0" borderId="2" xfId="0" applyFont="1" applyBorder="1"/>
    <xf numFmtId="180" fontId="27" fillId="0" borderId="2" xfId="0" applyNumberFormat="1" applyFont="1" applyBorder="1" applyAlignment="1">
      <alignment horizontal="center"/>
    </xf>
    <xf numFmtId="180" fontId="27" fillId="0" borderId="2" xfId="0" applyNumberFormat="1" applyFont="1" applyBorder="1"/>
    <xf numFmtId="0" fontId="26" fillId="0" borderId="9" xfId="0" applyFont="1" applyBorder="1"/>
    <xf numFmtId="180" fontId="27" fillId="0" borderId="9" xfId="0" applyNumberFormat="1" applyFont="1" applyBorder="1"/>
    <xf numFmtId="0" fontId="26" fillId="14" borderId="10" xfId="0" applyFont="1" applyFill="1" applyBorder="1"/>
    <xf numFmtId="180" fontId="27" fillId="14" borderId="11" xfId="0" applyNumberFormat="1" applyFont="1" applyFill="1" applyBorder="1"/>
    <xf numFmtId="180" fontId="27" fillId="14" borderId="12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color rgb="FFEC1606"/>
      </font>
    </dxf>
    <dxf>
      <font>
        <color rgb="FF57B418"/>
      </font>
    </dxf>
    <dxf>
      <font>
        <color rgb="FFC00000"/>
      </font>
    </dxf>
  </dxfs>
  <tableStyles count="0" defaultTableStyle="TableStyleMedium2" defaultPivotStyle="PivotStyleLight16"/>
  <colors>
    <mruColors>
      <color rgb="00D5DA08"/>
      <color rgb="0057B418"/>
      <color rgb="00FF8585"/>
      <color rgb="006C0000"/>
      <color rgb="00EC1606"/>
      <color rgb="00F4B79E"/>
      <color rgb="00062D4E"/>
      <color rgb="00094679"/>
      <color rgb="007BB7E9"/>
      <color rgb="003179E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17"/>
  <sheetViews>
    <sheetView workbookViewId="0">
      <selection activeCell="G9" sqref="G9"/>
    </sheetView>
  </sheetViews>
  <sheetFormatPr defaultColWidth="9" defaultRowHeight="14.25" outlineLevelCol="7"/>
  <cols>
    <col min="1" max="2" width="9.14159292035398" style="88"/>
    <col min="3" max="3" width="11.7079646017699" style="88" customWidth="1"/>
    <col min="4" max="4" width="17.858407079646" style="88" customWidth="1"/>
    <col min="5" max="5" width="19.283185840708" style="88" customWidth="1"/>
    <col min="6" max="6" width="20" style="88" customWidth="1"/>
    <col min="7" max="8" width="21.7079646017699" style="88" customWidth="1"/>
    <col min="9" max="16384" width="9.14159292035398" style="88"/>
  </cols>
  <sheetData>
    <row r="3" ht="15"/>
    <row r="4" ht="45" customHeight="1" spans="3:8">
      <c r="C4" s="89" t="s">
        <v>0</v>
      </c>
      <c r="D4" s="89" t="s">
        <v>1</v>
      </c>
      <c r="E4" s="89" t="s">
        <v>2</v>
      </c>
      <c r="F4" s="89" t="s">
        <v>3</v>
      </c>
      <c r="G4" s="89" t="s">
        <v>4</v>
      </c>
      <c r="H4" s="89" t="s">
        <v>5</v>
      </c>
    </row>
    <row r="5" ht="15" spans="3:8">
      <c r="C5" s="90" t="s">
        <v>6</v>
      </c>
      <c r="D5" s="91" t="s">
        <v>7</v>
      </c>
      <c r="E5" s="91" t="s">
        <v>7</v>
      </c>
      <c r="F5" s="91" t="s">
        <v>7</v>
      </c>
      <c r="G5" s="91" t="s">
        <v>7</v>
      </c>
      <c r="H5" s="91" t="s">
        <v>7</v>
      </c>
    </row>
    <row r="6" ht="15" spans="3:8">
      <c r="C6" s="90" t="s">
        <v>8</v>
      </c>
      <c r="D6" s="92">
        <v>100494.4</v>
      </c>
      <c r="E6" s="92">
        <v>10000</v>
      </c>
      <c r="F6" s="92">
        <v>0</v>
      </c>
      <c r="G6" s="92">
        <v>109233.84</v>
      </c>
      <c r="H6" s="92">
        <f>SUM(D6:F6)-G6</f>
        <v>1260.56</v>
      </c>
    </row>
    <row r="7" ht="15" spans="3:8">
      <c r="C7" s="90" t="s">
        <v>9</v>
      </c>
      <c r="D7" s="92">
        <v>68400</v>
      </c>
      <c r="E7" s="92">
        <v>0</v>
      </c>
      <c r="F7" s="92">
        <v>0</v>
      </c>
      <c r="G7" s="92">
        <v>80331.3</v>
      </c>
      <c r="H7" s="92">
        <f t="shared" ref="H7:H8" si="0">SUM(D7:F7)-G7</f>
        <v>-11931.3</v>
      </c>
    </row>
    <row r="8" ht="15" spans="3:8">
      <c r="C8" s="90" t="s">
        <v>10</v>
      </c>
      <c r="D8" s="92">
        <v>136698</v>
      </c>
      <c r="E8" s="92">
        <v>10000</v>
      </c>
      <c r="F8" s="92">
        <v>17000</v>
      </c>
      <c r="G8" s="92">
        <v>163638.94</v>
      </c>
      <c r="H8" s="92">
        <f t="shared" si="0"/>
        <v>59.0599999999977</v>
      </c>
    </row>
    <row r="9" ht="15" spans="3:8">
      <c r="C9" s="90" t="s">
        <v>11</v>
      </c>
      <c r="D9" s="92"/>
      <c r="E9" s="92"/>
      <c r="F9" s="92"/>
      <c r="G9" s="92"/>
      <c r="H9" s="92"/>
    </row>
    <row r="10" ht="15" spans="3:8">
      <c r="C10" s="90" t="s">
        <v>12</v>
      </c>
      <c r="D10" s="92"/>
      <c r="E10" s="92"/>
      <c r="F10" s="92"/>
      <c r="G10" s="92"/>
      <c r="H10" s="92"/>
    </row>
    <row r="11" ht="15" spans="3:8">
      <c r="C11" s="90" t="s">
        <v>13</v>
      </c>
      <c r="D11" s="92"/>
      <c r="E11" s="92"/>
      <c r="F11" s="92"/>
      <c r="G11" s="92"/>
      <c r="H11" s="92"/>
    </row>
    <row r="12" ht="15" spans="3:8">
      <c r="C12" s="90" t="s">
        <v>14</v>
      </c>
      <c r="D12" s="92"/>
      <c r="E12" s="92"/>
      <c r="F12" s="92"/>
      <c r="G12" s="92"/>
      <c r="H12" s="92"/>
    </row>
    <row r="13" ht="15" spans="3:8">
      <c r="C13" s="90" t="s">
        <v>15</v>
      </c>
      <c r="D13" s="92"/>
      <c r="E13" s="92"/>
      <c r="F13" s="92"/>
      <c r="G13" s="92"/>
      <c r="H13" s="92"/>
    </row>
    <row r="14" ht="15" spans="3:8">
      <c r="C14" s="90" t="s">
        <v>16</v>
      </c>
      <c r="D14" s="92"/>
      <c r="E14" s="92"/>
      <c r="F14" s="92"/>
      <c r="G14" s="92"/>
      <c r="H14" s="92"/>
    </row>
    <row r="15" ht="15" spans="3:8">
      <c r="C15" s="90" t="s">
        <v>17</v>
      </c>
      <c r="D15" s="92"/>
      <c r="E15" s="92"/>
      <c r="F15" s="92"/>
      <c r="G15" s="92"/>
      <c r="H15" s="92"/>
    </row>
    <row r="16" ht="15.75" spans="3:8">
      <c r="C16" s="93" t="s">
        <v>18</v>
      </c>
      <c r="D16" s="94"/>
      <c r="E16" s="94"/>
      <c r="F16" s="94"/>
      <c r="G16" s="94"/>
      <c r="H16" s="94"/>
    </row>
    <row r="17" ht="15.75" spans="3:8">
      <c r="C17" s="95" t="s">
        <v>19</v>
      </c>
      <c r="D17" s="96"/>
      <c r="E17" s="96"/>
      <c r="F17" s="96"/>
      <c r="G17" s="96"/>
      <c r="H17" s="97"/>
    </row>
  </sheetData>
  <conditionalFormatting sqref="H17">
    <cfRule type="expression" dxfId="0" priority="1">
      <formula>H17&lt;0</formula>
    </cfRule>
    <cfRule type="expression" dxfId="1" priority="2">
      <formula>H17&gt;0</formula>
    </cfRule>
  </conditionalFormatting>
  <conditionalFormatting sqref="H5:H16">
    <cfRule type="expression" dxfId="0" priority="3">
      <formula>H5&lt;0</formula>
    </cfRule>
    <cfRule type="expression" dxfId="1" priority="4">
      <formula>H5&gt;0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5"/>
  <sheetViews>
    <sheetView zoomScale="86" zoomScaleNormal="86" workbookViewId="0">
      <pane xSplit="2" ySplit="31" topLeftCell="C32" activePane="bottomRight" state="frozen"/>
      <selection/>
      <selection pane="topRight"/>
      <selection pane="bottomLeft"/>
      <selection pane="bottomRight" activeCell="X37" sqref="X37"/>
    </sheetView>
  </sheetViews>
  <sheetFormatPr defaultColWidth="9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24">
      <c r="A1" s="64" t="s">
        <v>20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</row>
    <row r="2" ht="45" customHeight="1" spans="1:46">
      <c r="A2" s="65" t="s">
        <v>21</v>
      </c>
      <c r="B2" s="65" t="s">
        <v>22</v>
      </c>
      <c r="C2" s="65" t="s">
        <v>23</v>
      </c>
      <c r="D2" s="65" t="s">
        <v>24</v>
      </c>
      <c r="E2" s="65" t="s">
        <v>25</v>
      </c>
      <c r="F2" s="65" t="s">
        <v>26</v>
      </c>
      <c r="G2" s="65" t="s">
        <v>27</v>
      </c>
      <c r="H2" s="65" t="s">
        <v>28</v>
      </c>
      <c r="I2" s="65" t="s">
        <v>29</v>
      </c>
      <c r="J2" s="65" t="s">
        <v>30</v>
      </c>
      <c r="K2" s="65" t="s">
        <v>31</v>
      </c>
      <c r="L2" s="65" t="s">
        <v>32</v>
      </c>
      <c r="M2" s="65" t="s">
        <v>33</v>
      </c>
      <c r="N2" s="65" t="s">
        <v>34</v>
      </c>
      <c r="O2" s="65" t="s">
        <v>35</v>
      </c>
      <c r="P2" s="65" t="s">
        <v>36</v>
      </c>
      <c r="Q2" s="65" t="s">
        <v>37</v>
      </c>
      <c r="R2" s="65" t="s">
        <v>38</v>
      </c>
      <c r="S2" s="65" t="s">
        <v>39</v>
      </c>
      <c r="T2" s="65" t="s">
        <v>39</v>
      </c>
      <c r="U2" s="65" t="s">
        <v>40</v>
      </c>
      <c r="V2" s="65" t="s">
        <v>41</v>
      </c>
      <c r="W2" s="65" t="s">
        <v>42</v>
      </c>
      <c r="X2" s="65" t="s">
        <v>5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</row>
    <row r="3" spans="1:24">
      <c r="A3" s="66">
        <v>5</v>
      </c>
      <c r="B3" s="66" t="s">
        <v>43</v>
      </c>
      <c r="C3" s="67">
        <f>183+2168</f>
        <v>2351</v>
      </c>
      <c r="D3" s="67">
        <v>3131</v>
      </c>
      <c r="E3" s="67"/>
      <c r="F3" s="67"/>
      <c r="G3" s="68"/>
      <c r="H3" s="68"/>
      <c r="I3" s="67"/>
      <c r="J3" s="67">
        <v>450</v>
      </c>
      <c r="K3" s="67"/>
      <c r="L3" s="67"/>
      <c r="M3" s="67"/>
      <c r="N3" s="67">
        <v>40</v>
      </c>
      <c r="O3" s="67"/>
      <c r="P3" s="67"/>
      <c r="Q3" s="67">
        <v>14418</v>
      </c>
      <c r="R3" s="67"/>
      <c r="S3" s="67">
        <v>5000</v>
      </c>
      <c r="T3" s="67"/>
      <c r="U3" s="67"/>
      <c r="V3" s="79">
        <f>SUM(C3:U3)</f>
        <v>25390</v>
      </c>
      <c r="W3" s="80">
        <v>53739.4</v>
      </c>
      <c r="X3" s="81"/>
    </row>
    <row r="4" spans="1:24">
      <c r="A4" s="69">
        <v>6</v>
      </c>
      <c r="B4" s="69" t="s">
        <v>44</v>
      </c>
      <c r="C4" s="70"/>
      <c r="D4" s="70"/>
      <c r="E4" s="70"/>
      <c r="F4" s="70"/>
      <c r="G4" s="70"/>
      <c r="H4" s="70"/>
      <c r="I4" s="75"/>
      <c r="J4" s="75"/>
      <c r="K4" s="75"/>
      <c r="L4" s="75"/>
      <c r="M4" s="75"/>
      <c r="N4" s="74">
        <f>131+247</f>
        <v>378</v>
      </c>
      <c r="O4" s="75"/>
      <c r="P4" s="75"/>
      <c r="Q4" s="75"/>
      <c r="R4" s="75"/>
      <c r="S4" s="75"/>
      <c r="T4" s="75"/>
      <c r="U4" s="75"/>
      <c r="V4" s="82">
        <f>SUM(C4:U4)</f>
        <v>378</v>
      </c>
      <c r="W4" s="83"/>
      <c r="X4" s="81"/>
    </row>
    <row r="5" spans="1:24">
      <c r="A5" s="71">
        <v>7</v>
      </c>
      <c r="B5" s="71" t="s">
        <v>45</v>
      </c>
      <c r="C5" s="72"/>
      <c r="D5" s="73">
        <v>1110</v>
      </c>
      <c r="E5" s="73"/>
      <c r="F5" s="73"/>
      <c r="G5" s="72"/>
      <c r="H5" s="72"/>
      <c r="I5" s="76">
        <v>840</v>
      </c>
      <c r="J5" s="76"/>
      <c r="K5" s="76"/>
      <c r="L5" s="76"/>
      <c r="M5" s="76"/>
      <c r="N5" s="76">
        <f>197+259</f>
        <v>456</v>
      </c>
      <c r="O5" s="76"/>
      <c r="P5" s="76"/>
      <c r="Q5" s="76"/>
      <c r="R5" s="76"/>
      <c r="S5" s="76"/>
      <c r="T5" s="76"/>
      <c r="U5" s="76"/>
      <c r="V5" s="84">
        <f>SUM(C5:U5)</f>
        <v>2406</v>
      </c>
      <c r="W5" s="85"/>
      <c r="X5" s="81"/>
    </row>
    <row r="6" spans="1:24">
      <c r="A6" s="69">
        <v>8</v>
      </c>
      <c r="B6" s="69" t="s">
        <v>46</v>
      </c>
      <c r="C6" s="74">
        <v>1006</v>
      </c>
      <c r="D6" s="70"/>
      <c r="E6" s="70"/>
      <c r="F6" s="70"/>
      <c r="G6" s="70"/>
      <c r="H6" s="70"/>
      <c r="I6" s="75"/>
      <c r="J6" s="75"/>
      <c r="K6" s="75"/>
      <c r="L6" s="75"/>
      <c r="M6" s="75"/>
      <c r="N6" s="74">
        <f>221+171</f>
        <v>392</v>
      </c>
      <c r="O6" s="75"/>
      <c r="P6" s="70"/>
      <c r="Q6" s="75"/>
      <c r="R6" s="75"/>
      <c r="S6" s="75"/>
      <c r="T6" s="75"/>
      <c r="U6" s="75"/>
      <c r="V6" s="82">
        <f t="shared" ref="V6:V19" si="0">SUM(C6:U6)</f>
        <v>1398</v>
      </c>
      <c r="W6" s="83"/>
      <c r="X6" s="81"/>
    </row>
    <row r="7" spans="1:24">
      <c r="A7" s="71">
        <v>9</v>
      </c>
      <c r="B7" s="71" t="s">
        <v>47</v>
      </c>
      <c r="C7" s="73">
        <v>1819</v>
      </c>
      <c r="D7" s="72"/>
      <c r="E7" s="72"/>
      <c r="F7" s="72"/>
      <c r="G7" s="72"/>
      <c r="H7" s="72"/>
      <c r="I7" s="76"/>
      <c r="J7" s="76"/>
      <c r="K7" s="76"/>
      <c r="L7" s="76"/>
      <c r="M7" s="76"/>
      <c r="N7" s="76">
        <v>224</v>
      </c>
      <c r="O7" s="72"/>
      <c r="P7" s="76"/>
      <c r="Q7" s="76"/>
      <c r="R7" s="76"/>
      <c r="S7" s="76">
        <v>1055</v>
      </c>
      <c r="T7" s="76"/>
      <c r="U7" s="76"/>
      <c r="V7" s="84">
        <f t="shared" si="0"/>
        <v>3098</v>
      </c>
      <c r="W7" s="85"/>
      <c r="X7" s="81"/>
    </row>
    <row r="8" spans="1:24">
      <c r="A8" s="69">
        <v>10</v>
      </c>
      <c r="B8" s="69" t="s">
        <v>48</v>
      </c>
      <c r="C8" s="75">
        <v>1266.9</v>
      </c>
      <c r="D8" s="75">
        <v>1345</v>
      </c>
      <c r="E8" s="75"/>
      <c r="F8" s="75"/>
      <c r="G8" s="70"/>
      <c r="H8" s="70"/>
      <c r="I8" s="75"/>
      <c r="J8" s="75"/>
      <c r="K8" s="75"/>
      <c r="L8" s="75"/>
      <c r="M8" s="75"/>
      <c r="N8" s="75">
        <v>172</v>
      </c>
      <c r="O8" s="75"/>
      <c r="P8" s="75"/>
      <c r="Q8" s="75"/>
      <c r="R8" s="70"/>
      <c r="S8" s="75"/>
      <c r="T8" s="75"/>
      <c r="U8" s="75"/>
      <c r="V8" s="82">
        <f t="shared" si="0"/>
        <v>2783.9</v>
      </c>
      <c r="W8" s="83"/>
      <c r="X8" s="81"/>
    </row>
    <row r="9" spans="1:24">
      <c r="A9" s="71">
        <v>11</v>
      </c>
      <c r="B9" s="71" t="s">
        <v>49</v>
      </c>
      <c r="C9" s="76">
        <v>1403.84</v>
      </c>
      <c r="D9" s="72"/>
      <c r="E9" s="72"/>
      <c r="F9" s="72"/>
      <c r="G9" s="72"/>
      <c r="H9" s="72"/>
      <c r="I9" s="76"/>
      <c r="J9" s="76"/>
      <c r="K9" s="76"/>
      <c r="L9" s="76"/>
      <c r="M9" s="76"/>
      <c r="N9" s="76"/>
      <c r="O9" s="76"/>
      <c r="P9" s="76"/>
      <c r="Q9" s="76"/>
      <c r="R9" s="72"/>
      <c r="S9" s="76"/>
      <c r="T9" s="76"/>
      <c r="U9" s="76"/>
      <c r="V9" s="84">
        <f t="shared" si="0"/>
        <v>1403.84</v>
      </c>
      <c r="W9" s="85"/>
      <c r="X9" s="81"/>
    </row>
    <row r="10" spans="1:24">
      <c r="A10" s="69">
        <v>12</v>
      </c>
      <c r="B10" s="69" t="s">
        <v>43</v>
      </c>
      <c r="C10" s="70"/>
      <c r="D10" s="75">
        <v>959</v>
      </c>
      <c r="E10" s="75"/>
      <c r="F10" s="75"/>
      <c r="G10" s="70"/>
      <c r="H10" s="70"/>
      <c r="I10" s="75"/>
      <c r="J10" s="75"/>
      <c r="K10" s="75"/>
      <c r="L10" s="75"/>
      <c r="M10" s="75"/>
      <c r="N10" s="70"/>
      <c r="O10" s="75"/>
      <c r="P10" s="75"/>
      <c r="Q10" s="75"/>
      <c r="R10" s="70"/>
      <c r="S10" s="75"/>
      <c r="T10" s="75"/>
      <c r="U10" s="75"/>
      <c r="V10" s="82">
        <f t="shared" si="0"/>
        <v>959</v>
      </c>
      <c r="W10" s="83"/>
      <c r="X10" s="81"/>
    </row>
    <row r="11" spans="1:24">
      <c r="A11" s="71">
        <v>13</v>
      </c>
      <c r="B11" s="71" t="s">
        <v>44</v>
      </c>
      <c r="C11" s="76">
        <f>342.99+1260.98</f>
        <v>1603.97</v>
      </c>
      <c r="D11" s="72"/>
      <c r="E11" s="72"/>
      <c r="F11" s="72"/>
      <c r="G11" s="76">
        <f>3980+430</f>
        <v>4410</v>
      </c>
      <c r="H11" s="76"/>
      <c r="I11" s="76"/>
      <c r="J11" s="76"/>
      <c r="K11" s="76"/>
      <c r="L11" s="76"/>
      <c r="M11" s="76"/>
      <c r="N11" s="76"/>
      <c r="O11" s="76"/>
      <c r="P11" s="76">
        <f>773+2000+1767</f>
        <v>4540</v>
      </c>
      <c r="Q11" s="76"/>
      <c r="R11" s="72"/>
      <c r="S11" s="76"/>
      <c r="T11" s="76"/>
      <c r="U11" s="76"/>
      <c r="V11" s="84">
        <f t="shared" si="0"/>
        <v>10553.97</v>
      </c>
      <c r="W11" s="85"/>
      <c r="X11" s="81"/>
    </row>
    <row r="12" spans="1:24">
      <c r="A12" s="69">
        <v>14</v>
      </c>
      <c r="B12" s="69" t="s">
        <v>45</v>
      </c>
      <c r="C12" s="75">
        <f>1260.98+678.97</f>
        <v>1939.95</v>
      </c>
      <c r="D12" s="75">
        <f>4500+149</f>
        <v>4649</v>
      </c>
      <c r="E12" s="75"/>
      <c r="F12" s="75"/>
      <c r="G12" s="70"/>
      <c r="H12" s="70"/>
      <c r="I12" s="75"/>
      <c r="J12" s="70"/>
      <c r="K12" s="75"/>
      <c r="L12" s="75"/>
      <c r="M12" s="75"/>
      <c r="N12" s="75">
        <f>543+421</f>
        <v>964</v>
      </c>
      <c r="O12" s="75"/>
      <c r="P12" s="75">
        <f>497</f>
        <v>497</v>
      </c>
      <c r="Q12" s="75"/>
      <c r="R12" s="75"/>
      <c r="S12" s="75"/>
      <c r="T12" s="75"/>
      <c r="U12" s="75"/>
      <c r="V12" s="82">
        <f t="shared" si="0"/>
        <v>8049.95</v>
      </c>
      <c r="W12" s="83"/>
      <c r="X12" s="81"/>
    </row>
    <row r="13" spans="1:24">
      <c r="A13" s="71">
        <v>15</v>
      </c>
      <c r="B13" s="71" t="s">
        <v>46</v>
      </c>
      <c r="C13" s="76">
        <f>1569.79</f>
        <v>1569.79</v>
      </c>
      <c r="D13" s="72"/>
      <c r="E13" s="72"/>
      <c r="F13" s="72"/>
      <c r="G13" s="72"/>
      <c r="H13" s="72"/>
      <c r="I13" s="76"/>
      <c r="J13" s="72"/>
      <c r="K13" s="76"/>
      <c r="L13" s="76"/>
      <c r="M13" s="76"/>
      <c r="N13" s="76">
        <v>135</v>
      </c>
      <c r="O13" s="76"/>
      <c r="P13" s="76"/>
      <c r="Q13" s="76"/>
      <c r="R13" s="76"/>
      <c r="S13" s="76"/>
      <c r="T13" s="76"/>
      <c r="U13" s="76"/>
      <c r="V13" s="84">
        <f t="shared" si="0"/>
        <v>1704.79</v>
      </c>
      <c r="W13" s="85"/>
      <c r="X13" s="81"/>
    </row>
    <row r="14" spans="1:24">
      <c r="A14" s="69">
        <v>16</v>
      </c>
      <c r="B14" s="69" t="s">
        <v>47</v>
      </c>
      <c r="C14" s="75">
        <v>1170</v>
      </c>
      <c r="D14" s="70"/>
      <c r="E14" s="70"/>
      <c r="F14" s="70"/>
      <c r="G14" s="70"/>
      <c r="H14" s="70"/>
      <c r="I14" s="75"/>
      <c r="J14" s="70"/>
      <c r="K14" s="75"/>
      <c r="L14" s="75"/>
      <c r="M14" s="75"/>
      <c r="N14" s="75"/>
      <c r="O14" s="70"/>
      <c r="P14" s="75"/>
      <c r="Q14" s="75"/>
      <c r="R14" s="75"/>
      <c r="S14" s="75"/>
      <c r="T14" s="75"/>
      <c r="U14" s="75"/>
      <c r="V14" s="82">
        <f t="shared" si="0"/>
        <v>1170</v>
      </c>
      <c r="W14" s="83"/>
      <c r="X14" s="81"/>
    </row>
    <row r="15" spans="1:24">
      <c r="A15" s="71">
        <v>17</v>
      </c>
      <c r="B15" s="71" t="s">
        <v>48</v>
      </c>
      <c r="C15" s="72"/>
      <c r="D15" s="72"/>
      <c r="E15" s="72"/>
      <c r="F15" s="72"/>
      <c r="G15" s="72"/>
      <c r="H15" s="72"/>
      <c r="I15" s="76"/>
      <c r="J15" s="76"/>
      <c r="K15" s="76"/>
      <c r="L15" s="76"/>
      <c r="M15" s="76"/>
      <c r="N15" s="72"/>
      <c r="O15" s="76"/>
      <c r="P15" s="76"/>
      <c r="Q15" s="76"/>
      <c r="R15" s="76"/>
      <c r="S15" s="76"/>
      <c r="T15" s="76"/>
      <c r="U15" s="76"/>
      <c r="V15" s="84">
        <f t="shared" si="0"/>
        <v>0</v>
      </c>
      <c r="W15" s="85"/>
      <c r="X15" s="81"/>
    </row>
    <row r="16" spans="1:24">
      <c r="A16" s="69">
        <v>18</v>
      </c>
      <c r="B16" s="69" t="s">
        <v>49</v>
      </c>
      <c r="C16" s="75">
        <v>200</v>
      </c>
      <c r="D16" s="70"/>
      <c r="E16" s="70"/>
      <c r="F16" s="70"/>
      <c r="G16" s="70"/>
      <c r="H16" s="70"/>
      <c r="I16" s="75"/>
      <c r="J16" s="75"/>
      <c r="K16" s="75"/>
      <c r="L16" s="75"/>
      <c r="M16" s="75"/>
      <c r="N16" s="75">
        <v>400</v>
      </c>
      <c r="O16" s="75"/>
      <c r="P16" s="75"/>
      <c r="Q16" s="75"/>
      <c r="R16" s="75">
        <v>499</v>
      </c>
      <c r="S16" s="75"/>
      <c r="T16" s="75"/>
      <c r="U16" s="75"/>
      <c r="V16" s="82">
        <f t="shared" si="0"/>
        <v>1099</v>
      </c>
      <c r="W16" s="83"/>
      <c r="X16" s="81"/>
    </row>
    <row r="17" spans="1:24">
      <c r="A17" s="71">
        <v>19</v>
      </c>
      <c r="B17" s="71" t="s">
        <v>43</v>
      </c>
      <c r="C17" s="72"/>
      <c r="D17" s="72"/>
      <c r="E17" s="72"/>
      <c r="F17" s="72"/>
      <c r="G17" s="70"/>
      <c r="H17" s="70"/>
      <c r="I17" s="76"/>
      <c r="J17" s="76"/>
      <c r="K17" s="76"/>
      <c r="L17" s="76"/>
      <c r="M17" s="76"/>
      <c r="N17" s="72"/>
      <c r="O17" s="76"/>
      <c r="P17" s="76"/>
      <c r="Q17" s="76"/>
      <c r="R17" s="76"/>
      <c r="S17" s="76"/>
      <c r="T17" s="76"/>
      <c r="U17" s="76"/>
      <c r="V17" s="84">
        <f t="shared" si="0"/>
        <v>0</v>
      </c>
      <c r="W17" s="85"/>
      <c r="X17" s="81">
        <f>W3-SUM(V3:V16)</f>
        <v>-6655.05</v>
      </c>
    </row>
    <row r="18" customHeight="1" spans="1:24">
      <c r="A18" s="66">
        <v>20</v>
      </c>
      <c r="B18" s="66" t="s">
        <v>44</v>
      </c>
      <c r="C18" s="67"/>
      <c r="D18" s="68"/>
      <c r="E18" s="68"/>
      <c r="F18" s="68"/>
      <c r="G18" s="68"/>
      <c r="H18" s="68"/>
      <c r="I18" s="67">
        <v>1300</v>
      </c>
      <c r="J18" s="67"/>
      <c r="K18" s="67"/>
      <c r="L18" s="67"/>
      <c r="M18" s="67"/>
      <c r="N18" s="67">
        <f>1587+618</f>
        <v>2205</v>
      </c>
      <c r="O18" s="67"/>
      <c r="P18" s="67"/>
      <c r="Q18" s="67"/>
      <c r="R18" s="67"/>
      <c r="S18" s="67"/>
      <c r="T18" s="67"/>
      <c r="U18" s="67"/>
      <c r="V18" s="79">
        <f t="shared" si="0"/>
        <v>3505</v>
      </c>
      <c r="W18" s="80">
        <f>30304+16451</f>
        <v>46755</v>
      </c>
      <c r="X18" s="86"/>
    </row>
    <row r="19" spans="1:24">
      <c r="A19" s="71">
        <v>21</v>
      </c>
      <c r="B19" s="71" t="s">
        <v>45</v>
      </c>
      <c r="C19" s="76"/>
      <c r="D19" s="76"/>
      <c r="E19" s="76">
        <v>2933.48</v>
      </c>
      <c r="F19" s="76"/>
      <c r="G19" s="76">
        <f>3700+435</f>
        <v>4135</v>
      </c>
      <c r="H19" s="76"/>
      <c r="I19" s="76"/>
      <c r="J19" s="76"/>
      <c r="K19" s="76"/>
      <c r="L19" s="76"/>
      <c r="M19" s="76"/>
      <c r="N19" s="76">
        <v>463</v>
      </c>
      <c r="O19" s="76"/>
      <c r="P19" s="76"/>
      <c r="Q19" s="76"/>
      <c r="R19" s="76"/>
      <c r="S19" s="76"/>
      <c r="T19" s="76"/>
      <c r="U19" s="76"/>
      <c r="V19" s="84">
        <f t="shared" si="0"/>
        <v>7531.48</v>
      </c>
      <c r="W19" s="85"/>
      <c r="X19" s="81"/>
    </row>
    <row r="20" spans="1:24">
      <c r="A20" s="69">
        <v>22</v>
      </c>
      <c r="B20" s="69" t="s">
        <v>46</v>
      </c>
      <c r="C20" s="75">
        <f>968+2181</f>
        <v>3149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>
        <v>1300</v>
      </c>
      <c r="Q20" s="75"/>
      <c r="R20" s="75"/>
      <c r="S20" s="75"/>
      <c r="T20" s="75"/>
      <c r="U20" s="75"/>
      <c r="V20" s="82">
        <f t="shared" ref="V20:V30" si="1">SUM(C20:U20)</f>
        <v>4449</v>
      </c>
      <c r="W20" s="83"/>
      <c r="X20" s="81"/>
    </row>
    <row r="21" spans="1:24">
      <c r="A21" s="71">
        <v>23</v>
      </c>
      <c r="B21" s="71" t="s">
        <v>47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84">
        <f t="shared" si="1"/>
        <v>0</v>
      </c>
      <c r="W21" s="85">
        <v>10000</v>
      </c>
      <c r="X21" s="81"/>
    </row>
    <row r="22" spans="1:24">
      <c r="A22" s="69">
        <v>24</v>
      </c>
      <c r="B22" s="69" t="s">
        <v>48</v>
      </c>
      <c r="C22" s="75"/>
      <c r="D22" s="75"/>
      <c r="E22" s="75">
        <v>1583</v>
      </c>
      <c r="F22" s="75">
        <v>939</v>
      </c>
      <c r="G22" s="75"/>
      <c r="H22" s="75"/>
      <c r="I22" s="75"/>
      <c r="J22" s="75"/>
      <c r="K22" s="75"/>
      <c r="L22" s="75"/>
      <c r="M22" s="75"/>
      <c r="N22" s="75">
        <v>515</v>
      </c>
      <c r="O22" s="75"/>
      <c r="P22" s="75"/>
      <c r="Q22" s="75"/>
      <c r="R22" s="75"/>
      <c r="S22" s="75"/>
      <c r="T22" s="75"/>
      <c r="U22" s="75"/>
      <c r="V22" s="82">
        <f t="shared" si="1"/>
        <v>3037</v>
      </c>
      <c r="W22" s="83"/>
      <c r="X22" s="81"/>
    </row>
    <row r="23" spans="1:24">
      <c r="A23" s="71">
        <v>25</v>
      </c>
      <c r="B23" s="71" t="s">
        <v>49</v>
      </c>
      <c r="C23" s="76">
        <v>935</v>
      </c>
      <c r="D23" s="76"/>
      <c r="E23" s="76"/>
      <c r="F23" s="76">
        <f>1118+770</f>
        <v>1888</v>
      </c>
      <c r="G23" s="76"/>
      <c r="H23" s="76"/>
      <c r="I23" s="76"/>
      <c r="J23" s="76"/>
      <c r="K23" s="76"/>
      <c r="L23" s="76"/>
      <c r="M23" s="76"/>
      <c r="N23" s="76">
        <f>360+381</f>
        <v>741</v>
      </c>
      <c r="O23" s="76"/>
      <c r="P23" s="76">
        <v>100</v>
      </c>
      <c r="Q23" s="76"/>
      <c r="R23" s="76"/>
      <c r="S23" s="76">
        <f>100+650</f>
        <v>750</v>
      </c>
      <c r="T23" s="76"/>
      <c r="U23" s="76"/>
      <c r="V23" s="84">
        <f t="shared" si="1"/>
        <v>4414</v>
      </c>
      <c r="W23" s="85"/>
      <c r="X23" s="81"/>
    </row>
    <row r="24" spans="1:24">
      <c r="A24" s="69">
        <v>26</v>
      </c>
      <c r="B24" s="69" t="s">
        <v>43</v>
      </c>
      <c r="C24" s="75"/>
      <c r="D24" s="75"/>
      <c r="E24" s="75">
        <v>611</v>
      </c>
      <c r="F24" s="75"/>
      <c r="G24" s="75"/>
      <c r="H24" s="75"/>
      <c r="I24" s="75"/>
      <c r="J24" s="75"/>
      <c r="K24" s="75"/>
      <c r="L24" s="75"/>
      <c r="M24" s="75"/>
      <c r="N24" s="75">
        <f>400+344</f>
        <v>744</v>
      </c>
      <c r="O24" s="75"/>
      <c r="P24" s="75">
        <v>214</v>
      </c>
      <c r="Q24" s="75"/>
      <c r="R24" s="75"/>
      <c r="S24" s="75"/>
      <c r="T24" s="75"/>
      <c r="U24" s="75"/>
      <c r="V24" s="82">
        <f t="shared" si="1"/>
        <v>1569</v>
      </c>
      <c r="W24" s="83"/>
      <c r="X24" s="81"/>
    </row>
    <row r="25" spans="1:24">
      <c r="A25" s="71">
        <v>27</v>
      </c>
      <c r="B25" s="71" t="s">
        <v>44</v>
      </c>
      <c r="C25" s="76"/>
      <c r="D25" s="76"/>
      <c r="E25" s="76"/>
      <c r="F25" s="76">
        <v>700</v>
      </c>
      <c r="G25" s="76"/>
      <c r="H25" s="76">
        <v>1239.99</v>
      </c>
      <c r="I25" s="76"/>
      <c r="J25" s="76">
        <v>3974.41</v>
      </c>
      <c r="K25" s="76"/>
      <c r="L25" s="76"/>
      <c r="M25" s="76"/>
      <c r="N25" s="76">
        <f>349+254+607+400</f>
        <v>1610</v>
      </c>
      <c r="O25" s="76"/>
      <c r="P25" s="76"/>
      <c r="Q25" s="76"/>
      <c r="R25" s="76"/>
      <c r="S25" s="76"/>
      <c r="T25" s="76"/>
      <c r="U25" s="76">
        <f>1100+1090+350</f>
        <v>2540</v>
      </c>
      <c r="V25" s="84">
        <f t="shared" si="1"/>
        <v>10064.4</v>
      </c>
      <c r="W25" s="85"/>
      <c r="X25" s="81"/>
    </row>
    <row r="26" spans="1:24">
      <c r="A26" s="69">
        <v>28</v>
      </c>
      <c r="B26" s="69" t="s">
        <v>45</v>
      </c>
      <c r="C26" s="75">
        <v>1577.82</v>
      </c>
      <c r="D26" s="75"/>
      <c r="E26" s="75"/>
      <c r="F26" s="75"/>
      <c r="G26" s="75"/>
      <c r="H26" s="75"/>
      <c r="I26" s="75"/>
      <c r="J26" s="75">
        <v>3990.69</v>
      </c>
      <c r="K26" s="75"/>
      <c r="L26" s="75">
        <f>1896+3633</f>
        <v>5529</v>
      </c>
      <c r="M26" s="75"/>
      <c r="N26" s="75">
        <f>233+539</f>
        <v>772</v>
      </c>
      <c r="O26" s="75"/>
      <c r="P26" s="75">
        <v>2400</v>
      </c>
      <c r="Q26" s="75"/>
      <c r="R26" s="75"/>
      <c r="S26" s="75"/>
      <c r="T26" s="75"/>
      <c r="U26" s="75"/>
      <c r="V26" s="82">
        <f t="shared" si="1"/>
        <v>14269.51</v>
      </c>
      <c r="W26" s="83"/>
      <c r="X26" s="81"/>
    </row>
    <row r="27" spans="1:24">
      <c r="A27" s="69">
        <v>1</v>
      </c>
      <c r="B27" s="69" t="s">
        <v>46</v>
      </c>
      <c r="C27" s="75"/>
      <c r="D27" s="75">
        <v>1294</v>
      </c>
      <c r="E27" s="75"/>
      <c r="F27" s="75"/>
      <c r="G27" s="75"/>
      <c r="H27" s="75"/>
      <c r="I27" s="75"/>
      <c r="J27" s="75">
        <v>1711.25</v>
      </c>
      <c r="K27" s="75"/>
      <c r="L27" s="75"/>
      <c r="M27" s="75"/>
      <c r="N27" s="75">
        <v>133</v>
      </c>
      <c r="O27" s="75"/>
      <c r="P27" s="75"/>
      <c r="Q27" s="75"/>
      <c r="R27" s="75"/>
      <c r="S27" s="75">
        <f>414+449</f>
        <v>863</v>
      </c>
      <c r="T27" s="75"/>
      <c r="U27" s="75"/>
      <c r="V27" s="84">
        <f t="shared" si="1"/>
        <v>4001.25</v>
      </c>
      <c r="W27" s="83"/>
      <c r="X27" s="81"/>
    </row>
    <row r="28" spans="1:24">
      <c r="A28" s="69">
        <v>2</v>
      </c>
      <c r="B28" s="69" t="s">
        <v>47</v>
      </c>
      <c r="C28" s="75"/>
      <c r="D28" s="75"/>
      <c r="E28" s="75"/>
      <c r="F28" s="75">
        <f>350+1510</f>
        <v>1860</v>
      </c>
      <c r="G28" s="75"/>
      <c r="H28" s="75"/>
      <c r="I28" s="75"/>
      <c r="J28" s="75"/>
      <c r="K28" s="75"/>
      <c r="L28" s="75"/>
      <c r="M28" s="75"/>
      <c r="N28" s="75">
        <v>277</v>
      </c>
      <c r="O28" s="75"/>
      <c r="P28" s="75"/>
      <c r="Q28" s="75"/>
      <c r="R28" s="75">
        <v>700</v>
      </c>
      <c r="S28" s="75"/>
      <c r="T28" s="75"/>
      <c r="U28" s="75"/>
      <c r="V28" s="82">
        <f t="shared" si="1"/>
        <v>2837</v>
      </c>
      <c r="W28" s="83"/>
      <c r="X28" s="81"/>
    </row>
    <row r="29" spans="1:24">
      <c r="A29" s="69">
        <v>3</v>
      </c>
      <c r="B29" s="69" t="s">
        <v>48</v>
      </c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>
        <v>799</v>
      </c>
      <c r="S29" s="75"/>
      <c r="T29" s="75"/>
      <c r="U29" s="75"/>
      <c r="V29" s="84">
        <f t="shared" si="1"/>
        <v>799</v>
      </c>
      <c r="W29" s="83"/>
      <c r="X29" s="81"/>
    </row>
    <row r="30" spans="1:24">
      <c r="A30" s="69">
        <v>4</v>
      </c>
      <c r="B30" s="69" t="s">
        <v>49</v>
      </c>
      <c r="C30" s="70"/>
      <c r="D30" s="70"/>
      <c r="E30" s="75"/>
      <c r="F30" s="75"/>
      <c r="G30" s="70"/>
      <c r="H30" s="75"/>
      <c r="I30" s="75"/>
      <c r="J30" s="70"/>
      <c r="K30" s="75"/>
      <c r="L30" s="75"/>
      <c r="M30" s="75"/>
      <c r="N30" s="70"/>
      <c r="O30" s="75"/>
      <c r="P30" s="75"/>
      <c r="Q30" s="75"/>
      <c r="R30" s="70"/>
      <c r="S30" s="70"/>
      <c r="T30" s="75"/>
      <c r="U30" s="75"/>
      <c r="V30" s="82">
        <f t="shared" si="1"/>
        <v>0</v>
      </c>
      <c r="W30" s="83"/>
      <c r="X30" s="81">
        <f>W18+W21-SUM(V18:V30)</f>
        <v>278.360000000001</v>
      </c>
    </row>
    <row r="31" spans="1:24">
      <c r="A31" s="77" t="s">
        <v>19</v>
      </c>
      <c r="B31" s="77"/>
      <c r="C31" s="78">
        <f>SUM(C3:C30)</f>
        <v>19992.27</v>
      </c>
      <c r="D31" s="78">
        <f t="shared" ref="D31:U31" si="2">SUM(D3:D30)</f>
        <v>12488</v>
      </c>
      <c r="E31" s="78">
        <f t="shared" si="2"/>
        <v>5127.48</v>
      </c>
      <c r="F31" s="78">
        <f t="shared" si="2"/>
        <v>5387</v>
      </c>
      <c r="G31" s="78">
        <f t="shared" si="2"/>
        <v>8545</v>
      </c>
      <c r="H31" s="78">
        <f t="shared" si="2"/>
        <v>1239.99</v>
      </c>
      <c r="I31" s="78">
        <f t="shared" si="2"/>
        <v>2140</v>
      </c>
      <c r="J31" s="78">
        <f t="shared" si="2"/>
        <v>10126.35</v>
      </c>
      <c r="K31" s="78">
        <f t="shared" si="2"/>
        <v>0</v>
      </c>
      <c r="L31" s="78">
        <f t="shared" si="2"/>
        <v>5529</v>
      </c>
      <c r="M31" s="78">
        <f t="shared" si="2"/>
        <v>0</v>
      </c>
      <c r="N31" s="78">
        <f t="shared" si="2"/>
        <v>10621</v>
      </c>
      <c r="O31" s="78">
        <f t="shared" si="2"/>
        <v>0</v>
      </c>
      <c r="P31" s="78">
        <f t="shared" si="2"/>
        <v>9051</v>
      </c>
      <c r="Q31" s="78">
        <f t="shared" si="2"/>
        <v>14418</v>
      </c>
      <c r="R31" s="78">
        <f t="shared" si="2"/>
        <v>1998</v>
      </c>
      <c r="S31" s="78">
        <f t="shared" si="2"/>
        <v>7668</v>
      </c>
      <c r="T31" s="78">
        <f t="shared" si="2"/>
        <v>0</v>
      </c>
      <c r="U31" s="78">
        <f t="shared" si="2"/>
        <v>2540</v>
      </c>
      <c r="V31" s="78">
        <f t="shared" ref="V31:W31" si="3">SUM(V3:V26)</f>
        <v>109233.84</v>
      </c>
      <c r="W31" s="78">
        <f t="shared" si="3"/>
        <v>110494.4</v>
      </c>
      <c r="X31" s="87">
        <f>W31-V31</f>
        <v>1260.56000000001</v>
      </c>
    </row>
    <row r="35" spans="2:10">
      <c r="B35" s="14"/>
      <c r="C35" s="14"/>
      <c r="D35" s="14"/>
      <c r="E35" s="14"/>
      <c r="F35" s="14"/>
      <c r="G35" s="14"/>
      <c r="H35" s="14"/>
      <c r="I35" s="14"/>
      <c r="J35" s="14"/>
    </row>
  </sheetData>
  <mergeCells count="2">
    <mergeCell ref="A1:X1"/>
    <mergeCell ref="A31:B31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6"/>
  <sheetViews>
    <sheetView zoomScale="86" zoomScaleNormal="86" workbookViewId="0">
      <pane xSplit="2" ySplit="32" topLeftCell="E33" activePane="bottomRight" state="frozen"/>
      <selection/>
      <selection pane="topRight"/>
      <selection pane="bottomLeft"/>
      <selection pane="bottomRight" activeCell="S19" sqref="S19"/>
    </sheetView>
  </sheetViews>
  <sheetFormatPr defaultColWidth="9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24">
      <c r="A1" s="36" t="s">
        <v>50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</row>
    <row r="2" ht="45" customHeight="1" spans="1:46">
      <c r="A2" s="37" t="s">
        <v>21</v>
      </c>
      <c r="B2" s="37" t="s">
        <v>22</v>
      </c>
      <c r="C2" s="37" t="s">
        <v>23</v>
      </c>
      <c r="D2" s="37" t="s">
        <v>25</v>
      </c>
      <c r="E2" s="37" t="s">
        <v>24</v>
      </c>
      <c r="F2" s="37" t="s">
        <v>51</v>
      </c>
      <c r="G2" s="37" t="s">
        <v>27</v>
      </c>
      <c r="H2" s="37" t="s">
        <v>28</v>
      </c>
      <c r="I2" s="37" t="s">
        <v>29</v>
      </c>
      <c r="J2" s="37" t="s">
        <v>30</v>
      </c>
      <c r="K2" s="37" t="s">
        <v>31</v>
      </c>
      <c r="L2" s="37" t="s">
        <v>32</v>
      </c>
      <c r="M2" s="37" t="s">
        <v>33</v>
      </c>
      <c r="N2" s="37" t="s">
        <v>34</v>
      </c>
      <c r="O2" s="37" t="s">
        <v>35</v>
      </c>
      <c r="P2" s="37" t="s">
        <v>36</v>
      </c>
      <c r="Q2" s="37" t="s">
        <v>37</v>
      </c>
      <c r="R2" s="37" t="s">
        <v>38</v>
      </c>
      <c r="S2" s="37" t="s">
        <v>39</v>
      </c>
      <c r="T2" s="37" t="s">
        <v>39</v>
      </c>
      <c r="U2" s="37" t="s">
        <v>40</v>
      </c>
      <c r="V2" s="37" t="s">
        <v>41</v>
      </c>
      <c r="W2" s="37" t="s">
        <v>42</v>
      </c>
      <c r="X2" s="37" t="s">
        <v>5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</row>
    <row r="3" spans="1:24">
      <c r="A3" s="38">
        <v>5</v>
      </c>
      <c r="B3" s="38" t="s">
        <v>43</v>
      </c>
      <c r="C3" s="39">
        <f>2497.35+200</f>
        <v>2697.35</v>
      </c>
      <c r="D3" s="39"/>
      <c r="E3" s="39"/>
      <c r="F3" s="39"/>
      <c r="G3" s="39"/>
      <c r="H3" s="39"/>
      <c r="I3" s="39"/>
      <c r="J3" s="39"/>
      <c r="K3" s="39"/>
      <c r="L3" s="39"/>
      <c r="M3" s="39"/>
      <c r="N3" s="39">
        <v>312</v>
      </c>
      <c r="O3" s="39"/>
      <c r="P3" s="39"/>
      <c r="Q3" s="39"/>
      <c r="R3" s="39">
        <v>990</v>
      </c>
      <c r="S3" s="39"/>
      <c r="T3" s="39"/>
      <c r="U3" s="39"/>
      <c r="V3" s="39">
        <f>SUM(C3:U3)</f>
        <v>3999.35</v>
      </c>
      <c r="W3" s="47">
        <v>43724</v>
      </c>
      <c r="X3" s="51"/>
    </row>
    <row r="4" spans="1:24">
      <c r="A4" s="54">
        <v>6</v>
      </c>
      <c r="B4" s="54" t="s">
        <v>44</v>
      </c>
      <c r="C4" s="55"/>
      <c r="D4" s="55"/>
      <c r="E4" s="55"/>
      <c r="F4" s="55">
        <v>1610</v>
      </c>
      <c r="G4" s="55"/>
      <c r="H4" s="55"/>
      <c r="I4" s="55"/>
      <c r="J4" s="55"/>
      <c r="K4" s="55"/>
      <c r="L4" s="55"/>
      <c r="M4" s="55"/>
      <c r="N4" s="55">
        <f>387+364</f>
        <v>751</v>
      </c>
      <c r="O4" s="55"/>
      <c r="P4" s="55"/>
      <c r="Q4" s="55"/>
      <c r="R4" s="55">
        <v>199</v>
      </c>
      <c r="S4" s="55">
        <f>2411.96/2+116.97+2148/2+729</f>
        <v>3125.95</v>
      </c>
      <c r="T4" s="55">
        <v>6000</v>
      </c>
      <c r="U4" s="55"/>
      <c r="V4" s="55">
        <f t="shared" ref="V4:V31" si="0">SUM(C4:U4)</f>
        <v>11685.95</v>
      </c>
      <c r="W4" s="59"/>
      <c r="X4" s="60"/>
    </row>
    <row r="5" spans="1:24">
      <c r="A5" s="54">
        <v>7</v>
      </c>
      <c r="B5" s="54" t="s">
        <v>45</v>
      </c>
      <c r="C5" s="55"/>
      <c r="D5" s="55"/>
      <c r="E5" s="55"/>
      <c r="F5" s="55"/>
      <c r="G5" s="55">
        <f>3080+328</f>
        <v>3408</v>
      </c>
      <c r="H5" s="55"/>
      <c r="I5" s="55"/>
      <c r="J5" s="55"/>
      <c r="K5" s="55"/>
      <c r="L5" s="55"/>
      <c r="M5" s="55"/>
      <c r="N5" s="55">
        <v>268</v>
      </c>
      <c r="O5" s="55"/>
      <c r="P5" s="55">
        <v>8428</v>
      </c>
      <c r="Q5" s="55"/>
      <c r="R5" s="55">
        <f>255+547</f>
        <v>802</v>
      </c>
      <c r="S5" s="55"/>
      <c r="T5" s="55"/>
      <c r="U5" s="55"/>
      <c r="V5" s="55">
        <f t="shared" si="0"/>
        <v>12906</v>
      </c>
      <c r="W5" s="59"/>
      <c r="X5" s="60"/>
    </row>
    <row r="6" spans="1:24">
      <c r="A6" s="54">
        <v>8</v>
      </c>
      <c r="B6" s="54" t="s">
        <v>46</v>
      </c>
      <c r="C6" s="55">
        <f>284+995</f>
        <v>1279</v>
      </c>
      <c r="D6" s="55"/>
      <c r="E6" s="55"/>
      <c r="F6" s="55"/>
      <c r="G6" s="55"/>
      <c r="H6" s="55">
        <v>1117</v>
      </c>
      <c r="I6" s="55"/>
      <c r="J6" s="55"/>
      <c r="K6" s="55"/>
      <c r="L6" s="55"/>
      <c r="M6" s="55"/>
      <c r="N6" s="55">
        <v>400</v>
      </c>
      <c r="O6" s="55"/>
      <c r="P6" s="55">
        <v>1330</v>
      </c>
      <c r="Q6" s="55"/>
      <c r="R6" s="55"/>
      <c r="S6" s="55"/>
      <c r="T6" s="55"/>
      <c r="U6" s="55"/>
      <c r="V6" s="55">
        <f t="shared" si="0"/>
        <v>4126</v>
      </c>
      <c r="W6" s="59"/>
      <c r="X6" s="60"/>
    </row>
    <row r="7" spans="1:24">
      <c r="A7" s="54">
        <v>9</v>
      </c>
      <c r="B7" s="54" t="s">
        <v>47</v>
      </c>
      <c r="C7" s="55">
        <v>769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>
        <f t="shared" si="0"/>
        <v>769</v>
      </c>
      <c r="W7" s="59"/>
      <c r="X7" s="60"/>
    </row>
    <row r="8" spans="1:24">
      <c r="A8" s="54">
        <v>10</v>
      </c>
      <c r="B8" s="54" t="s">
        <v>48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>
        <v>302</v>
      </c>
      <c r="P8" s="55"/>
      <c r="Q8" s="55"/>
      <c r="R8" s="55"/>
      <c r="S8" s="55"/>
      <c r="T8" s="55"/>
      <c r="U8" s="55"/>
      <c r="V8" s="55">
        <f t="shared" si="0"/>
        <v>302</v>
      </c>
      <c r="W8" s="59"/>
      <c r="X8" s="60"/>
    </row>
    <row r="9" spans="1:24">
      <c r="A9" s="54">
        <v>11</v>
      </c>
      <c r="B9" s="54" t="s">
        <v>49</v>
      </c>
      <c r="C9" s="55"/>
      <c r="D9" s="55">
        <v>1191</v>
      </c>
      <c r="E9" s="55"/>
      <c r="F9" s="55">
        <f>1070+109</f>
        <v>1179</v>
      </c>
      <c r="G9" s="55"/>
      <c r="H9" s="55"/>
      <c r="I9" s="55"/>
      <c r="J9" s="55"/>
      <c r="K9" s="55"/>
      <c r="L9" s="55"/>
      <c r="M9" s="55"/>
      <c r="N9" s="55">
        <v>400</v>
      </c>
      <c r="O9" s="55">
        <v>277</v>
      </c>
      <c r="P9" s="55"/>
      <c r="Q9" s="55"/>
      <c r="R9" s="55"/>
      <c r="S9" s="55"/>
      <c r="T9" s="55"/>
      <c r="U9" s="55"/>
      <c r="V9" s="55">
        <f t="shared" si="0"/>
        <v>3047</v>
      </c>
      <c r="W9" s="59"/>
      <c r="X9" s="60"/>
    </row>
    <row r="10" spans="1:24">
      <c r="A10" s="54">
        <v>12</v>
      </c>
      <c r="B10" s="54" t="s">
        <v>43</v>
      </c>
      <c r="C10" s="55"/>
      <c r="D10" s="55"/>
      <c r="E10" s="55"/>
      <c r="F10" s="55">
        <f>420+700</f>
        <v>1120</v>
      </c>
      <c r="G10" s="55">
        <f>1421+331</f>
        <v>1752</v>
      </c>
      <c r="H10" s="55"/>
      <c r="I10" s="55"/>
      <c r="J10" s="55"/>
      <c r="K10" s="55"/>
      <c r="L10" s="55"/>
      <c r="M10" s="55"/>
      <c r="N10" s="55">
        <v>294</v>
      </c>
      <c r="O10" s="55"/>
      <c r="P10" s="55"/>
      <c r="Q10" s="55"/>
      <c r="R10" s="55"/>
      <c r="S10" s="55">
        <f>387+864</f>
        <v>1251</v>
      </c>
      <c r="T10" s="55"/>
      <c r="U10" s="55"/>
      <c r="V10" s="55">
        <f t="shared" si="0"/>
        <v>4417</v>
      </c>
      <c r="W10" s="59"/>
      <c r="X10" s="60"/>
    </row>
    <row r="11" spans="1:24">
      <c r="A11" s="56">
        <v>13</v>
      </c>
      <c r="B11" s="56" t="s">
        <v>44</v>
      </c>
      <c r="C11" s="57"/>
      <c r="D11" s="57"/>
      <c r="E11" s="57"/>
      <c r="F11" s="57">
        <f>1070+60</f>
        <v>1130</v>
      </c>
      <c r="G11" s="57"/>
      <c r="H11" s="57"/>
      <c r="I11" s="57"/>
      <c r="J11" s="57"/>
      <c r="K11" s="57"/>
      <c r="L11" s="57"/>
      <c r="M11" s="57"/>
      <c r="N11" s="57">
        <f>251+328+262</f>
        <v>841</v>
      </c>
      <c r="O11" s="57"/>
      <c r="P11" s="57"/>
      <c r="Q11" s="57"/>
      <c r="R11" s="57"/>
      <c r="S11" s="57"/>
      <c r="T11" s="57"/>
      <c r="U11" s="57"/>
      <c r="V11" s="57">
        <f t="shared" si="0"/>
        <v>1971</v>
      </c>
      <c r="W11" s="61"/>
      <c r="X11" s="62"/>
    </row>
    <row r="12" spans="1:24">
      <c r="A12" s="54">
        <v>14</v>
      </c>
      <c r="B12" s="54" t="s">
        <v>45</v>
      </c>
      <c r="C12" s="55"/>
      <c r="D12" s="55"/>
      <c r="E12" s="55"/>
      <c r="F12" s="55"/>
      <c r="G12" s="57">
        <v>3605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>
        <f t="shared" si="0"/>
        <v>3605</v>
      </c>
      <c r="W12" s="59"/>
      <c r="X12" s="60"/>
    </row>
    <row r="13" spans="1:24">
      <c r="A13" s="54">
        <v>15</v>
      </c>
      <c r="B13" s="54" t="s">
        <v>46</v>
      </c>
      <c r="C13" s="57">
        <f>318+2115</f>
        <v>2433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>
        <f t="shared" si="0"/>
        <v>2433</v>
      </c>
      <c r="W13" s="59"/>
      <c r="X13" s="60"/>
    </row>
    <row r="14" spans="1:24">
      <c r="A14" s="54">
        <v>16</v>
      </c>
      <c r="B14" s="54" t="s">
        <v>47</v>
      </c>
      <c r="C14" s="55"/>
      <c r="D14" s="55"/>
      <c r="E14" s="55"/>
      <c r="F14" s="57">
        <f>350</f>
        <v>350</v>
      </c>
      <c r="G14" s="55"/>
      <c r="H14" s="55"/>
      <c r="I14" s="55"/>
      <c r="J14" s="55"/>
      <c r="K14" s="55"/>
      <c r="L14" s="55"/>
      <c r="M14" s="55"/>
      <c r="N14" s="55"/>
      <c r="O14" s="57">
        <v>291</v>
      </c>
      <c r="P14" s="55"/>
      <c r="Q14" s="55"/>
      <c r="R14" s="55"/>
      <c r="S14" s="55"/>
      <c r="T14" s="55"/>
      <c r="U14" s="55"/>
      <c r="V14" s="55">
        <f t="shared" si="0"/>
        <v>641</v>
      </c>
      <c r="W14" s="59"/>
      <c r="X14" s="60"/>
    </row>
    <row r="15" spans="1:24">
      <c r="A15" s="54">
        <v>17</v>
      </c>
      <c r="B15" s="54" t="s">
        <v>48</v>
      </c>
      <c r="C15" s="55"/>
      <c r="D15" s="55"/>
      <c r="E15" s="55"/>
      <c r="F15" s="57">
        <v>350</v>
      </c>
      <c r="G15" s="55"/>
      <c r="H15" s="55"/>
      <c r="I15" s="55"/>
      <c r="J15" s="55"/>
      <c r="K15" s="55"/>
      <c r="L15" s="55"/>
      <c r="M15" s="55"/>
      <c r="N15" s="55"/>
      <c r="O15" s="57">
        <v>1000</v>
      </c>
      <c r="P15" s="55"/>
      <c r="Q15" s="55"/>
      <c r="R15" s="55"/>
      <c r="S15" s="55"/>
      <c r="T15" s="55"/>
      <c r="U15" s="55"/>
      <c r="V15" s="55">
        <f t="shared" si="0"/>
        <v>1350</v>
      </c>
      <c r="W15" s="59"/>
      <c r="X15" s="60"/>
    </row>
    <row r="16" spans="1:24">
      <c r="A16" s="54">
        <v>18</v>
      </c>
      <c r="B16" s="54" t="s">
        <v>49</v>
      </c>
      <c r="C16" s="55"/>
      <c r="D16" s="55"/>
      <c r="E16" s="55"/>
      <c r="F16" s="57">
        <f>1080+109+350</f>
        <v>1539</v>
      </c>
      <c r="G16" s="55"/>
      <c r="H16" s="55"/>
      <c r="I16" s="55"/>
      <c r="J16" s="55"/>
      <c r="K16" s="55"/>
      <c r="L16" s="55"/>
      <c r="M16" s="55"/>
      <c r="N16" s="57">
        <v>400</v>
      </c>
      <c r="O16" s="55"/>
      <c r="P16" s="55"/>
      <c r="Q16" s="55"/>
      <c r="R16" s="55"/>
      <c r="S16" s="55"/>
      <c r="T16" s="55"/>
      <c r="U16" s="55"/>
      <c r="V16" s="55">
        <f t="shared" si="0"/>
        <v>1939</v>
      </c>
      <c r="W16" s="59"/>
      <c r="X16" s="60"/>
    </row>
    <row r="17" spans="1:24">
      <c r="A17" s="54">
        <v>19</v>
      </c>
      <c r="B17" s="54" t="s">
        <v>43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7">
        <f>159+358</f>
        <v>517</v>
      </c>
      <c r="O17" s="55"/>
      <c r="P17" s="55"/>
      <c r="Q17" s="55"/>
      <c r="R17" s="55"/>
      <c r="S17" s="55"/>
      <c r="T17" s="55"/>
      <c r="U17" s="55"/>
      <c r="V17" s="55">
        <f t="shared" si="0"/>
        <v>517</v>
      </c>
      <c r="W17" s="59"/>
      <c r="X17" s="60"/>
    </row>
    <row r="18" spans="1:24">
      <c r="A18" s="38">
        <v>20</v>
      </c>
      <c r="B18" s="38" t="s">
        <v>44</v>
      </c>
      <c r="C18" s="39">
        <f>220+2225+135</f>
        <v>2580</v>
      </c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>
        <v>499</v>
      </c>
      <c r="S18" s="39">
        <v>130</v>
      </c>
      <c r="T18" s="39"/>
      <c r="U18" s="39"/>
      <c r="V18" s="39">
        <f t="shared" si="0"/>
        <v>3209</v>
      </c>
      <c r="W18" s="47">
        <v>24676</v>
      </c>
      <c r="X18" s="51"/>
    </row>
    <row r="19" spans="1:24">
      <c r="A19" s="54">
        <v>21</v>
      </c>
      <c r="B19" s="54" t="s">
        <v>45</v>
      </c>
      <c r="C19" s="55">
        <f>780+65</f>
        <v>845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>
        <f>570+120</f>
        <v>690</v>
      </c>
      <c r="S19" s="55">
        <v>4661</v>
      </c>
      <c r="T19" s="55">
        <v>1200</v>
      </c>
      <c r="U19" s="55"/>
      <c r="V19" s="55">
        <f t="shared" si="0"/>
        <v>7396</v>
      </c>
      <c r="W19" s="59"/>
      <c r="X19" s="60"/>
    </row>
    <row r="20" spans="1:24">
      <c r="A20" s="54">
        <v>22</v>
      </c>
      <c r="B20" s="54" t="s">
        <v>46</v>
      </c>
      <c r="C20" s="55">
        <f>5500-2600</f>
        <v>2900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>
        <v>2600</v>
      </c>
      <c r="T20" s="55">
        <v>600</v>
      </c>
      <c r="U20" s="55"/>
      <c r="V20" s="55">
        <f t="shared" si="0"/>
        <v>6100</v>
      </c>
      <c r="W20" s="59"/>
      <c r="X20" s="60"/>
    </row>
    <row r="21" spans="1:24">
      <c r="A21" s="54">
        <v>23</v>
      </c>
      <c r="B21" s="54" t="s">
        <v>47</v>
      </c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>
        <v>311</v>
      </c>
      <c r="P21" s="55"/>
      <c r="Q21" s="55"/>
      <c r="R21" s="55"/>
      <c r="S21" s="55"/>
      <c r="T21" s="55"/>
      <c r="U21" s="55"/>
      <c r="V21" s="55">
        <f t="shared" si="0"/>
        <v>311</v>
      </c>
      <c r="W21" s="59"/>
      <c r="X21" s="60"/>
    </row>
    <row r="22" spans="1:24">
      <c r="A22" s="54">
        <v>24</v>
      </c>
      <c r="B22" s="54" t="s">
        <v>48</v>
      </c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>
        <v>295</v>
      </c>
      <c r="P22" s="55"/>
      <c r="Q22" s="55"/>
      <c r="R22" s="55"/>
      <c r="S22" s="55">
        <v>900</v>
      </c>
      <c r="T22" s="55"/>
      <c r="U22" s="55"/>
      <c r="V22" s="55">
        <f t="shared" si="0"/>
        <v>1195</v>
      </c>
      <c r="W22" s="59"/>
      <c r="X22" s="60"/>
    </row>
    <row r="23" spans="1:24">
      <c r="A23" s="54">
        <v>25</v>
      </c>
      <c r="B23" s="54" t="s">
        <v>49</v>
      </c>
      <c r="C23" s="55">
        <f>633</f>
        <v>633</v>
      </c>
      <c r="D23" s="55"/>
      <c r="E23" s="55"/>
      <c r="F23" s="55">
        <f>392+352</f>
        <v>744</v>
      </c>
      <c r="G23" s="55"/>
      <c r="H23" s="55"/>
      <c r="I23" s="55"/>
      <c r="J23" s="55"/>
      <c r="K23" s="55"/>
      <c r="L23" s="55"/>
      <c r="M23" s="55"/>
      <c r="N23" s="55">
        <f>204+188+400</f>
        <v>792</v>
      </c>
      <c r="O23" s="55"/>
      <c r="P23" s="55"/>
      <c r="Q23" s="55"/>
      <c r="R23" s="55"/>
      <c r="S23" s="55"/>
      <c r="T23" s="55"/>
      <c r="U23" s="55"/>
      <c r="V23" s="55">
        <f t="shared" si="0"/>
        <v>2169</v>
      </c>
      <c r="W23" s="59"/>
      <c r="X23" s="60"/>
    </row>
    <row r="24" spans="1:24">
      <c r="A24" s="54">
        <v>26</v>
      </c>
      <c r="B24" s="54" t="s">
        <v>43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>
        <f t="shared" si="0"/>
        <v>0</v>
      </c>
      <c r="W24" s="59"/>
      <c r="X24" s="60"/>
    </row>
    <row r="25" spans="1:24">
      <c r="A25" s="54">
        <v>27</v>
      </c>
      <c r="B25" s="54" t="s">
        <v>44</v>
      </c>
      <c r="C25" s="55">
        <v>1104</v>
      </c>
      <c r="D25" s="55">
        <v>856</v>
      </c>
      <c r="E25" s="55"/>
      <c r="F25" s="55"/>
      <c r="G25" s="55"/>
      <c r="H25" s="55"/>
      <c r="I25" s="55"/>
      <c r="J25" s="55"/>
      <c r="K25" s="55"/>
      <c r="L25" s="55"/>
      <c r="M25" s="55"/>
      <c r="N25" s="55">
        <f>201+182</f>
        <v>383</v>
      </c>
      <c r="O25" s="55"/>
      <c r="P25" s="55"/>
      <c r="Q25" s="55"/>
      <c r="R25" s="55"/>
      <c r="S25" s="55"/>
      <c r="T25" s="55"/>
      <c r="U25" s="55"/>
      <c r="V25" s="55">
        <f t="shared" si="0"/>
        <v>2343</v>
      </c>
      <c r="W25" s="59"/>
      <c r="X25" s="60"/>
    </row>
    <row r="26" spans="1:24">
      <c r="A26" s="54">
        <v>28</v>
      </c>
      <c r="B26" s="54" t="s">
        <v>45</v>
      </c>
      <c r="C26" s="55"/>
      <c r="D26" s="55">
        <v>1067</v>
      </c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>
        <v>132</v>
      </c>
      <c r="T26" s="55"/>
      <c r="U26" s="55"/>
      <c r="V26" s="55">
        <f t="shared" si="0"/>
        <v>1199</v>
      </c>
      <c r="W26" s="59"/>
      <c r="X26" s="60"/>
    </row>
    <row r="27" spans="1:24">
      <c r="A27" s="54">
        <v>29</v>
      </c>
      <c r="B27" s="54" t="s">
        <v>46</v>
      </c>
      <c r="C27" s="57">
        <f>735+868</f>
        <v>1603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>
        <f>322+198</f>
        <v>520</v>
      </c>
      <c r="O27" s="55"/>
      <c r="P27" s="55"/>
      <c r="Q27" s="55"/>
      <c r="R27" s="55"/>
      <c r="S27" s="55"/>
      <c r="T27" s="55"/>
      <c r="U27" s="55"/>
      <c r="V27" s="55">
        <f t="shared" si="0"/>
        <v>2123</v>
      </c>
      <c r="W27" s="59"/>
      <c r="X27" s="60"/>
    </row>
    <row r="28" spans="1:24">
      <c r="A28" s="54">
        <v>30</v>
      </c>
      <c r="B28" s="54" t="s">
        <v>47</v>
      </c>
      <c r="C28" s="55"/>
      <c r="D28" s="55"/>
      <c r="E28" s="55"/>
      <c r="F28" s="57">
        <f>350</f>
        <v>350</v>
      </c>
      <c r="G28" s="55"/>
      <c r="H28" s="55"/>
      <c r="I28" s="55"/>
      <c r="J28" s="55"/>
      <c r="K28" s="55"/>
      <c r="L28" s="55"/>
      <c r="M28" s="55"/>
      <c r="N28" s="57">
        <v>228</v>
      </c>
      <c r="O28" s="55"/>
      <c r="P28" s="55"/>
      <c r="Q28" s="55"/>
      <c r="R28" s="55"/>
      <c r="S28" s="55"/>
      <c r="T28" s="55"/>
      <c r="U28" s="55"/>
      <c r="V28" s="55">
        <f t="shared" si="0"/>
        <v>578</v>
      </c>
      <c r="W28" s="59"/>
      <c r="X28" s="60"/>
    </row>
    <row r="29" spans="1:24">
      <c r="A29" s="54">
        <v>31</v>
      </c>
      <c r="B29" s="54" t="s">
        <v>48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>
        <f t="shared" si="0"/>
        <v>0</v>
      </c>
      <c r="W29" s="59"/>
      <c r="X29" s="60"/>
    </row>
    <row r="30" spans="1:24">
      <c r="A30" s="54">
        <v>1</v>
      </c>
      <c r="B30" s="54" t="s">
        <v>49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>
        <f t="shared" si="0"/>
        <v>0</v>
      </c>
      <c r="W30" s="59"/>
      <c r="X30" s="60"/>
    </row>
    <row r="31" spans="1:24">
      <c r="A31" s="54">
        <v>2</v>
      </c>
      <c r="B31" s="54" t="s">
        <v>43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>
        <f t="shared" si="0"/>
        <v>0</v>
      </c>
      <c r="W31" s="59"/>
      <c r="X31" s="60"/>
    </row>
    <row r="32" spans="1:24">
      <c r="A32" s="58" t="s">
        <v>19</v>
      </c>
      <c r="B32" s="58"/>
      <c r="C32" s="59">
        <f>SUM(C3:C31)</f>
        <v>16843.35</v>
      </c>
      <c r="D32" s="59">
        <f t="shared" ref="D32:V32" si="1">SUM(D3:D31)</f>
        <v>3114</v>
      </c>
      <c r="E32" s="59">
        <f t="shared" si="1"/>
        <v>0</v>
      </c>
      <c r="F32" s="59">
        <f t="shared" si="1"/>
        <v>8372</v>
      </c>
      <c r="G32" s="59">
        <f t="shared" si="1"/>
        <v>8765</v>
      </c>
      <c r="H32" s="59">
        <f t="shared" si="1"/>
        <v>1117</v>
      </c>
      <c r="I32" s="59">
        <f t="shared" si="1"/>
        <v>0</v>
      </c>
      <c r="J32" s="59">
        <f t="shared" si="1"/>
        <v>0</v>
      </c>
      <c r="K32" s="59">
        <f t="shared" si="1"/>
        <v>0</v>
      </c>
      <c r="L32" s="59">
        <f t="shared" si="1"/>
        <v>0</v>
      </c>
      <c r="M32" s="59">
        <f t="shared" si="1"/>
        <v>0</v>
      </c>
      <c r="N32" s="59">
        <f t="shared" si="1"/>
        <v>6106</v>
      </c>
      <c r="O32" s="59">
        <f t="shared" si="1"/>
        <v>2476</v>
      </c>
      <c r="P32" s="59">
        <f t="shared" si="1"/>
        <v>9758</v>
      </c>
      <c r="Q32" s="59">
        <f t="shared" si="1"/>
        <v>0</v>
      </c>
      <c r="R32" s="59">
        <f t="shared" si="1"/>
        <v>3180</v>
      </c>
      <c r="S32" s="59">
        <f t="shared" si="1"/>
        <v>12799.95</v>
      </c>
      <c r="T32" s="59">
        <f t="shared" si="1"/>
        <v>7800</v>
      </c>
      <c r="U32" s="59">
        <f t="shared" si="1"/>
        <v>0</v>
      </c>
      <c r="V32" s="63">
        <f t="shared" si="1"/>
        <v>80331.3</v>
      </c>
      <c r="W32" s="59">
        <f>SUM(W3:W29)</f>
        <v>68400</v>
      </c>
      <c r="X32" s="60">
        <f>W32-V32</f>
        <v>-11931.3</v>
      </c>
    </row>
    <row r="36" spans="2:10">
      <c r="B36" s="14"/>
      <c r="C36" s="14"/>
      <c r="D36" s="14"/>
      <c r="E36" s="14"/>
      <c r="F36" s="14"/>
      <c r="G36" s="14"/>
      <c r="H36" s="14"/>
      <c r="I36" s="14"/>
      <c r="J36" s="14"/>
    </row>
  </sheetData>
  <mergeCells count="2">
    <mergeCell ref="A1:X1"/>
    <mergeCell ref="A32:B32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1"/>
  <sheetViews>
    <sheetView zoomScale="85" zoomScaleNormal="85" workbookViewId="0">
      <pane xSplit="2" ySplit="37" topLeftCell="P38" activePane="bottomRight" state="frozen"/>
      <selection/>
      <selection pane="topRight"/>
      <selection pane="bottomLeft"/>
      <selection pane="bottomRight" activeCell="X30" sqref="X30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25">
      <c r="A1" s="36" t="s">
        <v>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ht="45" customHeight="1" spans="1:47">
      <c r="A2" s="37" t="s">
        <v>21</v>
      </c>
      <c r="B2" s="37" t="s">
        <v>22</v>
      </c>
      <c r="C2" s="37" t="s">
        <v>23</v>
      </c>
      <c r="D2" s="37" t="s">
        <v>25</v>
      </c>
      <c r="E2" s="37" t="s">
        <v>24</v>
      </c>
      <c r="F2" s="37" t="s">
        <v>51</v>
      </c>
      <c r="G2" s="37" t="s">
        <v>53</v>
      </c>
      <c r="H2" s="37" t="s">
        <v>27</v>
      </c>
      <c r="I2" s="37" t="s">
        <v>28</v>
      </c>
      <c r="J2" s="37" t="s">
        <v>29</v>
      </c>
      <c r="K2" s="37" t="s">
        <v>30</v>
      </c>
      <c r="L2" s="37" t="s">
        <v>31</v>
      </c>
      <c r="M2" s="37" t="s">
        <v>32</v>
      </c>
      <c r="N2" s="37" t="s">
        <v>33</v>
      </c>
      <c r="O2" s="37" t="s">
        <v>34</v>
      </c>
      <c r="P2" s="37" t="s">
        <v>35</v>
      </c>
      <c r="Q2" s="37" t="s">
        <v>36</v>
      </c>
      <c r="R2" s="37" t="s">
        <v>37</v>
      </c>
      <c r="S2" s="37" t="s">
        <v>38</v>
      </c>
      <c r="T2" s="37" t="s">
        <v>39</v>
      </c>
      <c r="U2" s="37" t="s">
        <v>39</v>
      </c>
      <c r="V2" s="37" t="s">
        <v>40</v>
      </c>
      <c r="W2" s="37" t="s">
        <v>41</v>
      </c>
      <c r="X2" s="37" t="s">
        <v>42</v>
      </c>
      <c r="Y2" s="37" t="s">
        <v>5</v>
      </c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</row>
    <row r="3" spans="1:25">
      <c r="A3" s="38">
        <v>3</v>
      </c>
      <c r="B3" s="38" t="s">
        <v>44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>
        <f>22000+3500</f>
        <v>25500</v>
      </c>
      <c r="R3" s="39"/>
      <c r="S3" s="39">
        <f>4660+702+799</f>
        <v>6161</v>
      </c>
      <c r="T3" s="39">
        <v>7000</v>
      </c>
      <c r="U3" s="39">
        <v>750</v>
      </c>
      <c r="V3" s="39"/>
      <c r="W3" s="39">
        <f>SUM(C3:V3)</f>
        <v>39411</v>
      </c>
      <c r="X3" s="47">
        <v>100688</v>
      </c>
      <c r="Y3" s="51"/>
    </row>
    <row r="4" spans="1:25">
      <c r="A4" s="40">
        <v>4</v>
      </c>
      <c r="B4" s="40" t="s">
        <v>45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5" si="0">SUM(C4:V4)</f>
        <v>22822.22</v>
      </c>
      <c r="X4" s="48"/>
      <c r="Y4" s="52"/>
    </row>
    <row r="5" spans="1:25">
      <c r="A5" s="40">
        <v>5</v>
      </c>
      <c r="B5" s="40" t="s">
        <v>46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8"/>
      <c r="Y5" s="52"/>
    </row>
    <row r="6" spans="1:25">
      <c r="A6" s="40">
        <v>6</v>
      </c>
      <c r="B6" s="40" t="s">
        <v>47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8"/>
      <c r="Y6" s="52"/>
    </row>
    <row r="7" spans="1:25">
      <c r="A7" s="40">
        <v>7</v>
      </c>
      <c r="B7" s="40" t="s">
        <v>48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8"/>
      <c r="Y7" s="52"/>
    </row>
    <row r="8" spans="1:25">
      <c r="A8" s="40">
        <v>8</v>
      </c>
      <c r="B8" s="40" t="s">
        <v>49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8"/>
      <c r="Y8" s="52"/>
    </row>
    <row r="9" spans="1:25">
      <c r="A9" s="40">
        <v>9</v>
      </c>
      <c r="B9" s="40" t="s">
        <v>43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8"/>
      <c r="Y9" s="52"/>
    </row>
    <row r="10" spans="1:25">
      <c r="A10" s="40">
        <v>10</v>
      </c>
      <c r="B10" s="40" t="s">
        <v>44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8"/>
      <c r="Y10" s="52"/>
    </row>
    <row r="11" spans="1:25">
      <c r="A11" s="40">
        <v>11</v>
      </c>
      <c r="B11" s="40" t="s">
        <v>45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8">
        <v>5000</v>
      </c>
      <c r="Y11" s="52"/>
    </row>
    <row r="12" spans="1:25">
      <c r="A12" s="40">
        <v>12</v>
      </c>
      <c r="B12" s="40" t="s">
        <v>46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8">
        <v>10000</v>
      </c>
      <c r="Y12" s="52"/>
    </row>
    <row r="13" spans="1:25">
      <c r="A13" s="40">
        <v>13</v>
      </c>
      <c r="B13" s="40" t="s">
        <v>47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8"/>
      <c r="Y13" s="52"/>
    </row>
    <row r="14" spans="1:25">
      <c r="A14" s="40">
        <v>14</v>
      </c>
      <c r="B14" s="40" t="s">
        <v>48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8"/>
      <c r="Y14" s="52"/>
    </row>
    <row r="15" spans="1:25">
      <c r="A15" s="40">
        <v>15</v>
      </c>
      <c r="B15" s="40" t="s">
        <v>49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8"/>
      <c r="Y15" s="52"/>
    </row>
    <row r="16" spans="1:25">
      <c r="A16" s="40">
        <v>16</v>
      </c>
      <c r="B16" s="40" t="s">
        <v>43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8"/>
      <c r="Y16" s="52"/>
    </row>
    <row r="17" spans="1:25">
      <c r="A17" s="40">
        <v>17</v>
      </c>
      <c r="B17" s="40" t="s">
        <v>44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8"/>
      <c r="Y17" s="52"/>
    </row>
    <row r="18" spans="1:25">
      <c r="A18" s="40">
        <v>18</v>
      </c>
      <c r="B18" s="40" t="s">
        <v>45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8"/>
      <c r="Y18" s="52"/>
    </row>
    <row r="19" spans="1:25">
      <c r="A19" s="40">
        <v>19</v>
      </c>
      <c r="B19" s="40" t="s">
        <v>46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8"/>
      <c r="Y19" s="52"/>
    </row>
    <row r="20" spans="1:25">
      <c r="A20" s="42" t="s">
        <v>54</v>
      </c>
      <c r="B20" s="43"/>
      <c r="C20" s="44">
        <f>SUM(C3:C19)</f>
        <v>12278.83</v>
      </c>
      <c r="D20" s="44">
        <f t="shared" ref="D20:X20" si="1">SUM(D3:D19)</f>
        <v>8348</v>
      </c>
      <c r="E20" s="44">
        <f t="shared" si="1"/>
        <v>3011</v>
      </c>
      <c r="F20" s="44">
        <f t="shared" si="1"/>
        <v>2490</v>
      </c>
      <c r="G20" s="44">
        <f t="shared" si="1"/>
        <v>2250</v>
      </c>
      <c r="H20" s="44">
        <f t="shared" si="1"/>
        <v>7794</v>
      </c>
      <c r="I20" s="44">
        <f t="shared" si="1"/>
        <v>2534</v>
      </c>
      <c r="J20" s="44">
        <f t="shared" si="1"/>
        <v>0</v>
      </c>
      <c r="K20" s="44">
        <f t="shared" si="1"/>
        <v>7127.22</v>
      </c>
      <c r="L20" s="44">
        <f t="shared" si="1"/>
        <v>0</v>
      </c>
      <c r="M20" s="44">
        <f t="shared" si="1"/>
        <v>0</v>
      </c>
      <c r="N20" s="44">
        <f t="shared" si="1"/>
        <v>8750</v>
      </c>
      <c r="O20" s="44">
        <f t="shared" si="1"/>
        <v>2397</v>
      </c>
      <c r="P20" s="44">
        <f t="shared" si="1"/>
        <v>1568</v>
      </c>
      <c r="Q20" s="44">
        <f t="shared" si="1"/>
        <v>27325</v>
      </c>
      <c r="R20" s="44">
        <f t="shared" si="1"/>
        <v>9373</v>
      </c>
      <c r="S20" s="44">
        <f t="shared" si="1"/>
        <v>8150</v>
      </c>
      <c r="T20" s="44">
        <f t="shared" si="1"/>
        <v>8850</v>
      </c>
      <c r="U20" s="44">
        <f t="shared" si="1"/>
        <v>1740</v>
      </c>
      <c r="V20" s="44">
        <f t="shared" si="1"/>
        <v>2860</v>
      </c>
      <c r="W20" s="44">
        <f t="shared" si="1"/>
        <v>116846.05</v>
      </c>
      <c r="X20" s="49">
        <f t="shared" si="1"/>
        <v>115688</v>
      </c>
      <c r="Y20" s="53">
        <f>X20-W20</f>
        <v>-1158.05</v>
      </c>
    </row>
    <row r="21" spans="1:25">
      <c r="A21" s="38">
        <v>20</v>
      </c>
      <c r="B21" s="38" t="s">
        <v>47</v>
      </c>
      <c r="C21" s="39">
        <v>2409</v>
      </c>
      <c r="D21" s="39">
        <v>299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>
        <v>187</v>
      </c>
      <c r="P21" s="39"/>
      <c r="Q21" s="39"/>
      <c r="R21" s="39"/>
      <c r="S21" s="39">
        <f>4660+700</f>
        <v>5360</v>
      </c>
      <c r="T21" s="39">
        <v>1634</v>
      </c>
      <c r="U21" s="39"/>
      <c r="V21" s="39"/>
      <c r="W21" s="39">
        <f t="shared" si="0"/>
        <v>9889</v>
      </c>
      <c r="X21" s="47">
        <v>36010</v>
      </c>
      <c r="Y21" s="51"/>
    </row>
    <row r="22" spans="1:27">
      <c r="A22" s="40">
        <v>21</v>
      </c>
      <c r="B22" s="40" t="s">
        <v>48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8"/>
      <c r="Y22" s="52"/>
      <c r="AA22" s="24"/>
    </row>
    <row r="23" spans="1:25">
      <c r="A23" s="40">
        <v>22</v>
      </c>
      <c r="B23" s="40" t="s">
        <v>49</v>
      </c>
      <c r="C23" s="41">
        <v>1027.89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</v>
      </c>
      <c r="X23" s="48"/>
      <c r="Y23" s="52"/>
    </row>
    <row r="24" spans="1:25">
      <c r="A24" s="40">
        <v>23</v>
      </c>
      <c r="B24" s="40" t="s">
        <v>43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8"/>
      <c r="Y24" s="52"/>
    </row>
    <row r="25" spans="1:25">
      <c r="A25" s="40">
        <v>24</v>
      </c>
      <c r="B25" s="40" t="s">
        <v>44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8"/>
      <c r="Y25" s="52"/>
    </row>
    <row r="26" spans="1:25">
      <c r="A26" s="40">
        <v>25</v>
      </c>
      <c r="B26" s="40" t="s">
        <v>45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8"/>
      <c r="Y26" s="52"/>
    </row>
    <row r="27" spans="1:25">
      <c r="A27" s="40">
        <v>26</v>
      </c>
      <c r="B27" s="40" t="s">
        <v>46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8"/>
      <c r="Y27" s="52"/>
    </row>
    <row r="28" spans="1:25">
      <c r="A28" s="40">
        <v>27</v>
      </c>
      <c r="B28" s="40" t="s">
        <v>47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8"/>
      <c r="Y28" s="52"/>
    </row>
    <row r="29" spans="1:25">
      <c r="A29" s="40">
        <v>28</v>
      </c>
      <c r="B29" s="40" t="s">
        <v>48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8"/>
      <c r="Y29" s="52"/>
    </row>
    <row r="30" spans="1:25">
      <c r="A30" s="40">
        <v>29</v>
      </c>
      <c r="B30" s="40" t="s">
        <v>49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50">
        <v>10000</v>
      </c>
      <c r="Y30" s="52"/>
    </row>
    <row r="31" spans="1:25">
      <c r="A31" s="40">
        <v>30</v>
      </c>
      <c r="B31" s="40" t="s">
        <v>43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8"/>
      <c r="Y31" s="52"/>
    </row>
    <row r="32" spans="1:25">
      <c r="A32" s="40">
        <v>1</v>
      </c>
      <c r="B32" s="40" t="s">
        <v>44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8"/>
      <c r="Y32" s="52"/>
    </row>
    <row r="33" spans="1:25">
      <c r="A33" s="40">
        <v>2</v>
      </c>
      <c r="B33" s="40" t="s">
        <v>45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8"/>
      <c r="Y33" s="52"/>
    </row>
    <row r="34" spans="1:25">
      <c r="A34" s="40">
        <v>3</v>
      </c>
      <c r="B34" s="40" t="s">
        <v>46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8"/>
      <c r="Y34" s="52"/>
    </row>
    <row r="35" spans="1:25">
      <c r="A35" s="40">
        <v>4</v>
      </c>
      <c r="B35" s="40" t="s">
        <v>47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 t="shared" si="0"/>
        <v>1794</v>
      </c>
      <c r="X35" s="48">
        <v>2000</v>
      </c>
      <c r="Y35" s="52"/>
    </row>
    <row r="36" spans="1:25">
      <c r="A36" s="42" t="s">
        <v>55</v>
      </c>
      <c r="B36" s="43"/>
      <c r="C36" s="44">
        <f>SUM(C21:C35)</f>
        <v>11057.89</v>
      </c>
      <c r="D36" s="44">
        <f t="shared" ref="D36:X36" si="2">SUM(D21:D35)</f>
        <v>7552</v>
      </c>
      <c r="E36" s="44">
        <f t="shared" si="2"/>
        <v>2680</v>
      </c>
      <c r="F36" s="44">
        <f t="shared" si="2"/>
        <v>3025</v>
      </c>
      <c r="G36" s="44">
        <f t="shared" si="2"/>
        <v>1320</v>
      </c>
      <c r="H36" s="44">
        <f t="shared" si="2"/>
        <v>3247</v>
      </c>
      <c r="I36" s="44">
        <f t="shared" si="2"/>
        <v>0</v>
      </c>
      <c r="J36" s="44">
        <f t="shared" si="2"/>
        <v>0</v>
      </c>
      <c r="K36" s="44">
        <f t="shared" si="2"/>
        <v>0</v>
      </c>
      <c r="L36" s="44">
        <f t="shared" si="2"/>
        <v>0</v>
      </c>
      <c r="M36" s="44">
        <f t="shared" si="2"/>
        <v>0</v>
      </c>
      <c r="N36" s="44">
        <f t="shared" si="2"/>
        <v>0</v>
      </c>
      <c r="O36" s="44">
        <f t="shared" si="2"/>
        <v>3437</v>
      </c>
      <c r="P36" s="44">
        <f t="shared" si="2"/>
        <v>554</v>
      </c>
      <c r="Q36" s="44">
        <f t="shared" si="2"/>
        <v>1951</v>
      </c>
      <c r="R36" s="44">
        <f t="shared" si="2"/>
        <v>0</v>
      </c>
      <c r="S36" s="44">
        <f t="shared" si="2"/>
        <v>6408</v>
      </c>
      <c r="T36" s="44">
        <f t="shared" si="2"/>
        <v>5561</v>
      </c>
      <c r="U36" s="44">
        <f t="shared" si="2"/>
        <v>0</v>
      </c>
      <c r="V36" s="44">
        <f t="shared" si="2"/>
        <v>0</v>
      </c>
      <c r="W36" s="44">
        <f t="shared" si="2"/>
        <v>46792.89</v>
      </c>
      <c r="X36" s="49">
        <f t="shared" si="2"/>
        <v>48010</v>
      </c>
      <c r="Y36" s="53">
        <f>X36-W36</f>
        <v>1217.11</v>
      </c>
    </row>
    <row r="37" ht="31.5" customHeight="1" spans="1:25">
      <c r="A37" s="45" t="s">
        <v>56</v>
      </c>
      <c r="B37" s="45"/>
      <c r="C37" s="46">
        <f>SUM(C20,C36)</f>
        <v>23336.72</v>
      </c>
      <c r="D37" s="46">
        <f t="shared" ref="D37:V37" si="3">SUM(D20,D36)</f>
        <v>15900</v>
      </c>
      <c r="E37" s="46">
        <f t="shared" si="3"/>
        <v>5691</v>
      </c>
      <c r="F37" s="46">
        <f t="shared" si="3"/>
        <v>5515</v>
      </c>
      <c r="G37" s="46">
        <f t="shared" si="3"/>
        <v>3570</v>
      </c>
      <c r="H37" s="46">
        <f t="shared" si="3"/>
        <v>11041</v>
      </c>
      <c r="I37" s="46">
        <f t="shared" si="3"/>
        <v>2534</v>
      </c>
      <c r="J37" s="46">
        <f t="shared" si="3"/>
        <v>0</v>
      </c>
      <c r="K37" s="46">
        <f t="shared" si="3"/>
        <v>7127.22</v>
      </c>
      <c r="L37" s="46">
        <f t="shared" si="3"/>
        <v>0</v>
      </c>
      <c r="M37" s="46">
        <f t="shared" si="3"/>
        <v>0</v>
      </c>
      <c r="N37" s="46">
        <f t="shared" si="3"/>
        <v>8750</v>
      </c>
      <c r="O37" s="46">
        <f t="shared" si="3"/>
        <v>5834</v>
      </c>
      <c r="P37" s="46">
        <f t="shared" si="3"/>
        <v>2122</v>
      </c>
      <c r="Q37" s="46">
        <f t="shared" si="3"/>
        <v>29276</v>
      </c>
      <c r="R37" s="46">
        <f t="shared" si="3"/>
        <v>9373</v>
      </c>
      <c r="S37" s="46">
        <f t="shared" si="3"/>
        <v>14558</v>
      </c>
      <c r="T37" s="46">
        <f t="shared" si="3"/>
        <v>14411</v>
      </c>
      <c r="U37" s="46">
        <f t="shared" si="3"/>
        <v>1740</v>
      </c>
      <c r="V37" s="46">
        <f t="shared" si="3"/>
        <v>2860</v>
      </c>
      <c r="W37" s="46">
        <f t="shared" ref="W37:Y37" si="4">SUM(W20,W36)</f>
        <v>163638.94</v>
      </c>
      <c r="X37" s="46">
        <f t="shared" si="4"/>
        <v>163698</v>
      </c>
      <c r="Y37" s="46">
        <f t="shared" si="4"/>
        <v>59.0599999999977</v>
      </c>
    </row>
    <row r="41" spans="2:11">
      <c r="B41" s="14"/>
      <c r="C41" s="14"/>
      <c r="D41" s="14"/>
      <c r="E41" s="14"/>
      <c r="F41" s="14"/>
      <c r="G41" s="14"/>
      <c r="H41" s="14"/>
      <c r="I41" s="14"/>
      <c r="J41" s="14"/>
      <c r="K41" s="14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85" zoomScaleNormal="85" workbookViewId="0">
      <pane xSplit="2" ySplit="36" topLeftCell="C37" activePane="bottomRight" state="frozen"/>
      <selection/>
      <selection pane="topRight"/>
      <selection pane="bottomLeft"/>
      <selection pane="bottomRight" activeCell="AA28" sqref="AA28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25">
      <c r="A1" s="30" t="s">
        <v>57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 ht="45" customHeight="1" spans="1:47">
      <c r="A2" s="31" t="s">
        <v>21</v>
      </c>
      <c r="B2" s="31" t="s">
        <v>22</v>
      </c>
      <c r="C2" s="31" t="s">
        <v>23</v>
      </c>
      <c r="D2" s="31" t="s">
        <v>25</v>
      </c>
      <c r="E2" s="31" t="s">
        <v>24</v>
      </c>
      <c r="F2" s="31" t="s">
        <v>51</v>
      </c>
      <c r="G2" s="31" t="s">
        <v>53</v>
      </c>
      <c r="H2" s="31" t="s">
        <v>27</v>
      </c>
      <c r="I2" s="31" t="s">
        <v>28</v>
      </c>
      <c r="J2" s="31" t="s">
        <v>29</v>
      </c>
      <c r="K2" s="31" t="s">
        <v>30</v>
      </c>
      <c r="L2" s="31" t="s">
        <v>31</v>
      </c>
      <c r="M2" s="31" t="s">
        <v>32</v>
      </c>
      <c r="N2" s="31" t="s">
        <v>33</v>
      </c>
      <c r="O2" s="31" t="s">
        <v>34</v>
      </c>
      <c r="P2" s="31" t="s">
        <v>35</v>
      </c>
      <c r="Q2" s="31" t="s">
        <v>36</v>
      </c>
      <c r="R2" s="31" t="s">
        <v>37</v>
      </c>
      <c r="S2" s="31" t="s">
        <v>38</v>
      </c>
      <c r="T2" s="31" t="s">
        <v>39</v>
      </c>
      <c r="U2" s="31" t="s">
        <v>39</v>
      </c>
      <c r="V2" s="31" t="s">
        <v>40</v>
      </c>
      <c r="W2" s="31" t="s">
        <v>41</v>
      </c>
      <c r="X2" s="31" t="s">
        <v>42</v>
      </c>
      <c r="Y2" s="31" t="s">
        <v>5</v>
      </c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</row>
    <row r="3" ht="15" spans="1:25">
      <c r="A3" s="4">
        <v>5</v>
      </c>
      <c r="B3" s="5" t="s">
        <v>48</v>
      </c>
      <c r="C3" s="6"/>
      <c r="D3" s="6">
        <f>178+110</f>
        <v>288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>
        <f>1000+281</f>
        <v>1281</v>
      </c>
      <c r="Q3" s="6"/>
      <c r="R3" s="6"/>
      <c r="S3" s="6">
        <f>199+4660+700</f>
        <v>5559</v>
      </c>
      <c r="T3" s="6">
        <v>7000</v>
      </c>
      <c r="U3" s="6"/>
      <c r="V3" s="6"/>
      <c r="W3" s="6">
        <f>SUM(C3:V3)</f>
        <v>14128</v>
      </c>
      <c r="X3" s="18">
        <v>53970.91</v>
      </c>
      <c r="Y3" s="21"/>
    </row>
    <row r="4" ht="15" spans="1:25">
      <c r="A4" s="7">
        <v>6</v>
      </c>
      <c r="B4" s="8" t="s">
        <v>49</v>
      </c>
      <c r="C4" s="9"/>
      <c r="D4" s="9">
        <v>110</v>
      </c>
      <c r="E4" s="9"/>
      <c r="F4" s="9"/>
      <c r="G4" s="9"/>
      <c r="H4" s="9">
        <f>2500+270</f>
        <v>2770</v>
      </c>
      <c r="I4" s="9"/>
      <c r="J4" s="9"/>
      <c r="K4" s="9"/>
      <c r="L4" s="9"/>
      <c r="M4" s="9"/>
      <c r="N4" s="9"/>
      <c r="O4" s="9">
        <f>363+350</f>
        <v>713</v>
      </c>
      <c r="P4" s="9"/>
      <c r="Q4" s="9"/>
      <c r="R4" s="9"/>
      <c r="S4" s="9"/>
      <c r="T4" s="9"/>
      <c r="U4" s="9"/>
      <c r="V4" s="9"/>
      <c r="W4" s="9">
        <f>SUM(C4:V4)</f>
        <v>3593</v>
      </c>
      <c r="X4" s="17"/>
      <c r="Y4" s="22"/>
    </row>
    <row r="5" ht="15" spans="1:25">
      <c r="A5" s="4">
        <v>7</v>
      </c>
      <c r="B5" s="5" t="s">
        <v>43</v>
      </c>
      <c r="C5" s="6">
        <f>1497+707</f>
        <v>2204</v>
      </c>
      <c r="D5" s="6">
        <v>520</v>
      </c>
      <c r="E5" s="6"/>
      <c r="F5" s="6">
        <f>189</f>
        <v>189</v>
      </c>
      <c r="G5" s="6"/>
      <c r="H5" s="6"/>
      <c r="I5" s="6">
        <v>750</v>
      </c>
      <c r="J5" s="6"/>
      <c r="K5" s="6"/>
      <c r="L5" s="6"/>
      <c r="M5" s="6"/>
      <c r="N5" s="6"/>
      <c r="O5" s="6">
        <v>245</v>
      </c>
      <c r="P5" s="6"/>
      <c r="Q5" s="6"/>
      <c r="R5" s="6"/>
      <c r="S5" s="6">
        <v>990</v>
      </c>
      <c r="T5" s="6"/>
      <c r="U5" s="6"/>
      <c r="V5" s="6"/>
      <c r="W5" s="6">
        <f t="shared" ref="W5:W17" si="0">SUM(C5:V5)</f>
        <v>4898</v>
      </c>
      <c r="X5" s="18"/>
      <c r="Y5" s="21"/>
    </row>
    <row r="6" ht="15" spans="1:25">
      <c r="A6" s="7">
        <v>8</v>
      </c>
      <c r="B6" s="8" t="s">
        <v>44</v>
      </c>
      <c r="C6" s="9"/>
      <c r="D6" s="9">
        <v>2122</v>
      </c>
      <c r="E6" s="9"/>
      <c r="F6" s="9"/>
      <c r="G6" s="9"/>
      <c r="H6" s="9">
        <v>3695</v>
      </c>
      <c r="I6" s="9"/>
      <c r="J6" s="9"/>
      <c r="K6" s="9"/>
      <c r="L6" s="9"/>
      <c r="M6" s="9"/>
      <c r="N6" s="9"/>
      <c r="O6" s="9">
        <f>350+407+249</f>
        <v>1006</v>
      </c>
      <c r="P6" s="9"/>
      <c r="Q6" s="9"/>
      <c r="R6" s="9"/>
      <c r="S6" s="9"/>
      <c r="T6" s="9"/>
      <c r="U6" s="9"/>
      <c r="V6" s="9"/>
      <c r="W6" s="9">
        <f t="shared" si="0"/>
        <v>6823</v>
      </c>
      <c r="X6" s="17"/>
      <c r="Y6" s="22"/>
    </row>
    <row r="7" ht="15" spans="1:25">
      <c r="A7" s="4">
        <v>9</v>
      </c>
      <c r="B7" s="5" t="s">
        <v>45</v>
      </c>
      <c r="C7" s="6"/>
      <c r="D7" s="6"/>
      <c r="E7" s="6"/>
      <c r="F7" s="6"/>
      <c r="G7" s="6"/>
      <c r="H7" s="6"/>
      <c r="I7" s="6"/>
      <c r="J7" s="6"/>
      <c r="K7" s="6">
        <v>1008.31</v>
      </c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>
        <f t="shared" si="0"/>
        <v>1008.31</v>
      </c>
      <c r="X7" s="18">
        <v>3000</v>
      </c>
      <c r="Y7" s="21"/>
    </row>
    <row r="8" ht="15" spans="1:25">
      <c r="A8" s="7">
        <v>10</v>
      </c>
      <c r="B8" s="8" t="s">
        <v>46</v>
      </c>
      <c r="C8" s="9"/>
      <c r="D8" s="9">
        <v>2550.04</v>
      </c>
      <c r="E8" s="9"/>
      <c r="F8" s="9"/>
      <c r="G8" s="9"/>
      <c r="H8" s="9"/>
      <c r="I8" s="9"/>
      <c r="J8" s="9"/>
      <c r="K8" s="9">
        <v>1763.15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0"/>
        <v>4313.19</v>
      </c>
      <c r="X8" s="17"/>
      <c r="Y8" s="22"/>
    </row>
    <row r="9" ht="15" spans="1:25">
      <c r="A9" s="4">
        <v>11</v>
      </c>
      <c r="B9" s="5" t="s">
        <v>47</v>
      </c>
      <c r="C9" s="6">
        <f>3150.35+125</f>
        <v>3275.35</v>
      </c>
      <c r="D9" s="6">
        <f>264+1506</f>
        <v>1770</v>
      </c>
      <c r="E9" s="6"/>
      <c r="F9" s="6"/>
      <c r="G9" s="6"/>
      <c r="H9" s="6"/>
      <c r="I9" s="6"/>
      <c r="J9" s="6"/>
      <c r="K9" s="6">
        <v>2244.06</v>
      </c>
      <c r="L9" s="6"/>
      <c r="M9" s="6"/>
      <c r="N9" s="6"/>
      <c r="O9" s="6"/>
      <c r="P9" s="6">
        <v>1000</v>
      </c>
      <c r="Q9" s="6"/>
      <c r="R9" s="6"/>
      <c r="S9" s="6"/>
      <c r="T9" s="6">
        <f>100+100+400</f>
        <v>600</v>
      </c>
      <c r="U9" s="6"/>
      <c r="V9" s="6"/>
      <c r="W9" s="6">
        <f t="shared" si="0"/>
        <v>8889.41</v>
      </c>
      <c r="X9" s="18"/>
      <c r="Y9" s="21"/>
    </row>
    <row r="10" ht="15" spans="1:25">
      <c r="A10" s="7">
        <v>12</v>
      </c>
      <c r="B10" s="8" t="s">
        <v>48</v>
      </c>
      <c r="C10" s="9"/>
      <c r="D10" s="9"/>
      <c r="E10" s="9"/>
      <c r="F10" s="9">
        <v>1245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>
        <f>1000+1000</f>
        <v>2000</v>
      </c>
      <c r="R10" s="9"/>
      <c r="S10" s="9"/>
      <c r="T10" s="9"/>
      <c r="U10" s="9"/>
      <c r="V10" s="9"/>
      <c r="W10" s="9">
        <f t="shared" si="0"/>
        <v>3245</v>
      </c>
      <c r="X10" s="17"/>
      <c r="Y10" s="22"/>
    </row>
    <row r="11" ht="15" spans="1:25">
      <c r="A11" s="4">
        <v>13</v>
      </c>
      <c r="B11" s="5" t="s">
        <v>49</v>
      </c>
      <c r="C11" s="6"/>
      <c r="D11" s="6"/>
      <c r="E11" s="6"/>
      <c r="F11" s="6"/>
      <c r="G11" s="6"/>
      <c r="H11" s="6">
        <f>210+1009</f>
        <v>1219</v>
      </c>
      <c r="I11" s="6"/>
      <c r="J11" s="6"/>
      <c r="K11" s="6"/>
      <c r="L11" s="6"/>
      <c r="M11" s="6"/>
      <c r="N11" s="6"/>
      <c r="O11" s="6"/>
      <c r="P11" s="6">
        <v>340</v>
      </c>
      <c r="Q11" s="6"/>
      <c r="R11" s="6"/>
      <c r="S11" s="6"/>
      <c r="T11" s="6">
        <v>1479</v>
      </c>
      <c r="U11" s="6"/>
      <c r="V11" s="6"/>
      <c r="W11" s="6">
        <f t="shared" si="0"/>
        <v>3038</v>
      </c>
      <c r="X11" s="18"/>
      <c r="Y11" s="21"/>
    </row>
    <row r="12" ht="15" spans="1:25">
      <c r="A12" s="7">
        <v>14</v>
      </c>
      <c r="B12" s="8" t="s">
        <v>43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>
        <v>367</v>
      </c>
      <c r="P12" s="9">
        <v>285</v>
      </c>
      <c r="Q12" s="9"/>
      <c r="R12" s="9"/>
      <c r="S12" s="9"/>
      <c r="T12" s="9">
        <v>220</v>
      </c>
      <c r="U12" s="9"/>
      <c r="V12" s="9"/>
      <c r="W12" s="9">
        <f t="shared" si="0"/>
        <v>872</v>
      </c>
      <c r="X12" s="17"/>
      <c r="Y12" s="22"/>
    </row>
    <row r="13" ht="15" spans="1:25">
      <c r="A13" s="4">
        <v>15</v>
      </c>
      <c r="B13" s="5" t="s">
        <v>44</v>
      </c>
      <c r="C13" s="6"/>
      <c r="D13" s="6"/>
      <c r="E13" s="6"/>
      <c r="F13" s="6"/>
      <c r="G13" s="6"/>
      <c r="H13" s="6">
        <v>1220</v>
      </c>
      <c r="I13" s="6"/>
      <c r="J13" s="6"/>
      <c r="K13" s="6"/>
      <c r="L13" s="6"/>
      <c r="M13" s="6"/>
      <c r="N13" s="6"/>
      <c r="O13" s="6"/>
      <c r="P13" s="6">
        <v>131</v>
      </c>
      <c r="Q13" s="6">
        <v>1012</v>
      </c>
      <c r="R13" s="6"/>
      <c r="S13" s="6"/>
      <c r="T13" s="6"/>
      <c r="U13" s="6"/>
      <c r="V13" s="6"/>
      <c r="W13" s="6">
        <f t="shared" si="0"/>
        <v>2363</v>
      </c>
      <c r="X13" s="18"/>
      <c r="Y13" s="21"/>
    </row>
    <row r="14" ht="15" spans="1:25">
      <c r="A14" s="7">
        <v>16</v>
      </c>
      <c r="B14" s="8" t="s">
        <v>45</v>
      </c>
      <c r="C14" s="9">
        <f>384+1318+1214</f>
        <v>2916</v>
      </c>
      <c r="D14" s="9">
        <v>1351.32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>
        <v>450</v>
      </c>
      <c r="R14" s="9"/>
      <c r="S14" s="9"/>
      <c r="T14" s="9"/>
      <c r="U14" s="9"/>
      <c r="V14" s="9"/>
      <c r="W14" s="9">
        <f t="shared" si="0"/>
        <v>4717.32</v>
      </c>
      <c r="X14" s="17"/>
      <c r="Y14" s="22"/>
    </row>
    <row r="15" ht="15" spans="1:25">
      <c r="A15" s="4">
        <v>17</v>
      </c>
      <c r="B15" s="5" t="s">
        <v>46</v>
      </c>
      <c r="C15" s="6">
        <v>33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>
        <f t="shared" si="0"/>
        <v>33</v>
      </c>
      <c r="X15" s="18"/>
      <c r="Y15" s="21"/>
    </row>
    <row r="16" ht="15" spans="1:25">
      <c r="A16" s="7">
        <v>18</v>
      </c>
      <c r="B16" s="8" t="s">
        <v>47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>
        <v>280</v>
      </c>
      <c r="Q16" s="9"/>
      <c r="R16" s="9"/>
      <c r="S16" s="9"/>
      <c r="T16" s="9"/>
      <c r="U16" s="9"/>
      <c r="V16" s="9"/>
      <c r="W16" s="9">
        <f t="shared" si="0"/>
        <v>280</v>
      </c>
      <c r="X16" s="17"/>
      <c r="Y16" s="22"/>
    </row>
    <row r="17" ht="15" spans="1:25">
      <c r="A17" s="4">
        <v>19</v>
      </c>
      <c r="B17" s="5" t="s">
        <v>48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>
        <f t="shared" si="0"/>
        <v>0</v>
      </c>
      <c r="X17" s="18"/>
      <c r="Y17" s="21"/>
    </row>
    <row r="18" spans="1:25">
      <c r="A18" s="32" t="s">
        <v>54</v>
      </c>
      <c r="B18" s="32"/>
      <c r="C18" s="33">
        <f t="shared" ref="C18:X18" si="1">SUM(C3:C17)</f>
        <v>8428.35</v>
      </c>
      <c r="D18" s="33">
        <f t="shared" si="1"/>
        <v>8711.36</v>
      </c>
      <c r="E18" s="33">
        <f t="shared" si="1"/>
        <v>0</v>
      </c>
      <c r="F18" s="33">
        <f t="shared" si="1"/>
        <v>1434</v>
      </c>
      <c r="G18" s="33">
        <f t="shared" si="1"/>
        <v>0</v>
      </c>
      <c r="H18" s="33">
        <f t="shared" si="1"/>
        <v>8904</v>
      </c>
      <c r="I18" s="33">
        <f t="shared" si="1"/>
        <v>750</v>
      </c>
      <c r="J18" s="33">
        <f t="shared" si="1"/>
        <v>0</v>
      </c>
      <c r="K18" s="33">
        <f t="shared" si="1"/>
        <v>5015.52</v>
      </c>
      <c r="L18" s="33">
        <f t="shared" si="1"/>
        <v>0</v>
      </c>
      <c r="M18" s="33">
        <f t="shared" si="1"/>
        <v>0</v>
      </c>
      <c r="N18" s="33">
        <f t="shared" si="1"/>
        <v>0</v>
      </c>
      <c r="O18" s="33">
        <f t="shared" si="1"/>
        <v>2331</v>
      </c>
      <c r="P18" s="33">
        <f t="shared" si="1"/>
        <v>3317</v>
      </c>
      <c r="Q18" s="33">
        <f t="shared" si="1"/>
        <v>3462</v>
      </c>
      <c r="R18" s="33">
        <f t="shared" si="1"/>
        <v>0</v>
      </c>
      <c r="S18" s="33">
        <f t="shared" si="1"/>
        <v>6549</v>
      </c>
      <c r="T18" s="33">
        <f t="shared" si="1"/>
        <v>9299</v>
      </c>
      <c r="U18" s="33">
        <f t="shared" si="1"/>
        <v>0</v>
      </c>
      <c r="V18" s="33">
        <f t="shared" si="1"/>
        <v>0</v>
      </c>
      <c r="W18" s="33">
        <f t="shared" si="1"/>
        <v>58201.23</v>
      </c>
      <c r="X18" s="35">
        <f t="shared" si="1"/>
        <v>56970.91</v>
      </c>
      <c r="Y18" s="23">
        <f>X18-W18</f>
        <v>-1230.32</v>
      </c>
    </row>
    <row r="19" ht="15" spans="1:25">
      <c r="A19" s="4">
        <v>20</v>
      </c>
      <c r="B19" s="5" t="s">
        <v>49</v>
      </c>
      <c r="C19" s="6">
        <v>953</v>
      </c>
      <c r="D19" s="6">
        <v>1805.6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285</v>
      </c>
      <c r="R19" s="6"/>
      <c r="S19" s="6">
        <v>700</v>
      </c>
      <c r="T19" s="6"/>
      <c r="U19" s="6"/>
      <c r="V19" s="6"/>
      <c r="W19" s="6">
        <f>SUM(C19:V19)</f>
        <v>3743.6</v>
      </c>
      <c r="X19" s="18">
        <v>32088.14</v>
      </c>
      <c r="Y19" s="21"/>
    </row>
    <row r="20" ht="15" spans="1:27">
      <c r="A20" s="7">
        <v>21</v>
      </c>
      <c r="B20" s="8" t="s">
        <v>43</v>
      </c>
      <c r="C20" s="9"/>
      <c r="D20" s="9">
        <f>1303+346+262</f>
        <v>1911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>
        <f>553+689</f>
        <v>1242</v>
      </c>
      <c r="P20" s="9"/>
      <c r="Q20" s="9"/>
      <c r="R20" s="9"/>
      <c r="S20" s="9"/>
      <c r="T20" s="9">
        <v>849</v>
      </c>
      <c r="U20" s="9">
        <v>2000</v>
      </c>
      <c r="V20" s="9"/>
      <c r="W20" s="9">
        <f t="shared" ref="W20:W34" si="2">SUM(C20:V20)</f>
        <v>6002</v>
      </c>
      <c r="X20" s="17"/>
      <c r="Y20" s="22"/>
      <c r="AA20" s="24"/>
    </row>
    <row r="21" ht="15" spans="1:25">
      <c r="A21" s="4">
        <v>22</v>
      </c>
      <c r="B21" s="5" t="s">
        <v>44</v>
      </c>
      <c r="C21" s="6">
        <v>500</v>
      </c>
      <c r="D21" s="6"/>
      <c r="E21" s="6"/>
      <c r="F21" s="6"/>
      <c r="G21" s="6"/>
      <c r="H21" s="6">
        <f>1556+2900</f>
        <v>4456</v>
      </c>
      <c r="I21" s="6">
        <f>2101.91-500</f>
        <v>1601.91</v>
      </c>
      <c r="J21" s="6"/>
      <c r="K21" s="6"/>
      <c r="L21" s="6"/>
      <c r="M21" s="6"/>
      <c r="N21" s="6"/>
      <c r="O21" s="6"/>
      <c r="P21" s="6">
        <v>25.18</v>
      </c>
      <c r="Q21" s="6"/>
      <c r="R21" s="6"/>
      <c r="S21" s="6"/>
      <c r="T21" s="6">
        <v>800</v>
      </c>
      <c r="U21" s="6">
        <v>316</v>
      </c>
      <c r="V21" s="6"/>
      <c r="W21" s="6">
        <f t="shared" si="2"/>
        <v>7699.09</v>
      </c>
      <c r="X21" s="18">
        <v>1000</v>
      </c>
      <c r="Y21" s="21"/>
    </row>
    <row r="22" ht="15" spans="1:25">
      <c r="A22" s="7">
        <v>23</v>
      </c>
      <c r="B22" s="8" t="s">
        <v>45</v>
      </c>
      <c r="C22" s="9">
        <v>833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>
        <v>332</v>
      </c>
      <c r="P22" s="9"/>
      <c r="Q22" s="9"/>
      <c r="R22" s="9"/>
      <c r="S22" s="9"/>
      <c r="T22" s="9"/>
      <c r="U22" s="9"/>
      <c r="V22" s="9"/>
      <c r="W22" s="9">
        <f t="shared" si="2"/>
        <v>1165</v>
      </c>
      <c r="X22" s="17"/>
      <c r="Y22" s="22"/>
    </row>
    <row r="23" ht="15" spans="1:25">
      <c r="A23" s="4">
        <v>24</v>
      </c>
      <c r="B23" s="5" t="s">
        <v>46</v>
      </c>
      <c r="C23" s="6">
        <f>119+1463</f>
        <v>1582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>
        <f t="shared" si="2"/>
        <v>1582</v>
      </c>
      <c r="X23" s="18"/>
      <c r="Y23" s="21"/>
    </row>
    <row r="24" ht="15" spans="1:25">
      <c r="A24" s="7">
        <v>25</v>
      </c>
      <c r="B24" s="8" t="s">
        <v>47</v>
      </c>
      <c r="C24" s="9">
        <f>440</f>
        <v>440</v>
      </c>
      <c r="D24" s="9"/>
      <c r="E24" s="9"/>
      <c r="F24" s="9"/>
      <c r="G24" s="9"/>
      <c r="H24" s="9"/>
      <c r="I24" s="9"/>
      <c r="J24" s="9">
        <v>3600</v>
      </c>
      <c r="K24" s="9"/>
      <c r="L24" s="9"/>
      <c r="M24" s="9"/>
      <c r="N24" s="9"/>
      <c r="O24" s="9">
        <f>397+401</f>
        <v>798</v>
      </c>
      <c r="P24" s="9"/>
      <c r="Q24" s="9"/>
      <c r="R24" s="9"/>
      <c r="S24" s="9">
        <v>700</v>
      </c>
      <c r="T24" s="9">
        <v>200</v>
      </c>
      <c r="U24" s="9"/>
      <c r="V24" s="9"/>
      <c r="W24" s="9">
        <f t="shared" si="2"/>
        <v>5738</v>
      </c>
      <c r="X24" s="17"/>
      <c r="Y24" s="22"/>
    </row>
    <row r="25" ht="15" spans="1:25">
      <c r="A25" s="4">
        <v>26</v>
      </c>
      <c r="B25" s="5" t="s">
        <v>48</v>
      </c>
      <c r="C25" s="6">
        <f>637</f>
        <v>637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>
        <f>249+309</f>
        <v>558</v>
      </c>
      <c r="P25" s="6"/>
      <c r="Q25" s="6"/>
      <c r="R25" s="6"/>
      <c r="S25" s="6"/>
      <c r="T25" s="6">
        <v>598</v>
      </c>
      <c r="U25" s="6"/>
      <c r="V25" s="6">
        <f>1555+50</f>
        <v>1605</v>
      </c>
      <c r="W25" s="6">
        <f t="shared" si="2"/>
        <v>3398</v>
      </c>
      <c r="X25" s="18"/>
      <c r="Y25" s="21"/>
    </row>
    <row r="26" ht="15" spans="1:25">
      <c r="A26" s="7">
        <v>27</v>
      </c>
      <c r="B26" s="8" t="s">
        <v>49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2"/>
        <v>0</v>
      </c>
      <c r="X26" s="17"/>
      <c r="Y26" s="22"/>
    </row>
    <row r="27" ht="15" spans="1:25">
      <c r="A27" s="4">
        <v>28</v>
      </c>
      <c r="B27" s="5" t="s">
        <v>43</v>
      </c>
      <c r="C27" s="6"/>
      <c r="D27" s="6"/>
      <c r="E27" s="6"/>
      <c r="F27" s="6"/>
      <c r="G27" s="6"/>
      <c r="H27" s="6">
        <v>158</v>
      </c>
      <c r="I27" s="6"/>
      <c r="J27" s="6"/>
      <c r="K27" s="6"/>
      <c r="L27" s="6"/>
      <c r="M27" s="6"/>
      <c r="N27" s="6"/>
      <c r="O27" s="6">
        <f>273+500</f>
        <v>773</v>
      </c>
      <c r="P27" s="6"/>
      <c r="Q27" s="6"/>
      <c r="R27" s="6"/>
      <c r="S27" s="6">
        <f>249</f>
        <v>249</v>
      </c>
      <c r="T27" s="6"/>
      <c r="U27" s="6"/>
      <c r="V27" s="6"/>
      <c r="W27" s="6">
        <f t="shared" si="2"/>
        <v>1180</v>
      </c>
      <c r="X27" s="18"/>
      <c r="Y27" s="21"/>
    </row>
    <row r="28" ht="15" spans="1:25">
      <c r="A28" s="7">
        <v>29</v>
      </c>
      <c r="B28" s="8" t="s">
        <v>44</v>
      </c>
      <c r="C28" s="9">
        <v>1121</v>
      </c>
      <c r="D28" s="9">
        <v>661</v>
      </c>
      <c r="E28" s="9"/>
      <c r="F28" s="9"/>
      <c r="G28" s="9"/>
      <c r="H28" s="9">
        <f>220+726</f>
        <v>946</v>
      </c>
      <c r="I28" s="9"/>
      <c r="J28" s="9"/>
      <c r="K28" s="9"/>
      <c r="L28" s="9">
        <f>204+233</f>
        <v>437</v>
      </c>
      <c r="M28" s="9"/>
      <c r="N28" s="9"/>
      <c r="O28" s="9"/>
      <c r="P28" s="9"/>
      <c r="Q28" s="9"/>
      <c r="R28" s="9"/>
      <c r="S28" s="9"/>
      <c r="T28" s="9"/>
      <c r="U28" s="9"/>
      <c r="V28" s="9">
        <f>390+1100</f>
        <v>1490</v>
      </c>
      <c r="W28" s="9">
        <f t="shared" si="2"/>
        <v>4655</v>
      </c>
      <c r="X28" s="16">
        <v>5000</v>
      </c>
      <c r="Y28" s="22"/>
    </row>
    <row r="29" ht="15" spans="1:25">
      <c r="A29" s="4">
        <v>30</v>
      </c>
      <c r="B29" s="5" t="s">
        <v>45</v>
      </c>
      <c r="C29" s="6">
        <f>2136</f>
        <v>2136</v>
      </c>
      <c r="D29" s="6">
        <v>1318.68</v>
      </c>
      <c r="E29" s="6">
        <v>1330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>
        <f t="shared" si="2"/>
        <v>4784.68</v>
      </c>
      <c r="X29" s="16">
        <v>5000</v>
      </c>
      <c r="Y29" s="21"/>
    </row>
    <row r="30" ht="15" spans="1:25">
      <c r="A30" s="7">
        <v>31</v>
      </c>
      <c r="B30" s="8" t="s">
        <v>46</v>
      </c>
      <c r="C30" s="9">
        <f>493.95+190+90+150+1613.51</f>
        <v>2537.46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>
        <v>500</v>
      </c>
      <c r="R30" s="9"/>
      <c r="S30" s="9"/>
      <c r="T30" s="9"/>
      <c r="U30" s="9"/>
      <c r="V30" s="9"/>
      <c r="W30" s="9">
        <f t="shared" si="2"/>
        <v>3037.46</v>
      </c>
      <c r="X30" s="17"/>
      <c r="Y30" s="22"/>
    </row>
    <row r="31" ht="15" spans="1:25">
      <c r="A31" s="4">
        <v>1</v>
      </c>
      <c r="B31" s="5" t="s">
        <v>47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f>500+2720</f>
        <v>3220</v>
      </c>
      <c r="O31" s="6">
        <v>241</v>
      </c>
      <c r="P31" s="6"/>
      <c r="Q31" s="6"/>
      <c r="R31" s="6"/>
      <c r="S31" s="6">
        <f>300+841</f>
        <v>1141</v>
      </c>
      <c r="T31" s="6"/>
      <c r="U31" s="6"/>
      <c r="V31" s="6"/>
      <c r="W31" s="6">
        <f t="shared" si="2"/>
        <v>4602</v>
      </c>
      <c r="X31" s="18"/>
      <c r="Y31" s="21"/>
    </row>
    <row r="32" ht="15" spans="1:25">
      <c r="A32" s="7">
        <v>2</v>
      </c>
      <c r="B32" s="8" t="s">
        <v>48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"/>
        <v>0</v>
      </c>
      <c r="X32" s="17"/>
      <c r="Y32" s="22"/>
    </row>
    <row r="33" ht="15" spans="1:25">
      <c r="A33" s="4">
        <v>3</v>
      </c>
      <c r="B33" s="5" t="s">
        <v>49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>
        <f t="shared" si="2"/>
        <v>0</v>
      </c>
      <c r="X33" s="18"/>
      <c r="Y33" s="21"/>
    </row>
    <row r="34" ht="15" spans="1:25">
      <c r="A34" s="7">
        <v>4</v>
      </c>
      <c r="B34" s="8" t="s">
        <v>43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2"/>
        <v>0</v>
      </c>
      <c r="X34" s="17">
        <v>3000</v>
      </c>
      <c r="Y34" s="22"/>
    </row>
    <row r="35" spans="1:25">
      <c r="A35" s="32" t="s">
        <v>55</v>
      </c>
      <c r="B35" s="32"/>
      <c r="C35" s="33">
        <f>SUM(C19:C34)</f>
        <v>10739.46</v>
      </c>
      <c r="D35" s="33">
        <f t="shared" ref="D35:X35" si="3">SUM(D19:D34)</f>
        <v>5696.28</v>
      </c>
      <c r="E35" s="33">
        <f t="shared" si="3"/>
        <v>1330</v>
      </c>
      <c r="F35" s="33">
        <f t="shared" si="3"/>
        <v>0</v>
      </c>
      <c r="G35" s="33">
        <f t="shared" si="3"/>
        <v>0</v>
      </c>
      <c r="H35" s="33">
        <f t="shared" si="3"/>
        <v>5560</v>
      </c>
      <c r="I35" s="33">
        <f t="shared" si="3"/>
        <v>1601.91</v>
      </c>
      <c r="J35" s="33">
        <f t="shared" si="3"/>
        <v>3600</v>
      </c>
      <c r="K35" s="33">
        <f t="shared" si="3"/>
        <v>0</v>
      </c>
      <c r="L35" s="33">
        <f t="shared" si="3"/>
        <v>437</v>
      </c>
      <c r="M35" s="33">
        <f t="shared" si="3"/>
        <v>0</v>
      </c>
      <c r="N35" s="33">
        <f t="shared" si="3"/>
        <v>3220</v>
      </c>
      <c r="O35" s="33">
        <f t="shared" si="3"/>
        <v>3944</v>
      </c>
      <c r="P35" s="33">
        <f t="shared" si="3"/>
        <v>25.18</v>
      </c>
      <c r="Q35" s="33">
        <f t="shared" si="3"/>
        <v>785</v>
      </c>
      <c r="R35" s="33">
        <f t="shared" si="3"/>
        <v>0</v>
      </c>
      <c r="S35" s="33">
        <f t="shared" si="3"/>
        <v>2790</v>
      </c>
      <c r="T35" s="33">
        <f t="shared" si="3"/>
        <v>2447</v>
      </c>
      <c r="U35" s="33">
        <f t="shared" si="3"/>
        <v>2316</v>
      </c>
      <c r="V35" s="33">
        <f t="shared" si="3"/>
        <v>3095</v>
      </c>
      <c r="W35" s="33">
        <f t="shared" si="3"/>
        <v>47586.83</v>
      </c>
      <c r="X35" s="35">
        <f t="shared" si="3"/>
        <v>46088.14</v>
      </c>
      <c r="Y35" s="23">
        <f>X35-W35</f>
        <v>-1498.69</v>
      </c>
    </row>
    <row r="36" ht="31.5" customHeight="1" spans="1:25">
      <c r="A36" s="34" t="s">
        <v>56</v>
      </c>
      <c r="B36" s="34"/>
      <c r="C36" s="26">
        <f>SUM(C18,C35)</f>
        <v>19167.81</v>
      </c>
      <c r="D36" s="26">
        <f t="shared" ref="D36:Y36" si="4">SUM(D18,D35)</f>
        <v>14407.64</v>
      </c>
      <c r="E36" s="26">
        <f t="shared" si="4"/>
        <v>1330</v>
      </c>
      <c r="F36" s="26">
        <f t="shared" si="4"/>
        <v>1434</v>
      </c>
      <c r="G36" s="26">
        <f t="shared" si="4"/>
        <v>0</v>
      </c>
      <c r="H36" s="26">
        <f t="shared" si="4"/>
        <v>14464</v>
      </c>
      <c r="I36" s="26">
        <f t="shared" si="4"/>
        <v>2351.91</v>
      </c>
      <c r="J36" s="26">
        <f t="shared" si="4"/>
        <v>3600</v>
      </c>
      <c r="K36" s="26">
        <f t="shared" si="4"/>
        <v>5015.52</v>
      </c>
      <c r="L36" s="26">
        <f t="shared" si="4"/>
        <v>437</v>
      </c>
      <c r="M36" s="26">
        <f t="shared" si="4"/>
        <v>0</v>
      </c>
      <c r="N36" s="26">
        <f t="shared" si="4"/>
        <v>3220</v>
      </c>
      <c r="O36" s="26">
        <f t="shared" si="4"/>
        <v>6275</v>
      </c>
      <c r="P36" s="26">
        <f t="shared" si="4"/>
        <v>3342.18</v>
      </c>
      <c r="Q36" s="26">
        <f t="shared" si="4"/>
        <v>4247</v>
      </c>
      <c r="R36" s="26">
        <f t="shared" si="4"/>
        <v>0</v>
      </c>
      <c r="S36" s="26">
        <f t="shared" si="4"/>
        <v>9339</v>
      </c>
      <c r="T36" s="26">
        <f t="shared" si="4"/>
        <v>11746</v>
      </c>
      <c r="U36" s="26">
        <f t="shared" si="4"/>
        <v>2316</v>
      </c>
      <c r="V36" s="26">
        <f t="shared" si="4"/>
        <v>3095</v>
      </c>
      <c r="W36" s="26">
        <f t="shared" si="4"/>
        <v>105788.06</v>
      </c>
      <c r="X36" s="26">
        <f t="shared" si="4"/>
        <v>103059.05</v>
      </c>
      <c r="Y36" s="26">
        <f t="shared" si="4"/>
        <v>-2729.01</v>
      </c>
    </row>
    <row r="40" spans="2:11">
      <c r="B40" s="14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85" zoomScaleNormal="85" workbookViewId="0">
      <pane xSplit="2" ySplit="36" topLeftCell="C46" activePane="bottomRight" state="frozen"/>
      <selection/>
      <selection pane="topRight"/>
      <selection pane="bottomLeft"/>
      <selection pane="bottomRight" activeCell="H28" sqref="H28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25">
      <c r="A1" s="27" t="s">
        <v>58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 ht="45" customHeight="1" spans="1:47">
      <c r="A2" s="3" t="s">
        <v>21</v>
      </c>
      <c r="B2" s="3" t="s">
        <v>22</v>
      </c>
      <c r="C2" s="3" t="s">
        <v>23</v>
      </c>
      <c r="D2" s="3" t="s">
        <v>25</v>
      </c>
      <c r="E2" s="3" t="s">
        <v>24</v>
      </c>
      <c r="F2" s="3" t="s">
        <v>51</v>
      </c>
      <c r="G2" s="3" t="s">
        <v>53</v>
      </c>
      <c r="H2" s="3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32</v>
      </c>
      <c r="N2" s="3" t="s">
        <v>33</v>
      </c>
      <c r="O2" s="3" t="s">
        <v>34</v>
      </c>
      <c r="P2" s="3" t="s">
        <v>35</v>
      </c>
      <c r="Q2" s="3" t="s">
        <v>36</v>
      </c>
      <c r="R2" s="3" t="s">
        <v>37</v>
      </c>
      <c r="S2" s="3" t="s">
        <v>38</v>
      </c>
      <c r="T2" s="3" t="s">
        <v>39</v>
      </c>
      <c r="U2" s="3" t="s">
        <v>39</v>
      </c>
      <c r="V2" s="3" t="s">
        <v>40</v>
      </c>
      <c r="W2" s="3" t="s">
        <v>41</v>
      </c>
      <c r="X2" s="3" t="s">
        <v>42</v>
      </c>
      <c r="Y2" s="3" t="s">
        <v>5</v>
      </c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</row>
    <row r="3" ht="15" spans="1:25">
      <c r="A3" s="4">
        <v>5</v>
      </c>
      <c r="B3" s="5" t="s">
        <v>44</v>
      </c>
      <c r="C3" s="6">
        <f>310+1963+195</f>
        <v>2468</v>
      </c>
      <c r="D3" s="6">
        <v>2091</v>
      </c>
      <c r="E3" s="6"/>
      <c r="F3" s="6">
        <v>596</v>
      </c>
      <c r="G3" s="6"/>
      <c r="H3" s="6">
        <f>209</f>
        <v>209</v>
      </c>
      <c r="I3" s="6"/>
      <c r="J3" s="6"/>
      <c r="K3" s="6"/>
      <c r="L3" s="6"/>
      <c r="M3" s="6"/>
      <c r="N3" s="6"/>
      <c r="O3" s="6">
        <v>271</v>
      </c>
      <c r="P3" s="6">
        <v>1000</v>
      </c>
      <c r="Q3" s="6"/>
      <c r="R3" s="6"/>
      <c r="S3" s="6">
        <f>199</f>
        <v>199</v>
      </c>
      <c r="T3" s="6">
        <v>2300</v>
      </c>
      <c r="U3" s="6"/>
      <c r="V3" s="6">
        <f>850</f>
        <v>850</v>
      </c>
      <c r="W3" s="6">
        <f>SUM(C3:V3)</f>
        <v>9984</v>
      </c>
      <c r="X3" s="18">
        <f>35654.26+22580</f>
        <v>58234.26</v>
      </c>
      <c r="Y3" s="21"/>
    </row>
    <row r="4" ht="15" spans="1:25">
      <c r="A4" s="7">
        <v>6</v>
      </c>
      <c r="B4" s="8" t="s">
        <v>45</v>
      </c>
      <c r="C4" s="9"/>
      <c r="D4" s="9">
        <f>5183+98</f>
        <v>5281</v>
      </c>
      <c r="E4" s="9"/>
      <c r="F4" s="9"/>
      <c r="G4" s="9"/>
      <c r="H4" s="9">
        <v>1450</v>
      </c>
      <c r="I4" s="9"/>
      <c r="J4" s="9"/>
      <c r="K4" s="9"/>
      <c r="L4" s="9"/>
      <c r="M4" s="9"/>
      <c r="N4" s="9">
        <v>2000</v>
      </c>
      <c r="O4" s="9"/>
      <c r="P4" s="9"/>
      <c r="Q4" s="9">
        <v>5700</v>
      </c>
      <c r="R4" s="9"/>
      <c r="S4" s="9">
        <v>700</v>
      </c>
      <c r="T4" s="9"/>
      <c r="U4" s="9"/>
      <c r="V4" s="9"/>
      <c r="W4" s="9">
        <f>SUM(C4:V4)</f>
        <v>15131</v>
      </c>
      <c r="X4" s="17"/>
      <c r="Y4" s="22"/>
    </row>
    <row r="5" ht="15" spans="1:25">
      <c r="A5" s="4">
        <v>7</v>
      </c>
      <c r="B5" s="5" t="s">
        <v>46</v>
      </c>
      <c r="C5" s="6">
        <f>280+1103</f>
        <v>1383</v>
      </c>
      <c r="D5" s="6"/>
      <c r="E5" s="6"/>
      <c r="F5" s="6"/>
      <c r="G5" s="6"/>
      <c r="H5" s="6">
        <v>1280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>
        <v>1075</v>
      </c>
      <c r="U5" s="6"/>
      <c r="V5" s="6"/>
      <c r="W5" s="6">
        <f t="shared" ref="W5:W17" si="0">SUM(C5:V5)</f>
        <v>3738</v>
      </c>
      <c r="X5" s="18"/>
      <c r="Y5" s="21"/>
    </row>
    <row r="6" ht="15" spans="1:25">
      <c r="A6" s="7">
        <v>8</v>
      </c>
      <c r="B6" s="8" t="s">
        <v>47</v>
      </c>
      <c r="C6" s="9">
        <f>155</f>
        <v>155</v>
      </c>
      <c r="D6" s="9"/>
      <c r="E6" s="9"/>
      <c r="F6" s="9">
        <f>700</f>
        <v>700</v>
      </c>
      <c r="G6" s="9"/>
      <c r="H6" s="9">
        <v>1734</v>
      </c>
      <c r="I6" s="9"/>
      <c r="J6" s="9"/>
      <c r="K6" s="9"/>
      <c r="L6" s="9"/>
      <c r="M6" s="9"/>
      <c r="N6" s="9"/>
      <c r="O6" s="9"/>
      <c r="P6" s="9">
        <v>336</v>
      </c>
      <c r="Q6" s="9"/>
      <c r="R6" s="9"/>
      <c r="S6" s="9"/>
      <c r="T6" s="9">
        <v>990</v>
      </c>
      <c r="U6" s="9"/>
      <c r="V6" s="9"/>
      <c r="W6" s="9">
        <f t="shared" si="0"/>
        <v>3915</v>
      </c>
      <c r="X6" s="17"/>
      <c r="Y6" s="22"/>
    </row>
    <row r="7" ht="15" spans="1:25">
      <c r="A7" s="4">
        <v>9</v>
      </c>
      <c r="B7" s="5" t="s">
        <v>48</v>
      </c>
      <c r="C7" s="6">
        <v>1707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>
        <f>1000+297</f>
        <v>1297</v>
      </c>
      <c r="Q7" s="6">
        <v>400</v>
      </c>
      <c r="R7" s="6"/>
      <c r="S7" s="6"/>
      <c r="T7" s="6"/>
      <c r="U7" s="6"/>
      <c r="V7" s="6"/>
      <c r="W7" s="6">
        <f t="shared" si="0"/>
        <v>3404</v>
      </c>
      <c r="X7" s="18"/>
      <c r="Y7" s="21"/>
    </row>
    <row r="8" ht="15" spans="1:25">
      <c r="A8" s="7">
        <v>10</v>
      </c>
      <c r="B8" s="8" t="s">
        <v>49</v>
      </c>
      <c r="C8" s="9"/>
      <c r="D8" s="9">
        <v>1261</v>
      </c>
      <c r="E8" s="9"/>
      <c r="F8" s="9">
        <f>1080+740</f>
        <v>1820</v>
      </c>
      <c r="G8" s="9"/>
      <c r="H8" s="9"/>
      <c r="I8" s="9"/>
      <c r="J8" s="9"/>
      <c r="K8" s="9"/>
      <c r="L8" s="9"/>
      <c r="M8" s="9"/>
      <c r="N8" s="9">
        <f>15454</f>
        <v>15454</v>
      </c>
      <c r="O8" s="9"/>
      <c r="P8" s="9"/>
      <c r="Q8" s="9">
        <v>2630</v>
      </c>
      <c r="R8" s="9"/>
      <c r="S8" s="9">
        <v>841</v>
      </c>
      <c r="T8" s="9"/>
      <c r="U8" s="9"/>
      <c r="V8" s="9"/>
      <c r="W8" s="9">
        <f t="shared" si="0"/>
        <v>22006</v>
      </c>
      <c r="X8" s="17"/>
      <c r="Y8" s="22"/>
    </row>
    <row r="9" ht="15" spans="1:25">
      <c r="A9" s="4">
        <v>11</v>
      </c>
      <c r="B9" s="5" t="s">
        <v>43</v>
      </c>
      <c r="C9" s="6">
        <v>1198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>
        <f>201+203+153</f>
        <v>557</v>
      </c>
      <c r="P9" s="6"/>
      <c r="Q9" s="6">
        <v>2600</v>
      </c>
      <c r="R9" s="6"/>
      <c r="S9" s="6"/>
      <c r="T9" s="6"/>
      <c r="U9" s="6"/>
      <c r="V9" s="6"/>
      <c r="W9" s="6">
        <f t="shared" si="0"/>
        <v>4355</v>
      </c>
      <c r="X9" s="18">
        <v>15000</v>
      </c>
      <c r="Y9" s="21"/>
    </row>
    <row r="10" ht="15" spans="1:25">
      <c r="A10" s="7">
        <v>12</v>
      </c>
      <c r="B10" s="8" t="s">
        <v>44</v>
      </c>
      <c r="C10" s="9"/>
      <c r="D10" s="9">
        <v>1951.75</v>
      </c>
      <c r="E10" s="9">
        <v>1310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0"/>
        <v>3261.75</v>
      </c>
      <c r="X10" s="17"/>
      <c r="Y10" s="22"/>
    </row>
    <row r="11" ht="15" spans="1:25">
      <c r="A11" s="4">
        <v>13</v>
      </c>
      <c r="B11" s="5" t="s">
        <v>45</v>
      </c>
      <c r="C11" s="6">
        <f>391+602</f>
        <v>993</v>
      </c>
      <c r="D11" s="6">
        <v>1090.32</v>
      </c>
      <c r="E11" s="6">
        <v>4180</v>
      </c>
      <c r="F11" s="6"/>
      <c r="G11" s="6"/>
      <c r="H11" s="6"/>
      <c r="I11" s="6">
        <v>1413</v>
      </c>
      <c r="J11" s="6"/>
      <c r="K11" s="6"/>
      <c r="L11" s="6"/>
      <c r="M11" s="6"/>
      <c r="N11" s="6"/>
      <c r="O11" s="6">
        <v>340</v>
      </c>
      <c r="P11" s="6"/>
      <c r="Q11" s="6"/>
      <c r="R11" s="6"/>
      <c r="S11" s="6"/>
      <c r="T11" s="6"/>
      <c r="U11" s="6"/>
      <c r="V11" s="6"/>
      <c r="W11" s="6">
        <f t="shared" si="0"/>
        <v>8016.32</v>
      </c>
      <c r="X11" s="18"/>
      <c r="Y11" s="21"/>
    </row>
    <row r="12" ht="15" spans="1:25">
      <c r="A12" s="7">
        <v>14</v>
      </c>
      <c r="B12" s="8" t="s">
        <v>46</v>
      </c>
      <c r="C12" s="9"/>
      <c r="D12" s="9">
        <v>1743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>
        <v>385</v>
      </c>
      <c r="P12" s="9"/>
      <c r="Q12" s="9">
        <v>-1000</v>
      </c>
      <c r="R12" s="9"/>
      <c r="S12" s="9"/>
      <c r="T12" s="9"/>
      <c r="U12" s="9"/>
      <c r="V12" s="9"/>
      <c r="W12" s="9">
        <f t="shared" si="0"/>
        <v>1128</v>
      </c>
      <c r="X12" s="17"/>
      <c r="Y12" s="22"/>
    </row>
    <row r="13" ht="15" spans="1:25">
      <c r="A13" s="4">
        <v>15</v>
      </c>
      <c r="B13" s="5" t="s">
        <v>47</v>
      </c>
      <c r="C13" s="6"/>
      <c r="D13" s="6">
        <v>152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>
        <v>358</v>
      </c>
      <c r="P13" s="6"/>
      <c r="Q13" s="6">
        <v>-300</v>
      </c>
      <c r="R13" s="6"/>
      <c r="S13" s="6">
        <v>842</v>
      </c>
      <c r="T13" s="6"/>
      <c r="U13" s="6"/>
      <c r="V13" s="6"/>
      <c r="W13" s="6">
        <f t="shared" si="0"/>
        <v>1052</v>
      </c>
      <c r="X13" s="18"/>
      <c r="Y13" s="21"/>
    </row>
    <row r="14" ht="15" spans="1:25">
      <c r="A14" s="7">
        <v>16</v>
      </c>
      <c r="B14" s="8" t="s">
        <v>48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0"/>
        <v>0</v>
      </c>
      <c r="X14" s="16">
        <v>5000</v>
      </c>
      <c r="Y14" s="22"/>
    </row>
    <row r="15" ht="15" spans="1:25">
      <c r="A15" s="4">
        <v>17</v>
      </c>
      <c r="B15" s="5" t="s">
        <v>49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>
        <f t="shared" si="0"/>
        <v>0</v>
      </c>
      <c r="X15" s="18"/>
      <c r="Y15" s="21"/>
    </row>
    <row r="16" ht="15" spans="1:25">
      <c r="A16" s="7">
        <v>18</v>
      </c>
      <c r="B16" s="8" t="s">
        <v>43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0"/>
        <v>0</v>
      </c>
      <c r="X16" s="16">
        <v>2000</v>
      </c>
      <c r="Y16" s="22"/>
    </row>
    <row r="17" ht="15" spans="1:25">
      <c r="A17" s="4">
        <v>19</v>
      </c>
      <c r="B17" s="5" t="s">
        <v>44</v>
      </c>
      <c r="C17" s="6"/>
      <c r="D17" s="6">
        <v>2587</v>
      </c>
      <c r="E17" s="6"/>
      <c r="F17" s="6"/>
      <c r="G17" s="6"/>
      <c r="H17" s="6">
        <v>1836</v>
      </c>
      <c r="I17" s="6"/>
      <c r="J17" s="6"/>
      <c r="K17" s="6"/>
      <c r="L17" s="6"/>
      <c r="M17" s="6"/>
      <c r="N17" s="6"/>
      <c r="O17" s="6"/>
      <c r="P17" s="6">
        <f>280+13</f>
        <v>293</v>
      </c>
      <c r="Q17" s="6"/>
      <c r="R17" s="6"/>
      <c r="S17" s="6">
        <v>499</v>
      </c>
      <c r="T17" s="6">
        <v>640</v>
      </c>
      <c r="U17" s="6"/>
      <c r="V17" s="6"/>
      <c r="W17" s="6">
        <f t="shared" si="0"/>
        <v>5855</v>
      </c>
      <c r="X17" s="18"/>
      <c r="Y17" s="21"/>
    </row>
    <row r="18" spans="1:25">
      <c r="A18" s="10" t="s">
        <v>54</v>
      </c>
      <c r="B18" s="10"/>
      <c r="C18" s="11">
        <f t="shared" ref="C18:X18" si="1">SUM(C3:C17)</f>
        <v>7904</v>
      </c>
      <c r="D18" s="11">
        <f t="shared" si="1"/>
        <v>16157.07</v>
      </c>
      <c r="E18" s="11">
        <f t="shared" si="1"/>
        <v>5490</v>
      </c>
      <c r="F18" s="11">
        <f t="shared" si="1"/>
        <v>3116</v>
      </c>
      <c r="G18" s="11">
        <f t="shared" si="1"/>
        <v>0</v>
      </c>
      <c r="H18" s="11">
        <f t="shared" si="1"/>
        <v>6509</v>
      </c>
      <c r="I18" s="11">
        <f t="shared" si="1"/>
        <v>1413</v>
      </c>
      <c r="J18" s="11">
        <f t="shared" si="1"/>
        <v>0</v>
      </c>
      <c r="K18" s="11">
        <f t="shared" si="1"/>
        <v>0</v>
      </c>
      <c r="L18" s="11">
        <f t="shared" si="1"/>
        <v>0</v>
      </c>
      <c r="M18" s="11">
        <f t="shared" si="1"/>
        <v>0</v>
      </c>
      <c r="N18" s="11">
        <f t="shared" si="1"/>
        <v>17454</v>
      </c>
      <c r="O18" s="11">
        <f t="shared" si="1"/>
        <v>1911</v>
      </c>
      <c r="P18" s="11">
        <f t="shared" si="1"/>
        <v>2926</v>
      </c>
      <c r="Q18" s="11">
        <f t="shared" si="1"/>
        <v>10030</v>
      </c>
      <c r="R18" s="11">
        <f t="shared" si="1"/>
        <v>0</v>
      </c>
      <c r="S18" s="11">
        <f t="shared" si="1"/>
        <v>3081</v>
      </c>
      <c r="T18" s="11">
        <f t="shared" si="1"/>
        <v>5005</v>
      </c>
      <c r="U18" s="11">
        <f t="shared" si="1"/>
        <v>0</v>
      </c>
      <c r="V18" s="11">
        <f t="shared" si="1"/>
        <v>850</v>
      </c>
      <c r="W18" s="11">
        <f t="shared" si="1"/>
        <v>81846.07</v>
      </c>
      <c r="X18" s="19">
        <f t="shared" si="1"/>
        <v>80234.26</v>
      </c>
      <c r="Y18" s="23">
        <f>X18-W18</f>
        <v>-1611.81</v>
      </c>
    </row>
    <row r="19" ht="15" spans="1:25">
      <c r="A19" s="4">
        <v>20</v>
      </c>
      <c r="B19" s="5" t="s">
        <v>45</v>
      </c>
      <c r="C19" s="6"/>
      <c r="D19" s="6"/>
      <c r="E19" s="6"/>
      <c r="F19" s="6"/>
      <c r="G19" s="6"/>
      <c r="H19" s="6">
        <v>351</v>
      </c>
      <c r="I19" s="6"/>
      <c r="J19" s="6"/>
      <c r="K19" s="6"/>
      <c r="L19" s="6"/>
      <c r="M19" s="6"/>
      <c r="N19" s="6">
        <v>7500</v>
      </c>
      <c r="O19" s="6">
        <v>556</v>
      </c>
      <c r="P19" s="6"/>
      <c r="Q19" s="6"/>
      <c r="R19" s="6"/>
      <c r="S19" s="6"/>
      <c r="T19" s="6"/>
      <c r="U19" s="6"/>
      <c r="V19" s="6"/>
      <c r="W19" s="6">
        <f>SUM(C19:V19)</f>
        <v>8407</v>
      </c>
      <c r="X19" s="18">
        <v>32257.28</v>
      </c>
      <c r="Y19" s="21"/>
    </row>
    <row r="20" ht="15" spans="1:27">
      <c r="A20" s="7">
        <v>21</v>
      </c>
      <c r="B20" s="8" t="s">
        <v>46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ref="W20:W34" si="2">SUM(C20:V20)</f>
        <v>0</v>
      </c>
      <c r="X20" s="17"/>
      <c r="Y20" s="22"/>
      <c r="AA20" s="24"/>
    </row>
    <row r="21" ht="15" spans="1:25">
      <c r="A21" s="4">
        <v>22</v>
      </c>
      <c r="B21" s="5" t="s">
        <v>47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>
        <f t="shared" si="2"/>
        <v>0</v>
      </c>
      <c r="X21" s="18"/>
      <c r="Y21" s="21"/>
    </row>
    <row r="22" ht="15" spans="1:25">
      <c r="A22" s="7">
        <v>23</v>
      </c>
      <c r="B22" s="8" t="s">
        <v>48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>
        <f t="shared" si="2"/>
        <v>0</v>
      </c>
      <c r="X22" s="17"/>
      <c r="Y22" s="22"/>
    </row>
    <row r="23" ht="15" spans="1:25">
      <c r="A23" s="4">
        <v>24</v>
      </c>
      <c r="B23" s="5" t="s">
        <v>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>
        <f t="shared" si="2"/>
        <v>0</v>
      </c>
      <c r="X23" s="18"/>
      <c r="Y23" s="21"/>
    </row>
    <row r="24" ht="15" spans="1:25">
      <c r="A24" s="7">
        <v>25</v>
      </c>
      <c r="B24" s="8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>
        <f t="shared" si="2"/>
        <v>0</v>
      </c>
      <c r="X24" s="17"/>
      <c r="Y24" s="22"/>
    </row>
    <row r="25" ht="15" spans="1:25">
      <c r="A25" s="4">
        <v>26</v>
      </c>
      <c r="B25" s="5" t="s">
        <v>44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>
        <f t="shared" si="2"/>
        <v>0</v>
      </c>
      <c r="X25" s="18"/>
      <c r="Y25" s="21"/>
    </row>
    <row r="26" ht="15" spans="1:25">
      <c r="A26" s="7">
        <v>27</v>
      </c>
      <c r="B26" s="8" t="s">
        <v>45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2"/>
        <v>0</v>
      </c>
      <c r="X26" s="17"/>
      <c r="Y26" s="22"/>
    </row>
    <row r="27" ht="15" spans="1:25">
      <c r="A27" s="4">
        <v>28</v>
      </c>
      <c r="B27" s="5" t="s">
        <v>46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>
        <f t="shared" si="2"/>
        <v>0</v>
      </c>
      <c r="X27" s="18"/>
      <c r="Y27" s="21"/>
    </row>
    <row r="28" ht="15" spans="1:25">
      <c r="A28" s="7">
        <v>29</v>
      </c>
      <c r="B28" s="8" t="s">
        <v>47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2"/>
        <v>0</v>
      </c>
      <c r="X28" s="17"/>
      <c r="Y28" s="22"/>
    </row>
    <row r="29" ht="15" spans="1:25">
      <c r="A29" s="4">
        <v>30</v>
      </c>
      <c r="B29" s="5" t="s">
        <v>48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>
        <f t="shared" si="2"/>
        <v>0</v>
      </c>
      <c r="X29" s="18"/>
      <c r="Y29" s="21"/>
    </row>
    <row r="30" ht="15" spans="1:25">
      <c r="A30" s="7">
        <v>31</v>
      </c>
      <c r="B30" s="8" t="s">
        <v>49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f t="shared" si="2"/>
        <v>0</v>
      </c>
      <c r="X30" s="17"/>
      <c r="Y30" s="22"/>
    </row>
    <row r="31" ht="15" spans="1:25">
      <c r="A31" s="4">
        <v>1</v>
      </c>
      <c r="B31" s="5" t="s">
        <v>43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>
        <f t="shared" si="2"/>
        <v>0</v>
      </c>
      <c r="X31" s="18"/>
      <c r="Y31" s="21"/>
    </row>
    <row r="32" ht="15" spans="1:25">
      <c r="A32" s="7">
        <v>2</v>
      </c>
      <c r="B32" s="8" t="s">
        <v>44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"/>
        <v>0</v>
      </c>
      <c r="X32" s="17"/>
      <c r="Y32" s="22"/>
    </row>
    <row r="33" ht="15" spans="1:25">
      <c r="A33" s="4">
        <v>3</v>
      </c>
      <c r="B33" s="5" t="s">
        <v>45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>
        <f t="shared" si="2"/>
        <v>0</v>
      </c>
      <c r="X33" s="18"/>
      <c r="Y33" s="21"/>
    </row>
    <row r="34" ht="15" spans="1:25">
      <c r="A34" s="7">
        <v>4</v>
      </c>
      <c r="B34" s="8" t="s">
        <v>46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2"/>
        <v>0</v>
      </c>
      <c r="X34" s="17"/>
      <c r="Y34" s="22"/>
    </row>
    <row r="35" spans="1:25">
      <c r="A35" s="10" t="s">
        <v>55</v>
      </c>
      <c r="B35" s="10"/>
      <c r="C35" s="11">
        <f>SUM(C19:C34)</f>
        <v>0</v>
      </c>
      <c r="D35" s="11">
        <f t="shared" ref="D35:X35" si="3">SUM(D19:D34)</f>
        <v>0</v>
      </c>
      <c r="E35" s="11">
        <f t="shared" si="3"/>
        <v>0</v>
      </c>
      <c r="F35" s="11">
        <f t="shared" si="3"/>
        <v>0</v>
      </c>
      <c r="G35" s="11">
        <f t="shared" si="3"/>
        <v>0</v>
      </c>
      <c r="H35" s="11">
        <f t="shared" si="3"/>
        <v>351</v>
      </c>
      <c r="I35" s="11">
        <f t="shared" si="3"/>
        <v>0</v>
      </c>
      <c r="J35" s="11">
        <f t="shared" si="3"/>
        <v>0</v>
      </c>
      <c r="K35" s="11">
        <f t="shared" si="3"/>
        <v>0</v>
      </c>
      <c r="L35" s="11">
        <f t="shared" si="3"/>
        <v>0</v>
      </c>
      <c r="M35" s="11">
        <f t="shared" si="3"/>
        <v>0</v>
      </c>
      <c r="N35" s="11">
        <f t="shared" si="3"/>
        <v>7500</v>
      </c>
      <c r="O35" s="11">
        <f t="shared" si="3"/>
        <v>556</v>
      </c>
      <c r="P35" s="11">
        <f t="shared" si="3"/>
        <v>0</v>
      </c>
      <c r="Q35" s="11">
        <f t="shared" si="3"/>
        <v>0</v>
      </c>
      <c r="R35" s="11">
        <f t="shared" si="3"/>
        <v>0</v>
      </c>
      <c r="S35" s="11">
        <f t="shared" si="3"/>
        <v>0</v>
      </c>
      <c r="T35" s="11">
        <f t="shared" si="3"/>
        <v>0</v>
      </c>
      <c r="U35" s="11">
        <f t="shared" si="3"/>
        <v>0</v>
      </c>
      <c r="V35" s="11">
        <f t="shared" si="3"/>
        <v>0</v>
      </c>
      <c r="W35" s="11">
        <f t="shared" si="3"/>
        <v>8407</v>
      </c>
      <c r="X35" s="19">
        <f t="shared" si="3"/>
        <v>32257.28</v>
      </c>
      <c r="Y35" s="23">
        <f>X35-W35</f>
        <v>23850.28</v>
      </c>
    </row>
    <row r="36" ht="31.5" customHeight="1" spans="1:25">
      <c r="A36" s="28" t="s">
        <v>56</v>
      </c>
      <c r="B36" s="28"/>
      <c r="C36" s="29">
        <f>SUM(C18,C35)</f>
        <v>7904</v>
      </c>
      <c r="D36" s="29">
        <f t="shared" ref="D36:Y36" si="4">SUM(D18,D35)</f>
        <v>16157.07</v>
      </c>
      <c r="E36" s="29">
        <f t="shared" si="4"/>
        <v>5490</v>
      </c>
      <c r="F36" s="29">
        <f t="shared" si="4"/>
        <v>3116</v>
      </c>
      <c r="G36" s="29">
        <f t="shared" si="4"/>
        <v>0</v>
      </c>
      <c r="H36" s="29">
        <f t="shared" si="4"/>
        <v>6860</v>
      </c>
      <c r="I36" s="29">
        <f t="shared" si="4"/>
        <v>1413</v>
      </c>
      <c r="J36" s="29">
        <f t="shared" si="4"/>
        <v>0</v>
      </c>
      <c r="K36" s="29">
        <f t="shared" si="4"/>
        <v>0</v>
      </c>
      <c r="L36" s="29">
        <f t="shared" si="4"/>
        <v>0</v>
      </c>
      <c r="M36" s="29">
        <f t="shared" si="4"/>
        <v>0</v>
      </c>
      <c r="N36" s="29">
        <f t="shared" si="4"/>
        <v>24954</v>
      </c>
      <c r="O36" s="29">
        <f t="shared" si="4"/>
        <v>2467</v>
      </c>
      <c r="P36" s="29">
        <f t="shared" si="4"/>
        <v>2926</v>
      </c>
      <c r="Q36" s="29">
        <f t="shared" si="4"/>
        <v>10030</v>
      </c>
      <c r="R36" s="29">
        <f t="shared" si="4"/>
        <v>0</v>
      </c>
      <c r="S36" s="29">
        <f t="shared" si="4"/>
        <v>3081</v>
      </c>
      <c r="T36" s="29">
        <f t="shared" si="4"/>
        <v>5005</v>
      </c>
      <c r="U36" s="29">
        <f t="shared" si="4"/>
        <v>0</v>
      </c>
      <c r="V36" s="29">
        <f t="shared" si="4"/>
        <v>850</v>
      </c>
      <c r="W36" s="29">
        <f t="shared" si="4"/>
        <v>90253.07</v>
      </c>
      <c r="X36" s="29">
        <f t="shared" si="4"/>
        <v>112491.54</v>
      </c>
      <c r="Y36" s="26">
        <f t="shared" si="4"/>
        <v>22238.47</v>
      </c>
    </row>
    <row r="40" spans="2:11">
      <c r="B40" s="14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2"/>
  <sheetViews>
    <sheetView tabSelected="1" zoomScale="85" zoomScaleNormal="85" workbookViewId="0">
      <selection activeCell="X4" sqref="X4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25">
      <c r="A1" s="2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45" customHeight="1" spans="1:47">
      <c r="A2" s="3" t="s">
        <v>21</v>
      </c>
      <c r="B2" s="3" t="s">
        <v>22</v>
      </c>
      <c r="C2" s="3" t="s">
        <v>23</v>
      </c>
      <c r="D2" s="3" t="s">
        <v>25</v>
      </c>
      <c r="E2" s="3" t="s">
        <v>24</v>
      </c>
      <c r="F2" s="3" t="s">
        <v>51</v>
      </c>
      <c r="G2" s="3" t="s">
        <v>53</v>
      </c>
      <c r="H2" s="3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32</v>
      </c>
      <c r="N2" s="3" t="s">
        <v>33</v>
      </c>
      <c r="O2" s="3" t="s">
        <v>34</v>
      </c>
      <c r="P2" s="3" t="s">
        <v>35</v>
      </c>
      <c r="Q2" s="3" t="s">
        <v>36</v>
      </c>
      <c r="R2" s="3" t="s">
        <v>37</v>
      </c>
      <c r="S2" s="3" t="s">
        <v>38</v>
      </c>
      <c r="T2" s="3" t="s">
        <v>39</v>
      </c>
      <c r="U2" s="3" t="s">
        <v>39</v>
      </c>
      <c r="V2" s="3" t="s">
        <v>40</v>
      </c>
      <c r="W2" s="15" t="s">
        <v>41</v>
      </c>
      <c r="X2" s="15" t="s">
        <v>42</v>
      </c>
      <c r="Y2" s="15" t="s">
        <v>5</v>
      </c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</row>
    <row r="3" ht="15" spans="1:25">
      <c r="A3" s="4">
        <v>3</v>
      </c>
      <c r="B3" s="5" t="s">
        <v>44</v>
      </c>
      <c r="C3" s="6">
        <f>99</f>
        <v>99</v>
      </c>
      <c r="D3" s="6"/>
      <c r="E3" s="6"/>
      <c r="F3" s="6"/>
      <c r="G3" s="6"/>
      <c r="H3" s="6"/>
      <c r="I3" s="6"/>
      <c r="J3" s="6"/>
      <c r="K3" s="6"/>
      <c r="L3" s="6">
        <f>1500+75</f>
        <v>1575</v>
      </c>
      <c r="M3" s="6"/>
      <c r="N3" s="6"/>
      <c r="O3" s="6"/>
      <c r="P3" s="6"/>
      <c r="Q3" s="6">
        <v>10000</v>
      </c>
      <c r="R3" s="6"/>
      <c r="S3" s="6">
        <f>799</f>
        <v>799</v>
      </c>
      <c r="T3" s="6"/>
      <c r="U3" s="6"/>
      <c r="V3" s="6"/>
      <c r="W3" s="6">
        <f>SUM(C3:V3)</f>
        <v>12473</v>
      </c>
      <c r="X3" s="16">
        <f>(94085+57723.67)/2</f>
        <v>75904.335</v>
      </c>
      <c r="Y3" s="21"/>
    </row>
    <row r="4" ht="15" spans="1:25">
      <c r="A4" s="7">
        <v>4</v>
      </c>
      <c r="B4" s="8" t="s">
        <v>45</v>
      </c>
      <c r="C4" s="9">
        <v>529</v>
      </c>
      <c r="D4" s="9">
        <f>403+3618</f>
        <v>4021</v>
      </c>
      <c r="E4" s="9"/>
      <c r="F4" s="9"/>
      <c r="G4" s="9"/>
      <c r="H4" s="9">
        <f>3760+398</f>
        <v>4158</v>
      </c>
      <c r="I4" s="9">
        <v>1321</v>
      </c>
      <c r="J4" s="9"/>
      <c r="K4" s="9"/>
      <c r="L4" s="9"/>
      <c r="M4" s="9"/>
      <c r="N4" s="9"/>
      <c r="O4" s="9">
        <f>290+215</f>
        <v>505</v>
      </c>
      <c r="P4" s="9"/>
      <c r="Q4" s="9"/>
      <c r="R4" s="9"/>
      <c r="S4" s="9"/>
      <c r="T4" s="9"/>
      <c r="U4" s="9"/>
      <c r="V4" s="9"/>
      <c r="W4" s="9">
        <f>SUM(C4:V4)</f>
        <v>10534</v>
      </c>
      <c r="X4" s="17"/>
      <c r="Y4" s="22"/>
    </row>
    <row r="5" ht="15" spans="1:25">
      <c r="A5" s="4">
        <v>5</v>
      </c>
      <c r="B5" s="5" t="s">
        <v>46</v>
      </c>
      <c r="C5" s="6">
        <f>441+815</f>
        <v>1256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>
        <v>199</v>
      </c>
      <c r="T5" s="6"/>
      <c r="U5" s="6"/>
      <c r="V5" s="6"/>
      <c r="W5" s="6">
        <f t="shared" ref="W5:W19" si="0">SUM(C5:V5)</f>
        <v>1455</v>
      </c>
      <c r="X5" s="18"/>
      <c r="Y5" s="21"/>
    </row>
    <row r="6" ht="15" spans="1:25">
      <c r="A6" s="7">
        <v>6</v>
      </c>
      <c r="B6" s="8" t="s">
        <v>47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>
        <f t="shared" si="0"/>
        <v>0</v>
      </c>
      <c r="X6" s="17"/>
      <c r="Y6" s="22"/>
    </row>
    <row r="7" ht="15" spans="1:25">
      <c r="A7" s="4">
        <v>7</v>
      </c>
      <c r="B7" s="5" t="s">
        <v>48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>
        <f t="shared" si="0"/>
        <v>0</v>
      </c>
      <c r="X7" s="18"/>
      <c r="Y7" s="21"/>
    </row>
    <row r="8" ht="15" spans="1:25">
      <c r="A8" s="7">
        <v>8</v>
      </c>
      <c r="B8" s="8" t="s">
        <v>49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0"/>
        <v>0</v>
      </c>
      <c r="X8" s="17"/>
      <c r="Y8" s="22"/>
    </row>
    <row r="9" ht="15" spans="1:25">
      <c r="A9" s="4">
        <v>9</v>
      </c>
      <c r="B9" s="5" t="s">
        <v>43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>
        <f t="shared" si="0"/>
        <v>0</v>
      </c>
      <c r="X9" s="18"/>
      <c r="Y9" s="21"/>
    </row>
    <row r="10" ht="15" spans="1:25">
      <c r="A10" s="7">
        <v>10</v>
      </c>
      <c r="B10" s="8" t="s">
        <v>44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0"/>
        <v>0</v>
      </c>
      <c r="X10" s="17"/>
      <c r="Y10" s="22"/>
    </row>
    <row r="11" ht="15" spans="1:25">
      <c r="A11" s="4">
        <v>11</v>
      </c>
      <c r="B11" s="5" t="s">
        <v>45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>
        <f t="shared" si="0"/>
        <v>0</v>
      </c>
      <c r="X11" s="18"/>
      <c r="Y11" s="21"/>
    </row>
    <row r="12" ht="15" spans="1:25">
      <c r="A12" s="7">
        <v>12</v>
      </c>
      <c r="B12" s="8" t="s">
        <v>46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>
        <f t="shared" si="0"/>
        <v>0</v>
      </c>
      <c r="X12" s="17"/>
      <c r="Y12" s="22"/>
    </row>
    <row r="13" ht="15" spans="1:25">
      <c r="A13" s="4">
        <v>13</v>
      </c>
      <c r="B13" s="5" t="s">
        <v>47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>
        <f t="shared" si="0"/>
        <v>0</v>
      </c>
      <c r="X13" s="18"/>
      <c r="Y13" s="21"/>
    </row>
    <row r="14" ht="15" spans="1:25">
      <c r="A14" s="7">
        <v>14</v>
      </c>
      <c r="B14" s="8" t="s">
        <v>48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0"/>
        <v>0</v>
      </c>
      <c r="X14" s="9"/>
      <c r="Y14" s="22"/>
    </row>
    <row r="15" ht="15" spans="1:25">
      <c r="A15" s="4">
        <v>15</v>
      </c>
      <c r="B15" s="5" t="s">
        <v>49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>
        <f t="shared" si="0"/>
        <v>0</v>
      </c>
      <c r="X15" s="18"/>
      <c r="Y15" s="21"/>
    </row>
    <row r="16" ht="15" spans="1:25">
      <c r="A16" s="7">
        <v>16</v>
      </c>
      <c r="B16" s="8" t="s">
        <v>43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0"/>
        <v>0</v>
      </c>
      <c r="X16" s="9"/>
      <c r="Y16" s="22"/>
    </row>
    <row r="17" ht="15" spans="1:25">
      <c r="A17" s="4">
        <v>17</v>
      </c>
      <c r="B17" s="5" t="s">
        <v>44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>
        <f t="shared" si="0"/>
        <v>0</v>
      </c>
      <c r="X17" s="18"/>
      <c r="Y17" s="21"/>
    </row>
    <row r="18" ht="15" spans="1:25">
      <c r="A18" s="7">
        <v>18</v>
      </c>
      <c r="B18" s="8" t="s">
        <v>45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>
        <f t="shared" si="0"/>
        <v>0</v>
      </c>
      <c r="X18" s="9"/>
      <c r="Y18" s="22"/>
    </row>
    <row r="19" ht="15" spans="1:25">
      <c r="A19" s="4">
        <v>19</v>
      </c>
      <c r="B19" s="5" t="s">
        <v>46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>
        <f t="shared" si="0"/>
        <v>0</v>
      </c>
      <c r="X19" s="18"/>
      <c r="Y19" s="21"/>
    </row>
    <row r="20" customHeight="1" spans="1:25">
      <c r="A20" s="10" t="s">
        <v>54</v>
      </c>
      <c r="B20" s="10"/>
      <c r="C20" s="11">
        <f t="shared" ref="C20:X20" si="1">SUM(C3:C17)</f>
        <v>1884</v>
      </c>
      <c r="D20" s="11">
        <f t="shared" si="1"/>
        <v>4021</v>
      </c>
      <c r="E20" s="11">
        <f t="shared" si="1"/>
        <v>0</v>
      </c>
      <c r="F20" s="11">
        <f t="shared" si="1"/>
        <v>0</v>
      </c>
      <c r="G20" s="11">
        <f t="shared" si="1"/>
        <v>0</v>
      </c>
      <c r="H20" s="11">
        <f t="shared" si="1"/>
        <v>4158</v>
      </c>
      <c r="I20" s="11">
        <f t="shared" si="1"/>
        <v>1321</v>
      </c>
      <c r="J20" s="11">
        <f t="shared" si="1"/>
        <v>0</v>
      </c>
      <c r="K20" s="11">
        <f t="shared" si="1"/>
        <v>0</v>
      </c>
      <c r="L20" s="11">
        <f t="shared" si="1"/>
        <v>1575</v>
      </c>
      <c r="M20" s="11">
        <f t="shared" si="1"/>
        <v>0</v>
      </c>
      <c r="N20" s="11">
        <f t="shared" si="1"/>
        <v>0</v>
      </c>
      <c r="O20" s="11">
        <f t="shared" si="1"/>
        <v>505</v>
      </c>
      <c r="P20" s="11">
        <f t="shared" si="1"/>
        <v>0</v>
      </c>
      <c r="Q20" s="11">
        <f t="shared" si="1"/>
        <v>10000</v>
      </c>
      <c r="R20" s="11">
        <f t="shared" si="1"/>
        <v>0</v>
      </c>
      <c r="S20" s="11">
        <f t="shared" si="1"/>
        <v>998</v>
      </c>
      <c r="T20" s="11">
        <f t="shared" si="1"/>
        <v>0</v>
      </c>
      <c r="U20" s="11">
        <f t="shared" si="1"/>
        <v>0</v>
      </c>
      <c r="V20" s="11">
        <f t="shared" si="1"/>
        <v>0</v>
      </c>
      <c r="W20" s="11">
        <f t="shared" si="1"/>
        <v>24462</v>
      </c>
      <c r="X20" s="19">
        <f t="shared" si="1"/>
        <v>75904.335</v>
      </c>
      <c r="Y20" s="23">
        <f>X20-W20</f>
        <v>51442.335</v>
      </c>
    </row>
    <row r="21" ht="15" spans="1:25">
      <c r="A21" s="4">
        <v>20</v>
      </c>
      <c r="B21" s="5" t="s">
        <v>45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18"/>
      <c r="Y21" s="21"/>
    </row>
    <row r="22" ht="15" spans="1:27">
      <c r="A22" s="7">
        <v>21</v>
      </c>
      <c r="B22" s="8" t="s">
        <v>46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17"/>
      <c r="Y22" s="22"/>
      <c r="AA22" s="24"/>
    </row>
    <row r="23" ht="15" spans="1:25">
      <c r="A23" s="4">
        <v>22</v>
      </c>
      <c r="B23" s="5" t="s">
        <v>47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18"/>
      <c r="Y23" s="21"/>
    </row>
    <row r="24" ht="15" spans="1:25">
      <c r="A24" s="7">
        <v>23</v>
      </c>
      <c r="B24" s="8" t="s">
        <v>48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17"/>
      <c r="Y24" s="22"/>
    </row>
    <row r="25" ht="15" spans="1:25">
      <c r="A25" s="4">
        <v>24</v>
      </c>
      <c r="B25" s="5" t="s">
        <v>49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18"/>
      <c r="Y25" s="21"/>
    </row>
    <row r="26" ht="15" spans="1:25">
      <c r="A26" s="7">
        <v>25</v>
      </c>
      <c r="B26" s="8" t="s">
        <v>43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17"/>
      <c r="Y26" s="22"/>
    </row>
    <row r="27" ht="15" spans="1:25">
      <c r="A27" s="4">
        <v>26</v>
      </c>
      <c r="B27" s="5" t="s">
        <v>44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18"/>
      <c r="Y27" s="21"/>
    </row>
    <row r="28" ht="15" spans="1:25">
      <c r="A28" s="7">
        <v>27</v>
      </c>
      <c r="B28" s="8" t="s">
        <v>45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17"/>
      <c r="Y28" s="22"/>
    </row>
    <row r="29" ht="15" spans="1:25">
      <c r="A29" s="4">
        <v>28</v>
      </c>
      <c r="B29" s="5" t="s">
        <v>46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18"/>
      <c r="Y29" s="21"/>
    </row>
    <row r="30" ht="15" spans="1:25">
      <c r="A30" s="7">
        <v>29</v>
      </c>
      <c r="B30" s="8" t="s">
        <v>47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17"/>
      <c r="Y30" s="22"/>
    </row>
    <row r="31" ht="15" spans="1:25">
      <c r="A31" s="4">
        <v>30</v>
      </c>
      <c r="B31" s="5" t="s">
        <v>48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18"/>
      <c r="Y31" s="21"/>
    </row>
    <row r="32" ht="15" spans="1:25">
      <c r="A32" s="7">
        <v>31</v>
      </c>
      <c r="B32" s="8" t="s">
        <v>49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17"/>
      <c r="Y32" s="22"/>
    </row>
    <row r="33" ht="15" spans="1:25">
      <c r="A33" s="4">
        <v>1</v>
      </c>
      <c r="B33" s="5" t="s">
        <v>43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18"/>
      <c r="Y33" s="21"/>
    </row>
    <row r="34" ht="15" spans="1:25">
      <c r="A34" s="7">
        <v>2</v>
      </c>
      <c r="B34" s="8" t="s">
        <v>44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17"/>
      <c r="Y34" s="22"/>
    </row>
    <row r="35" ht="15" spans="1:25">
      <c r="A35" s="4">
        <v>3</v>
      </c>
      <c r="B35" s="5" t="s">
        <v>45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8"/>
      <c r="Y35" s="21"/>
    </row>
    <row r="36" ht="15" spans="1:25">
      <c r="A36" s="7">
        <v>4</v>
      </c>
      <c r="B36" s="8" t="s">
        <v>46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17"/>
      <c r="Y36" s="22"/>
    </row>
    <row r="37" spans="1:25">
      <c r="A37" s="10" t="s">
        <v>55</v>
      </c>
      <c r="B37" s="10"/>
      <c r="C37" s="11">
        <f>SUM(C21:C36)</f>
        <v>0</v>
      </c>
      <c r="D37" s="11">
        <f t="shared" ref="D37:X37" si="2">SUM(D21:D36)</f>
        <v>0</v>
      </c>
      <c r="E37" s="11">
        <f t="shared" si="2"/>
        <v>0</v>
      </c>
      <c r="F37" s="11">
        <f t="shared" si="2"/>
        <v>0</v>
      </c>
      <c r="G37" s="11">
        <f t="shared" si="2"/>
        <v>0</v>
      </c>
      <c r="H37" s="11">
        <f t="shared" si="2"/>
        <v>0</v>
      </c>
      <c r="I37" s="11">
        <f t="shared" si="2"/>
        <v>0</v>
      </c>
      <c r="J37" s="11">
        <f t="shared" si="2"/>
        <v>0</v>
      </c>
      <c r="K37" s="11">
        <f t="shared" si="2"/>
        <v>0</v>
      </c>
      <c r="L37" s="11">
        <f t="shared" si="2"/>
        <v>0</v>
      </c>
      <c r="M37" s="11">
        <f t="shared" si="2"/>
        <v>0</v>
      </c>
      <c r="N37" s="11">
        <f t="shared" si="2"/>
        <v>0</v>
      </c>
      <c r="O37" s="11">
        <f t="shared" si="2"/>
        <v>0</v>
      </c>
      <c r="P37" s="11">
        <f t="shared" si="2"/>
        <v>0</v>
      </c>
      <c r="Q37" s="11">
        <f t="shared" si="2"/>
        <v>0</v>
      </c>
      <c r="R37" s="11">
        <f t="shared" si="2"/>
        <v>0</v>
      </c>
      <c r="S37" s="11">
        <f t="shared" si="2"/>
        <v>0</v>
      </c>
      <c r="T37" s="11">
        <f t="shared" si="2"/>
        <v>0</v>
      </c>
      <c r="U37" s="11">
        <f t="shared" si="2"/>
        <v>0</v>
      </c>
      <c r="V37" s="11">
        <f t="shared" si="2"/>
        <v>0</v>
      </c>
      <c r="W37" s="11">
        <f t="shared" si="2"/>
        <v>0</v>
      </c>
      <c r="X37" s="19">
        <f t="shared" si="2"/>
        <v>0</v>
      </c>
      <c r="Y37" s="25">
        <f>X37-W37</f>
        <v>0</v>
      </c>
    </row>
    <row r="38" ht="31.5" customHeight="1" spans="1:25">
      <c r="A38" s="12" t="s">
        <v>56</v>
      </c>
      <c r="B38" s="12"/>
      <c r="C38" s="13">
        <f>SUM(C20,C37)</f>
        <v>1884</v>
      </c>
      <c r="D38" s="13">
        <f t="shared" ref="D38:Y38" si="3">SUM(D20,D37)</f>
        <v>4021</v>
      </c>
      <c r="E38" s="13">
        <f t="shared" si="3"/>
        <v>0</v>
      </c>
      <c r="F38" s="13">
        <f t="shared" si="3"/>
        <v>0</v>
      </c>
      <c r="G38" s="13">
        <f t="shared" si="3"/>
        <v>0</v>
      </c>
      <c r="H38" s="13">
        <f t="shared" si="3"/>
        <v>4158</v>
      </c>
      <c r="I38" s="13">
        <f t="shared" si="3"/>
        <v>1321</v>
      </c>
      <c r="J38" s="13">
        <f t="shared" si="3"/>
        <v>0</v>
      </c>
      <c r="K38" s="13">
        <f t="shared" si="3"/>
        <v>0</v>
      </c>
      <c r="L38" s="13">
        <f t="shared" si="3"/>
        <v>1575</v>
      </c>
      <c r="M38" s="13">
        <f t="shared" si="3"/>
        <v>0</v>
      </c>
      <c r="N38" s="13">
        <f t="shared" si="3"/>
        <v>0</v>
      </c>
      <c r="O38" s="13">
        <f t="shared" si="3"/>
        <v>505</v>
      </c>
      <c r="P38" s="13">
        <f t="shared" si="3"/>
        <v>0</v>
      </c>
      <c r="Q38" s="13">
        <f t="shared" si="3"/>
        <v>10000</v>
      </c>
      <c r="R38" s="13">
        <f t="shared" si="3"/>
        <v>0</v>
      </c>
      <c r="S38" s="13">
        <f t="shared" si="3"/>
        <v>998</v>
      </c>
      <c r="T38" s="13">
        <f t="shared" si="3"/>
        <v>0</v>
      </c>
      <c r="U38" s="13">
        <f t="shared" si="3"/>
        <v>0</v>
      </c>
      <c r="V38" s="13">
        <f t="shared" si="3"/>
        <v>0</v>
      </c>
      <c r="W38" s="13">
        <f t="shared" si="3"/>
        <v>24462</v>
      </c>
      <c r="X38" s="13">
        <f t="shared" si="3"/>
        <v>75904.335</v>
      </c>
      <c r="Y38" s="26">
        <f t="shared" si="3"/>
        <v>51442.335</v>
      </c>
    </row>
    <row r="42" spans="2:11">
      <c r="B42" s="14"/>
      <c r="C42" s="14"/>
      <c r="D42" s="14"/>
      <c r="E42" s="14"/>
      <c r="F42" s="14"/>
      <c r="G42" s="14"/>
      <c r="H42" s="14"/>
      <c r="I42" s="14"/>
      <c r="J42" s="14"/>
      <c r="K42" s="14"/>
    </row>
  </sheetData>
  <mergeCells count="4">
    <mergeCell ref="A1:Y1"/>
    <mergeCell ref="A20:B20"/>
    <mergeCell ref="A37:B37"/>
    <mergeCell ref="A38:B38"/>
  </mergeCells>
  <conditionalFormatting sqref="Y20:Y38">
    <cfRule type="expression" dxfId="2" priority="1">
      <formula>Y20&lt;0</formula>
    </cfRule>
    <cfRule type="expression" dxfId="1" priority="2">
      <formula>Y20&gt;0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2015-06-05T18:19:00Z</dcterms:created>
  <dcterms:modified xsi:type="dcterms:W3CDTF">2026-07-05T18:36:07Z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CFFD14F9A78740A198BFF22EF1AA58BE_12</vt:lpwstr>
  </property>
  <property fmtid="{D5CDD505-2E9C-101B-9397-08002B2CF9AE}" pid="3" name="KSOProductBuildVer">
    <vt:lpwstr>1033-12.2.0.20326</vt:lpwstr>
  </property>
</Properties>
</file>