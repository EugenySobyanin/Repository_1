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4" i="4"/>
  <c r="E34"/>
  <c r="F34"/>
  <c r="G34"/>
  <c r="H34"/>
  <c r="I34"/>
  <c r="K34"/>
  <c r="O34"/>
  <c r="P34"/>
  <c r="D34"/>
  <c r="Y19"/>
  <c r="P6"/>
  <c r="P7"/>
  <c r="C11"/>
  <c r="O11"/>
  <c r="N11"/>
  <c r="C12"/>
  <c r="C5" l="1"/>
  <c r="C4"/>
  <c r="H4"/>
  <c r="V4" l="1"/>
  <c r="Q3"/>
  <c r="S3"/>
  <c r="W32" l="1"/>
  <c r="W33"/>
  <c r="D35"/>
  <c r="E35"/>
  <c r="F35"/>
  <c r="G35"/>
  <c r="H35"/>
  <c r="I35"/>
  <c r="J35"/>
  <c r="K35"/>
  <c r="L35"/>
  <c r="M35"/>
  <c r="N35"/>
  <c r="O35"/>
  <c r="P35"/>
  <c r="Q35"/>
  <c r="R35"/>
  <c r="S35"/>
  <c r="T35"/>
  <c r="U35"/>
  <c r="V35"/>
  <c r="C35"/>
  <c r="X35"/>
  <c r="W31"/>
  <c r="W30"/>
  <c r="W29"/>
  <c r="W28"/>
  <c r="W27"/>
  <c r="W26"/>
  <c r="W25"/>
  <c r="W24"/>
  <c r="W23"/>
  <c r="W22"/>
  <c r="W21"/>
  <c r="W20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35" i="4" l="1"/>
  <c r="Y35" s="1"/>
  <c r="F32" i="1"/>
  <c r="R5"/>
  <c r="R32" s="1"/>
  <c r="G5"/>
  <c r="N4" l="1"/>
  <c r="S4"/>
  <c r="C3"/>
  <c r="V3" s="1"/>
  <c r="H32"/>
  <c r="N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G31" s="1"/>
  <c r="C11"/>
  <c r="N6"/>
  <c r="V6" s="1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charset val="1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charset val="1"/>
          </rPr>
          <t xml:space="preserve">Гель для душа и журнал
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<sst xmlns="http://schemas.openxmlformats.org/spreadsheetml/2006/main" count="208" uniqueCount="68">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</sst>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/>
    </xf>
    <xf numFmtId="164" fontId="12" fillId="14" borderId="4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2" fillId="13" borderId="4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J3" sqref="J3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4" t="s">
        <v>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5" t="s">
        <v>20</v>
      </c>
      <c r="B31" s="55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6" t="s">
        <v>20</v>
      </c>
      <c r="B32" s="56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A20" sqref="A20:XFD2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7" t="s">
        <v>65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8">
        <f>22000+3500</f>
        <v>25500</v>
      </c>
      <c r="R3" s="48"/>
      <c r="S3" s="48">
        <f>4660+702+799</f>
        <v>6161</v>
      </c>
      <c r="T3" s="48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4" si="0">SUM(C4:V4)</f>
        <v>22822.22</v>
      </c>
      <c r="X4" s="49"/>
      <c r="Y4" s="50"/>
    </row>
    <row r="5" spans="1:47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>
      <c r="A6" s="47">
        <v>6</v>
      </c>
      <c r="B6" s="47" t="s">
        <v>7</v>
      </c>
      <c r="C6" s="48">
        <v>918</v>
      </c>
      <c r="D6" s="48">
        <v>994</v>
      </c>
      <c r="E6" s="48"/>
      <c r="F6" s="48"/>
      <c r="G6" s="48"/>
      <c r="H6" s="48"/>
      <c r="I6" s="48"/>
      <c r="J6" s="48"/>
      <c r="K6" s="48">
        <v>3464</v>
      </c>
      <c r="L6" s="48"/>
      <c r="M6" s="48"/>
      <c r="N6" s="48"/>
      <c r="O6" s="48"/>
      <c r="P6" s="48">
        <f>500+288</f>
        <v>788</v>
      </c>
      <c r="Q6" s="48"/>
      <c r="R6" s="48"/>
      <c r="S6" s="48">
        <v>990</v>
      </c>
      <c r="T6" s="48"/>
      <c r="U6" s="48"/>
      <c r="V6" s="48"/>
      <c r="W6" s="48">
        <f t="shared" si="0"/>
        <v>7154</v>
      </c>
      <c r="X6" s="49"/>
      <c r="Y6" s="50"/>
    </row>
    <row r="7" spans="1:47">
      <c r="A7" s="47">
        <v>7</v>
      </c>
      <c r="B7" s="47" t="s">
        <v>8</v>
      </c>
      <c r="C7" s="48"/>
      <c r="D7" s="48">
        <v>714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>
        <f>500+280</f>
        <v>780</v>
      </c>
      <c r="Q7" s="48"/>
      <c r="R7" s="48"/>
      <c r="S7" s="48"/>
      <c r="T7" s="48"/>
      <c r="U7" s="48"/>
      <c r="V7" s="48"/>
      <c r="W7" s="48">
        <f t="shared" si="0"/>
        <v>1494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>
        <v>420</v>
      </c>
      <c r="G8" s="48">
        <v>835</v>
      </c>
      <c r="H8" s="48">
        <v>285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1540</v>
      </c>
      <c r="X8" s="49"/>
      <c r="Y8" s="50"/>
    </row>
    <row r="9" spans="1:47">
      <c r="A9" s="47">
        <v>9</v>
      </c>
      <c r="B9" s="47" t="s">
        <v>3</v>
      </c>
      <c r="C9" s="48">
        <v>863</v>
      </c>
      <c r="D9" s="48">
        <v>710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>
        <v>409</v>
      </c>
      <c r="P9" s="48"/>
      <c r="Q9" s="48"/>
      <c r="R9" s="48"/>
      <c r="S9" s="48"/>
      <c r="T9" s="48"/>
      <c r="U9" s="48"/>
      <c r="V9" s="48"/>
      <c r="W9" s="48">
        <f t="shared" si="0"/>
        <v>1982</v>
      </c>
      <c r="X9" s="49"/>
      <c r="Y9" s="50"/>
    </row>
    <row r="10" spans="1:47">
      <c r="A10" s="47">
        <v>10</v>
      </c>
      <c r="B10" s="47" t="s">
        <v>4</v>
      </c>
      <c r="C10" s="48">
        <v>319</v>
      </c>
      <c r="D10" s="48">
        <v>940</v>
      </c>
      <c r="E10" s="48">
        <v>1895</v>
      </c>
      <c r="F10" s="48"/>
      <c r="G10" s="48">
        <v>835</v>
      </c>
      <c r="H10" s="48"/>
      <c r="I10" s="48">
        <v>1034</v>
      </c>
      <c r="J10" s="48"/>
      <c r="K10" s="48"/>
      <c r="L10" s="48"/>
      <c r="M10" s="48"/>
      <c r="N10" s="48"/>
      <c r="O10" s="48">
        <v>275</v>
      </c>
      <c r="P10" s="48"/>
      <c r="Q10" s="48"/>
      <c r="R10" s="48"/>
      <c r="S10" s="48"/>
      <c r="T10" s="48"/>
      <c r="U10" s="48"/>
      <c r="V10" s="48"/>
      <c r="W10" s="48">
        <f t="shared" si="0"/>
        <v>5298</v>
      </c>
      <c r="X10" s="49"/>
      <c r="Y10" s="50"/>
    </row>
    <row r="11" spans="1:47">
      <c r="A11" s="47">
        <v>11</v>
      </c>
      <c r="B11" s="47" t="s">
        <v>5</v>
      </c>
      <c r="C11" s="48">
        <f>790+282</f>
        <v>1072</v>
      </c>
      <c r="D11" s="48">
        <v>1311</v>
      </c>
      <c r="E11" s="48"/>
      <c r="F11" s="48"/>
      <c r="G11" s="48"/>
      <c r="H11" s="48"/>
      <c r="I11" s="48"/>
      <c r="J11" s="48"/>
      <c r="K11" s="48"/>
      <c r="L11" s="48"/>
      <c r="M11" s="48"/>
      <c r="N11" s="48">
        <f>1500+1900</f>
        <v>3400</v>
      </c>
      <c r="O11" s="48">
        <f>302+243</f>
        <v>545</v>
      </c>
      <c r="P11" s="48"/>
      <c r="Q11" s="48"/>
      <c r="R11" s="48"/>
      <c r="S11" s="48"/>
      <c r="T11" s="48"/>
      <c r="U11" s="48"/>
      <c r="V11" s="48"/>
      <c r="W11" s="48">
        <f t="shared" si="0"/>
        <v>6328</v>
      </c>
      <c r="X11" s="49">
        <v>5000</v>
      </c>
      <c r="Y11" s="50"/>
    </row>
    <row r="12" spans="1:47">
      <c r="A12" s="47">
        <v>12</v>
      </c>
      <c r="B12" s="47" t="s">
        <v>6</v>
      </c>
      <c r="C12" s="48">
        <f>69+603</f>
        <v>672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672</v>
      </c>
      <c r="X12" s="49">
        <v>10000</v>
      </c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>
        <v>879</v>
      </c>
      <c r="D14" s="48"/>
      <c r="E14" s="48"/>
      <c r="F14" s="48">
        <v>1080</v>
      </c>
      <c r="G14" s="48">
        <v>580</v>
      </c>
      <c r="H14" s="48">
        <v>1261</v>
      </c>
      <c r="I14" s="48"/>
      <c r="J14" s="48"/>
      <c r="K14" s="48"/>
      <c r="L14" s="48"/>
      <c r="M14" s="48"/>
      <c r="N14" s="48"/>
      <c r="O14" s="48">
        <v>305</v>
      </c>
      <c r="P14" s="48"/>
      <c r="Q14" s="48"/>
      <c r="R14" s="48"/>
      <c r="S14" s="48"/>
      <c r="T14" s="48"/>
      <c r="U14" s="48"/>
      <c r="V14" s="48"/>
      <c r="W14" s="48">
        <f t="shared" si="0"/>
        <v>4105</v>
      </c>
      <c r="X14" s="49"/>
      <c r="Y14" s="50"/>
    </row>
    <row r="15" spans="1:47">
      <c r="A15" s="47">
        <v>15</v>
      </c>
      <c r="B15" s="47" t="s">
        <v>2</v>
      </c>
      <c r="C15" s="48">
        <v>700</v>
      </c>
      <c r="D15" s="48"/>
      <c r="E15" s="48"/>
      <c r="F15" s="48">
        <v>990</v>
      </c>
      <c r="G15" s="48"/>
      <c r="H15" s="48">
        <v>2200</v>
      </c>
      <c r="I15" s="48"/>
      <c r="J15" s="48"/>
      <c r="K15" s="48"/>
      <c r="L15" s="48"/>
      <c r="M15" s="48"/>
      <c r="N15" s="48"/>
      <c r="O15" s="48">
        <v>369</v>
      </c>
      <c r="P15" s="48"/>
      <c r="Q15" s="48"/>
      <c r="R15" s="48"/>
      <c r="S15" s="48"/>
      <c r="T15" s="48">
        <v>1400</v>
      </c>
      <c r="U15" s="48"/>
      <c r="V15" s="48"/>
      <c r="W15" s="48">
        <f t="shared" si="0"/>
        <v>5659</v>
      </c>
      <c r="X15" s="49"/>
      <c r="Y15" s="50"/>
    </row>
    <row r="16" spans="1:47">
      <c r="A16" s="47">
        <v>16</v>
      </c>
      <c r="B16" s="47" t="s">
        <v>3</v>
      </c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>
        <f t="shared" si="0"/>
        <v>0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>
        <f t="shared" si="0"/>
        <v>0</v>
      </c>
      <c r="X17" s="49"/>
      <c r="Y17" s="50"/>
    </row>
    <row r="18" spans="1:27">
      <c r="A18" s="47">
        <v>18</v>
      </c>
      <c r="B18" s="47" t="s">
        <v>5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>
        <f t="shared" si="0"/>
        <v>0</v>
      </c>
      <c r="X18" s="49"/>
      <c r="Y18" s="50"/>
    </row>
    <row r="19" spans="1:27">
      <c r="A19" s="47">
        <v>19</v>
      </c>
      <c r="B19" s="47" t="s">
        <v>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>
        <f t="shared" si="0"/>
        <v>0</v>
      </c>
      <c r="X19" s="49"/>
      <c r="Y19" s="50">
        <f>SUM(X3:X19)-SUM(W3:W19)</f>
        <v>4652.7799999999988</v>
      </c>
    </row>
    <row r="20" spans="1:27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7">
      <c r="A21" s="47">
        <v>21</v>
      </c>
      <c r="B21" s="47" t="s">
        <v>8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>
        <f t="shared" si="0"/>
        <v>0</v>
      </c>
      <c r="X21" s="49"/>
      <c r="Y21" s="50"/>
      <c r="AA21" s="53"/>
    </row>
    <row r="22" spans="1:27">
      <c r="A22" s="47">
        <v>22</v>
      </c>
      <c r="B22" s="47" t="s">
        <v>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>
        <f t="shared" si="0"/>
        <v>0</v>
      </c>
      <c r="X22" s="49"/>
      <c r="Y22" s="50"/>
    </row>
    <row r="23" spans="1:27">
      <c r="A23" s="47">
        <v>23</v>
      </c>
      <c r="B23" s="47" t="s">
        <v>3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>
        <f t="shared" si="0"/>
        <v>0</v>
      </c>
      <c r="X23" s="49"/>
      <c r="Y23" s="50"/>
    </row>
    <row r="24" spans="1:27">
      <c r="A24" s="47">
        <v>24</v>
      </c>
      <c r="B24" s="47" t="s">
        <v>4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>
        <f t="shared" si="0"/>
        <v>0</v>
      </c>
      <c r="X24" s="49"/>
      <c r="Y24" s="50"/>
    </row>
    <row r="25" spans="1:27">
      <c r="A25" s="47">
        <v>25</v>
      </c>
      <c r="B25" s="47" t="s">
        <v>5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>
        <f t="shared" si="0"/>
        <v>0</v>
      </c>
      <c r="X25" s="49"/>
      <c r="Y25" s="50"/>
    </row>
    <row r="26" spans="1:27">
      <c r="A26" s="47">
        <v>26</v>
      </c>
      <c r="B26" s="47" t="s">
        <v>6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>
        <f t="shared" si="0"/>
        <v>0</v>
      </c>
      <c r="X26" s="49"/>
      <c r="Y26" s="50"/>
    </row>
    <row r="27" spans="1:27">
      <c r="A27" s="47">
        <v>27</v>
      </c>
      <c r="B27" s="47" t="s">
        <v>7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>
        <f t="shared" si="0"/>
        <v>0</v>
      </c>
      <c r="X27" s="49"/>
      <c r="Y27" s="50"/>
    </row>
    <row r="28" spans="1:27">
      <c r="A28" s="47">
        <v>28</v>
      </c>
      <c r="B28" s="47" t="s">
        <v>8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>
        <f t="shared" si="0"/>
        <v>0</v>
      </c>
      <c r="X28" s="49"/>
      <c r="Y28" s="50"/>
    </row>
    <row r="29" spans="1:27">
      <c r="A29" s="47">
        <v>29</v>
      </c>
      <c r="B29" s="47" t="s">
        <v>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f t="shared" si="0"/>
        <v>0</v>
      </c>
      <c r="X29" s="49"/>
      <c r="Y29" s="50"/>
    </row>
    <row r="30" spans="1:27">
      <c r="A30" s="47">
        <v>30</v>
      </c>
      <c r="B30" s="47" t="s">
        <v>3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0</v>
      </c>
      <c r="X30" s="49"/>
      <c r="Y30" s="50"/>
    </row>
    <row r="31" spans="1:27">
      <c r="A31" s="47">
        <v>1</v>
      </c>
      <c r="B31" s="47" t="s">
        <v>4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>
      <c r="A32" s="47">
        <v>2</v>
      </c>
      <c r="B32" s="47" t="s">
        <v>5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>
      <c r="A33" s="47">
        <v>3</v>
      </c>
      <c r="B33" s="47" t="s">
        <v>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>
      <c r="A34" s="47">
        <v>4</v>
      </c>
      <c r="B34" s="47" t="s">
        <v>7</v>
      </c>
      <c r="C34" s="52">
        <v>8850</v>
      </c>
      <c r="D34" s="52">
        <f>SUM(D3:D19)/17*15</f>
        <v>7365.8823529411766</v>
      </c>
      <c r="E34" s="52">
        <f t="shared" ref="E34:V34" si="1">SUM(E3:E19)/17*15</f>
        <v>1672.0588235294117</v>
      </c>
      <c r="F34" s="52">
        <f t="shared" si="1"/>
        <v>2197.0588235294117</v>
      </c>
      <c r="G34" s="52">
        <f t="shared" si="1"/>
        <v>1985.2941176470588</v>
      </c>
      <c r="H34" s="52">
        <f t="shared" si="1"/>
        <v>6877.0588235294126</v>
      </c>
      <c r="I34" s="52">
        <f t="shared" si="1"/>
        <v>2235.8823529411766</v>
      </c>
      <c r="J34" s="48"/>
      <c r="K34" s="52">
        <f t="shared" si="1"/>
        <v>6288.7235294117636</v>
      </c>
      <c r="L34" s="48"/>
      <c r="M34" s="48"/>
      <c r="N34" s="48"/>
      <c r="O34" s="52">
        <f t="shared" si="1"/>
        <v>1679.1176470588234</v>
      </c>
      <c r="P34" s="52">
        <f t="shared" si="1"/>
        <v>1383.5294117647059</v>
      </c>
      <c r="Q34" s="48"/>
      <c r="R34" s="48"/>
      <c r="S34" s="48"/>
      <c r="T34" s="48"/>
      <c r="U34" s="48"/>
      <c r="V34" s="48"/>
      <c r="W34" s="48">
        <f>SUM(C34:V34)</f>
        <v>40534.605882352946</v>
      </c>
      <c r="X34" s="49"/>
      <c r="Y34" s="50"/>
    </row>
    <row r="35" spans="1:25">
      <c r="A35" s="58" t="s">
        <v>20</v>
      </c>
      <c r="B35" s="58"/>
      <c r="C35" s="51">
        <f>SUM(C3:C34)</f>
        <v>18878</v>
      </c>
      <c r="D35" s="51">
        <f t="shared" ref="D35:W35" si="2">SUM(D3:D34)</f>
        <v>15713.882352941177</v>
      </c>
      <c r="E35" s="51">
        <f t="shared" si="2"/>
        <v>3567.0588235294117</v>
      </c>
      <c r="F35" s="51">
        <f t="shared" si="2"/>
        <v>4687.0588235294117</v>
      </c>
      <c r="G35" s="51">
        <f t="shared" si="2"/>
        <v>4235.2941176470586</v>
      </c>
      <c r="H35" s="51">
        <f t="shared" si="2"/>
        <v>14671.058823529413</v>
      </c>
      <c r="I35" s="51">
        <f t="shared" si="2"/>
        <v>4769.8823529411766</v>
      </c>
      <c r="J35" s="51">
        <f t="shared" si="2"/>
        <v>0</v>
      </c>
      <c r="K35" s="51">
        <f t="shared" si="2"/>
        <v>13415.943529411763</v>
      </c>
      <c r="L35" s="51">
        <f t="shared" si="2"/>
        <v>0</v>
      </c>
      <c r="M35" s="51">
        <f t="shared" si="2"/>
        <v>0</v>
      </c>
      <c r="N35" s="51">
        <f t="shared" si="2"/>
        <v>8750</v>
      </c>
      <c r="O35" s="51">
        <f t="shared" si="2"/>
        <v>3582.1176470588234</v>
      </c>
      <c r="P35" s="51">
        <f t="shared" si="2"/>
        <v>2951.5294117647059</v>
      </c>
      <c r="Q35" s="51">
        <f t="shared" si="2"/>
        <v>26525</v>
      </c>
      <c r="R35" s="51">
        <f>SUM(R4:R34)</f>
        <v>9373</v>
      </c>
      <c r="S35" s="51">
        <f t="shared" si="2"/>
        <v>7450</v>
      </c>
      <c r="T35" s="51">
        <f t="shared" si="2"/>
        <v>8400</v>
      </c>
      <c r="U35" s="51">
        <f t="shared" si="2"/>
        <v>1740</v>
      </c>
      <c r="V35" s="51">
        <f t="shared" si="2"/>
        <v>2860</v>
      </c>
      <c r="W35" s="51">
        <f t="shared" si="2"/>
        <v>151569.82588235295</v>
      </c>
      <c r="X35" s="49">
        <f>SUM(X3:X29)</f>
        <v>115688</v>
      </c>
      <c r="Y35" s="50">
        <f>X35-W35</f>
        <v>-35881.825882352947</v>
      </c>
    </row>
    <row r="39" spans="1: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9" t="s">
        <v>49</v>
      </c>
      <c r="B1" s="59"/>
      <c r="C1" s="59"/>
      <c r="D1" s="59"/>
      <c r="E1" s="59"/>
      <c r="G1" s="59" t="s">
        <v>50</v>
      </c>
      <c r="H1" s="59"/>
      <c r="I1" s="59"/>
      <c r="J1" s="59"/>
      <c r="K1" s="59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1" t="s">
        <v>61</v>
      </c>
      <c r="H8" s="61"/>
      <c r="I8" s="61"/>
      <c r="J8" s="61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60" t="s">
        <v>61</v>
      </c>
      <c r="B24" s="60"/>
      <c r="C24" s="60"/>
      <c r="D24" s="60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2026-04-16T09:16:24Z</dcterms:modified>
</cp:coreProperties>
</file>