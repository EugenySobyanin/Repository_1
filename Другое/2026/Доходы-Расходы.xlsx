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Февраль 2026" sheetId="3" r:id="rId1"/>
    <sheet name="Март 2026" sheetId="1" r:id="rId2"/>
    <sheet name="Лист1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3" i="3" l="1"/>
  <c r="S23" i="3"/>
  <c r="N23" i="3"/>
  <c r="N24" i="3"/>
  <c r="U25" i="3"/>
  <c r="N25" i="3"/>
  <c r="N26" i="3"/>
  <c r="L26" i="3"/>
  <c r="F31" i="3"/>
  <c r="C20" i="3"/>
  <c r="G19" i="3"/>
  <c r="V19" i="3" l="1"/>
  <c r="V20" i="3"/>
  <c r="V21" i="3"/>
  <c r="V22" i="3"/>
  <c r="V23" i="3"/>
  <c r="V24" i="3"/>
  <c r="V25" i="3"/>
  <c r="V26" i="3"/>
  <c r="V27" i="3"/>
  <c r="V28" i="3"/>
  <c r="V29" i="3"/>
  <c r="V30" i="3"/>
  <c r="V6" i="3"/>
  <c r="V7" i="3"/>
  <c r="V8" i="3"/>
  <c r="V9" i="3"/>
  <c r="V10" i="3"/>
  <c r="V13" i="3"/>
  <c r="V14" i="3"/>
  <c r="V15" i="3"/>
  <c r="V16" i="3"/>
  <c r="V17" i="3"/>
  <c r="D31" i="3"/>
  <c r="E31" i="3"/>
  <c r="G31" i="3"/>
  <c r="H31" i="3"/>
  <c r="I31" i="3"/>
  <c r="J31" i="3"/>
  <c r="K31" i="3"/>
  <c r="L31" i="3"/>
  <c r="M31" i="3"/>
  <c r="O31" i="3"/>
  <c r="P31" i="3"/>
  <c r="Q31" i="3"/>
  <c r="R31" i="3"/>
  <c r="S31" i="3"/>
  <c r="T31" i="3"/>
  <c r="U31" i="3"/>
  <c r="C31" i="3"/>
  <c r="N18" i="3"/>
  <c r="V18" i="3" s="1"/>
  <c r="W18" i="3"/>
  <c r="W31" i="3" s="1"/>
  <c r="C13" i="3"/>
  <c r="P12" i="3"/>
  <c r="N12" i="3"/>
  <c r="D12" i="3"/>
  <c r="C12" i="3"/>
  <c r="V12" i="3" s="1"/>
  <c r="P11" i="3"/>
  <c r="G11" i="3"/>
  <c r="C11" i="3"/>
  <c r="V11" i="3" s="1"/>
  <c r="N6" i="3"/>
  <c r="N5" i="3"/>
  <c r="V5" i="3" s="1"/>
  <c r="N4" i="3"/>
  <c r="N31" i="3" s="1"/>
  <c r="C3" i="3"/>
  <c r="V3" i="3" s="1"/>
  <c r="U13" i="1"/>
  <c r="E30" i="1"/>
  <c r="F30" i="1"/>
  <c r="U6" i="1"/>
  <c r="U5" i="1"/>
  <c r="U4" i="1"/>
  <c r="U3" i="1"/>
  <c r="K7" i="2"/>
  <c r="E22" i="2"/>
  <c r="E21" i="2"/>
  <c r="K5" i="2"/>
  <c r="K6" i="2"/>
  <c r="E20" i="2"/>
  <c r="E19" i="2"/>
  <c r="E18" i="2"/>
  <c r="E17" i="2"/>
  <c r="K4" i="2"/>
  <c r="K3" i="2"/>
  <c r="K8" i="2" s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23" i="2"/>
  <c r="E3" i="2"/>
  <c r="K30" i="1"/>
  <c r="I30" i="1"/>
  <c r="J30" i="1"/>
  <c r="U7" i="1"/>
  <c r="U8" i="1"/>
  <c r="U9" i="1"/>
  <c r="U10" i="1"/>
  <c r="U14" i="1"/>
  <c r="U15" i="1"/>
  <c r="U16" i="1"/>
  <c r="U17" i="1"/>
  <c r="U18" i="1"/>
  <c r="U19" i="1"/>
  <c r="U20" i="1"/>
  <c r="U22" i="1"/>
  <c r="U23" i="1"/>
  <c r="U24" i="1"/>
  <c r="U25" i="1"/>
  <c r="U26" i="1"/>
  <c r="H30" i="1"/>
  <c r="L30" i="1"/>
  <c r="N30" i="1"/>
  <c r="P30" i="1"/>
  <c r="Q30" i="1"/>
  <c r="R30" i="1"/>
  <c r="S30" i="1"/>
  <c r="T30" i="1"/>
  <c r="V30" i="1"/>
  <c r="E24" i="2" l="1"/>
  <c r="V4" i="3"/>
  <c r="X30" i="3"/>
  <c r="O30" i="1"/>
  <c r="U12" i="1"/>
  <c r="U11" i="1"/>
  <c r="M30" i="1"/>
  <c r="C30" i="1"/>
  <c r="U21" i="1"/>
  <c r="V31" i="3" l="1"/>
  <c r="X17" i="3"/>
  <c r="U30" i="1"/>
  <c r="W3" i="1" s="1"/>
</calcChain>
</file>

<file path=xl/comments1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Дубликат ключей</t>
        </r>
      </text>
    </comment>
    <comment ref="P2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Левомеколь</t>
        </r>
      </text>
    </comment>
    <comment ref="H25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Вино
</t>
        </r>
      </text>
    </comment>
    <comment ref="J25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Газпром</t>
        </r>
      </text>
    </comment>
    <comment ref="J26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Росатом Энергосбыт</t>
        </r>
      </text>
    </comment>
    <comment ref="L26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Галстук + Брюки</t>
        </r>
      </text>
    </comment>
    <comment ref="P26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Торт Мишутка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УК Эталон</t>
        </r>
      </text>
    </comment>
  </commentList>
</comments>
</file>

<file path=xl/sharedStrings.xml><?xml version="1.0" encoding="utf-8"?>
<sst xmlns="http://schemas.openxmlformats.org/spreadsheetml/2006/main" count="143" uniqueCount="65">
  <si>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</si>
  <si>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</si>
  <si>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</si>
  <si>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</si>
  <si>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</si>
  <si>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</si>
  <si>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</si>
  <si>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</si>
  <si>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</si>
  <si>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</si>
  <si>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</si>
  <si>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</si>
  <si>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</si>
  <si>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</si>
  <si>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</si>
  <si>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</si>
  <si>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</si>
  <si>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</si>
  <si>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</si>
  <si>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</si>
  <si>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</si>
  <si>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</si>
  <si>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</si>
  <si>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</si>
  <si>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</si>
  <si>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</si>
  <si>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</si>
  <si>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</si>
  <si>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</si>
  <si>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</si>
  <si>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</si>
  <si>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</si>
  <si>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</si>
  <si>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</si>
  <si>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</si>
  <si>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</si>
  <si>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</si>
  <si>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</si>
  <si>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</si>
  <si>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</si>
  <si>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</si>
  <si>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</si>
  <si>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</si>
  <si>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</si>
  <si>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</si>
  <si>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</si>
  <si>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</si>
  <si>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</si>
  <si>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</si>
  <si>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</si>
  <si>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</si>
  <si>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</si>
  <si>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</si>
  <si>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</si>
  <si>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</si>
  <si>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</si>
  <si>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</si>
  <si>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</si>
  <si>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</si>
  <si>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</si>
  <si>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</si>
  <si>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</si>
  <si>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</si>
  <si>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</si>
  <si>
    <t>Столовая (обед)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</si>
</sst>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16" x14ac:knownFonts="1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9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12" fillId="9" borderId="1" xfId="0" applyFont="1" applyFill="1" applyBorder="1" applyAlignment="1">
      <alignment horizontal="center" vertical="center" wrapText="1"/>
    </xf>
    <xf numFmtId="0" fontId="13" fillId="10" borderId="4" xfId="0" applyFont="1" applyFill="1" applyBorder="1" applyAlignment="1">
      <alignment horizontal="center" vertical="center"/>
    </xf>
    <xf numFmtId="164" fontId="13" fillId="10" borderId="4" xfId="0" applyNumberFormat="1" applyFont="1" applyFill="1" applyBorder="1" applyAlignment="1">
      <alignment horizontal="center" vertical="center"/>
    </xf>
    <xf numFmtId="164" fontId="13" fillId="10" borderId="4" xfId="0" applyNumberFormat="1" applyFont="1" applyFill="1" applyBorder="1"/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3" fillId="10" borderId="4" xfId="0" applyFont="1" applyFill="1" applyBorder="1" applyAlignment="1">
      <alignment horizontal="right"/>
    </xf>
    <xf numFmtId="0" fontId="11" fillId="8" borderId="0" xfId="0" applyFont="1" applyFill="1" applyAlignment="1">
      <alignment horizontal="center" vertical="center"/>
    </xf>
    <xf numFmtId="164" fontId="13" fillId="10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5"/>
  <sheetViews>
    <sheetView tabSelected="1"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C31" sqref="C31:H31"/>
    </sheetView>
  </sheetViews>
  <sheetFormatPr defaultRowHeight="15" x14ac:dyDescent="0.2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 x14ac:dyDescent="0.25">
      <c r="A1" s="37" t="s">
        <v>27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</row>
    <row r="2" spans="1:46" ht="45" customHeight="1" x14ac:dyDescent="0.25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64</v>
      </c>
      <c r="G2" s="3" t="s">
        <v>11</v>
      </c>
      <c r="H2" s="3" t="s">
        <v>63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60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31">
        <v>5</v>
      </c>
      <c r="B3" s="31" t="s">
        <v>3</v>
      </c>
      <c r="C3" s="33">
        <f>183+2168</f>
        <v>2351</v>
      </c>
      <c r="D3" s="33">
        <v>3131</v>
      </c>
      <c r="E3" s="33"/>
      <c r="F3" s="33"/>
      <c r="G3" s="32"/>
      <c r="H3" s="32"/>
      <c r="I3" s="33"/>
      <c r="J3" s="33">
        <v>450</v>
      </c>
      <c r="K3" s="33"/>
      <c r="L3" s="33"/>
      <c r="M3" s="33"/>
      <c r="N3" s="33">
        <v>40</v>
      </c>
      <c r="O3" s="33"/>
      <c r="P3" s="33"/>
      <c r="Q3" s="33">
        <v>14418</v>
      </c>
      <c r="R3" s="33"/>
      <c r="S3" s="33">
        <v>5000</v>
      </c>
      <c r="T3" s="33"/>
      <c r="U3" s="33"/>
      <c r="V3" s="34">
        <f>SUM(C3:U3)</f>
        <v>25390</v>
      </c>
      <c r="W3" s="35">
        <v>53739.4</v>
      </c>
      <c r="X3" s="25"/>
    </row>
    <row r="4" spans="1:46" x14ac:dyDescent="0.25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23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25"/>
    </row>
    <row r="5" spans="1:46" x14ac:dyDescent="0.25">
      <c r="A5" s="4">
        <v>7</v>
      </c>
      <c r="B5" s="4" t="s">
        <v>5</v>
      </c>
      <c r="C5" s="15"/>
      <c r="D5" s="24">
        <v>1110</v>
      </c>
      <c r="E5" s="24"/>
      <c r="F5" s="24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25"/>
    </row>
    <row r="6" spans="1:46" x14ac:dyDescent="0.25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23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25"/>
    </row>
    <row r="7" spans="1:46" x14ac:dyDescent="0.25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25"/>
    </row>
    <row r="8" spans="1:46" x14ac:dyDescent="0.25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25"/>
    </row>
    <row r="9" spans="1:46" x14ac:dyDescent="0.25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25"/>
    </row>
    <row r="10" spans="1:46" x14ac:dyDescent="0.25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25"/>
    </row>
    <row r="11" spans="1:46" x14ac:dyDescent="0.25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25"/>
    </row>
    <row r="12" spans="1:46" x14ac:dyDescent="0.25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25"/>
    </row>
    <row r="13" spans="1:46" x14ac:dyDescent="0.25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25"/>
    </row>
    <row r="14" spans="1:46" x14ac:dyDescent="0.25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25"/>
    </row>
    <row r="15" spans="1:46" x14ac:dyDescent="0.25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25"/>
    </row>
    <row r="16" spans="1:46" x14ac:dyDescent="0.25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25"/>
    </row>
    <row r="17" spans="1:24" x14ac:dyDescent="0.25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25">
        <f>W3-SUM(V3:V16)</f>
        <v>-6655.0499999999956</v>
      </c>
    </row>
    <row r="18" spans="1:24" ht="14.25" customHeight="1" x14ac:dyDescent="0.25">
      <c r="A18" s="31">
        <v>20</v>
      </c>
      <c r="B18" s="31" t="s">
        <v>4</v>
      </c>
      <c r="C18" s="33"/>
      <c r="D18" s="32"/>
      <c r="E18" s="32"/>
      <c r="F18" s="32"/>
      <c r="G18" s="32"/>
      <c r="H18" s="32"/>
      <c r="I18" s="33">
        <v>1300</v>
      </c>
      <c r="J18" s="33"/>
      <c r="K18" s="33"/>
      <c r="L18" s="33"/>
      <c r="M18" s="33"/>
      <c r="N18" s="33">
        <f>1587+618</f>
        <v>2205</v>
      </c>
      <c r="O18" s="33"/>
      <c r="P18" s="33"/>
      <c r="Q18" s="33"/>
      <c r="R18" s="33"/>
      <c r="S18" s="33"/>
      <c r="T18" s="33"/>
      <c r="U18" s="33"/>
      <c r="V18" s="34">
        <f>SUM(C18:U18)</f>
        <v>3505</v>
      </c>
      <c r="W18" s="35">
        <f>30304+16451</f>
        <v>46755</v>
      </c>
      <c r="X18" s="36"/>
    </row>
    <row r="19" spans="1:24" x14ac:dyDescent="0.25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25"/>
    </row>
    <row r="20" spans="1:24" x14ac:dyDescent="0.25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25"/>
    </row>
    <row r="21" spans="1:24" x14ac:dyDescent="0.25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25"/>
    </row>
    <row r="22" spans="1:24" x14ac:dyDescent="0.25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25"/>
    </row>
    <row r="23" spans="1:24" x14ac:dyDescent="0.25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25"/>
    </row>
    <row r="24" spans="1:24" x14ac:dyDescent="0.25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25"/>
    </row>
    <row r="25" spans="1:24" x14ac:dyDescent="0.25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25"/>
    </row>
    <row r="26" spans="1:24" x14ac:dyDescent="0.25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25"/>
    </row>
    <row r="27" spans="1:24" x14ac:dyDescent="0.25">
      <c r="A27" s="5">
        <v>1</v>
      </c>
      <c r="B27" s="5" t="s">
        <v>6</v>
      </c>
      <c r="C27" s="10"/>
      <c r="D27" s="10"/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8">
        <f t="shared" si="1"/>
        <v>1711.25</v>
      </c>
      <c r="W27" s="12"/>
      <c r="X27" s="25"/>
    </row>
    <row r="28" spans="1:24" x14ac:dyDescent="0.25">
      <c r="A28" s="5">
        <v>2</v>
      </c>
      <c r="B28" s="5" t="s">
        <v>7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1">
        <f t="shared" si="1"/>
        <v>0</v>
      </c>
      <c r="W28" s="12"/>
      <c r="X28" s="25"/>
    </row>
    <row r="29" spans="1:24" x14ac:dyDescent="0.25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8">
        <f t="shared" si="1"/>
        <v>0</v>
      </c>
      <c r="W29" s="12"/>
      <c r="X29" s="25"/>
    </row>
    <row r="30" spans="1:24" x14ac:dyDescent="0.25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25">
        <f>W18+W21-SUM(V18:V30)</f>
        <v>6204.3600000000006</v>
      </c>
    </row>
    <row r="31" spans="1:24" x14ac:dyDescent="0.25">
      <c r="A31" s="38" t="s">
        <v>20</v>
      </c>
      <c r="B31" s="38"/>
      <c r="C31" s="13">
        <f>SUM(C3:C30)</f>
        <v>19992.27</v>
      </c>
      <c r="D31" s="13">
        <f t="shared" ref="D31:U31" si="2">SUM(D3:D30)</f>
        <v>11194</v>
      </c>
      <c r="E31" s="13">
        <f t="shared" si="2"/>
        <v>5127.4799999999996</v>
      </c>
      <c r="F31" s="13">
        <f>SUM(F3:F30)</f>
        <v>3527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10211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499</v>
      </c>
      <c r="S31" s="13">
        <f t="shared" si="2"/>
        <v>6805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26"/>
    </row>
    <row r="35" spans="2:10" x14ac:dyDescent="0.25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34"/>
  <sheetViews>
    <sheetView zoomScale="86" zoomScaleNormal="86" workbookViewId="0">
      <pane xSplit="2" ySplit="30" topLeftCell="C31" activePane="bottomRight" state="frozen"/>
      <selection pane="topRight" activeCell="C1" sqref="C1"/>
      <selection pane="bottomLeft" activeCell="A28" sqref="A28"/>
      <selection pane="bottomRight" activeCell="X17" sqref="X17"/>
    </sheetView>
  </sheetViews>
  <sheetFormatPr defaultRowHeight="15" x14ac:dyDescent="0.25"/>
  <cols>
    <col min="1" max="23" width="20.7109375" style="2" customWidth="1"/>
    <col min="24" max="35" width="12.7109375" style="2" customWidth="1"/>
    <col min="36" max="16384" width="9.140625" style="2"/>
  </cols>
  <sheetData>
    <row r="1" spans="1:45" ht="60.75" customHeight="1" x14ac:dyDescent="0.25">
      <c r="A1" s="40" t="s">
        <v>27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</row>
    <row r="2" spans="1:45" ht="45" customHeight="1" x14ac:dyDescent="0.25">
      <c r="A2" s="27" t="s">
        <v>0</v>
      </c>
      <c r="B2" s="27" t="s">
        <v>1</v>
      </c>
      <c r="C2" s="27" t="s">
        <v>9</v>
      </c>
      <c r="D2" s="27" t="s">
        <v>62</v>
      </c>
      <c r="E2" s="27" t="s">
        <v>10</v>
      </c>
      <c r="F2" s="27" t="s">
        <v>11</v>
      </c>
      <c r="G2" s="27" t="s">
        <v>63</v>
      </c>
      <c r="H2" s="27" t="s">
        <v>12</v>
      </c>
      <c r="I2" s="27" t="s">
        <v>24</v>
      </c>
      <c r="J2" s="27" t="s">
        <v>23</v>
      </c>
      <c r="K2" s="27" t="s">
        <v>13</v>
      </c>
      <c r="L2" s="27" t="s">
        <v>14</v>
      </c>
      <c r="M2" s="27" t="s">
        <v>15</v>
      </c>
      <c r="N2" s="27" t="s">
        <v>16</v>
      </c>
      <c r="O2" s="27" t="s">
        <v>60</v>
      </c>
      <c r="P2" s="27" t="s">
        <v>17</v>
      </c>
      <c r="Q2" s="27" t="s">
        <v>18</v>
      </c>
      <c r="R2" s="27" t="s">
        <v>25</v>
      </c>
      <c r="S2" s="27" t="s">
        <v>25</v>
      </c>
      <c r="T2" s="27" t="s">
        <v>26</v>
      </c>
      <c r="U2" s="27" t="s">
        <v>22</v>
      </c>
      <c r="V2" s="27" t="s">
        <v>19</v>
      </c>
      <c r="W2" s="27" t="s">
        <v>21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</row>
    <row r="3" spans="1:45" x14ac:dyDescent="0.25">
      <c r="A3" s="28">
        <v>5</v>
      </c>
      <c r="B3" s="28" t="s">
        <v>3</v>
      </c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>
        <f t="shared" ref="U3:U26" si="0">SUM(C3:T3)</f>
        <v>0</v>
      </c>
      <c r="V3" s="30"/>
      <c r="W3" s="41">
        <f>V30-U30</f>
        <v>0</v>
      </c>
    </row>
    <row r="4" spans="1:45" x14ac:dyDescent="0.25">
      <c r="A4" s="28">
        <v>6</v>
      </c>
      <c r="B4" s="28" t="s">
        <v>4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>
        <f t="shared" si="0"/>
        <v>0</v>
      </c>
      <c r="V4" s="30"/>
      <c r="W4" s="41"/>
    </row>
    <row r="5" spans="1:45" x14ac:dyDescent="0.25">
      <c r="A5" s="28">
        <v>7</v>
      </c>
      <c r="B5" s="28" t="s">
        <v>5</v>
      </c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>
        <f t="shared" si="0"/>
        <v>0</v>
      </c>
      <c r="V5" s="30"/>
      <c r="W5" s="41"/>
    </row>
    <row r="6" spans="1:45" x14ac:dyDescent="0.25">
      <c r="A6" s="28">
        <v>8</v>
      </c>
      <c r="B6" s="28" t="s">
        <v>6</v>
      </c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>
        <f t="shared" si="0"/>
        <v>0</v>
      </c>
      <c r="V6" s="30"/>
      <c r="W6" s="41"/>
    </row>
    <row r="7" spans="1:45" x14ac:dyDescent="0.25">
      <c r="A7" s="28">
        <v>9</v>
      </c>
      <c r="B7" s="28" t="s">
        <v>7</v>
      </c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>
        <f t="shared" si="0"/>
        <v>0</v>
      </c>
      <c r="V7" s="30"/>
      <c r="W7" s="41"/>
    </row>
    <row r="8" spans="1:45" x14ac:dyDescent="0.25">
      <c r="A8" s="28">
        <v>10</v>
      </c>
      <c r="B8" s="28" t="s">
        <v>8</v>
      </c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>
        <f t="shared" si="0"/>
        <v>0</v>
      </c>
      <c r="V8" s="30"/>
      <c r="W8" s="41"/>
    </row>
    <row r="9" spans="1:45" x14ac:dyDescent="0.25">
      <c r="A9" s="28">
        <v>11</v>
      </c>
      <c r="B9" s="28" t="s">
        <v>2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>
        <f t="shared" si="0"/>
        <v>0</v>
      </c>
      <c r="V9" s="30"/>
      <c r="W9" s="41"/>
    </row>
    <row r="10" spans="1:45" x14ac:dyDescent="0.25">
      <c r="A10" s="28">
        <v>12</v>
      </c>
      <c r="B10" s="28" t="s">
        <v>3</v>
      </c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>
        <f t="shared" si="0"/>
        <v>0</v>
      </c>
      <c r="V10" s="30"/>
      <c r="W10" s="41"/>
    </row>
    <row r="11" spans="1:45" x14ac:dyDescent="0.25">
      <c r="A11" s="28">
        <v>13</v>
      </c>
      <c r="B11" s="28" t="s">
        <v>4</v>
      </c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>
        <f t="shared" si="0"/>
        <v>0</v>
      </c>
      <c r="V11" s="30"/>
      <c r="W11" s="41"/>
    </row>
    <row r="12" spans="1:45" x14ac:dyDescent="0.25">
      <c r="A12" s="28">
        <v>14</v>
      </c>
      <c r="B12" s="28" t="s">
        <v>5</v>
      </c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>
        <f t="shared" si="0"/>
        <v>0</v>
      </c>
      <c r="V12" s="30"/>
      <c r="W12" s="41"/>
    </row>
    <row r="13" spans="1:45" x14ac:dyDescent="0.25">
      <c r="A13" s="28">
        <v>15</v>
      </c>
      <c r="B13" s="28" t="s">
        <v>6</v>
      </c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>
        <f t="shared" si="0"/>
        <v>0</v>
      </c>
      <c r="V13" s="30"/>
      <c r="W13" s="41"/>
    </row>
    <row r="14" spans="1:45" x14ac:dyDescent="0.25">
      <c r="A14" s="28">
        <v>16</v>
      </c>
      <c r="B14" s="28" t="s">
        <v>7</v>
      </c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>
        <f t="shared" si="0"/>
        <v>0</v>
      </c>
      <c r="V14" s="30"/>
      <c r="W14" s="41"/>
    </row>
    <row r="15" spans="1:45" x14ac:dyDescent="0.25">
      <c r="A15" s="28">
        <v>17</v>
      </c>
      <c r="B15" s="28" t="s">
        <v>8</v>
      </c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>
        <f t="shared" si="0"/>
        <v>0</v>
      </c>
      <c r="V15" s="30"/>
      <c r="W15" s="41"/>
    </row>
    <row r="16" spans="1:45" x14ac:dyDescent="0.25">
      <c r="A16" s="28">
        <v>18</v>
      </c>
      <c r="B16" s="28" t="s">
        <v>2</v>
      </c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>
        <f t="shared" si="0"/>
        <v>0</v>
      </c>
      <c r="V16" s="30"/>
      <c r="W16" s="41"/>
    </row>
    <row r="17" spans="1:23" x14ac:dyDescent="0.25">
      <c r="A17" s="28">
        <v>19</v>
      </c>
      <c r="B17" s="28" t="s">
        <v>3</v>
      </c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>
        <f t="shared" si="0"/>
        <v>0</v>
      </c>
      <c r="V17" s="30"/>
      <c r="W17" s="41"/>
    </row>
    <row r="18" spans="1:23" x14ac:dyDescent="0.25">
      <c r="A18" s="28">
        <v>20</v>
      </c>
      <c r="B18" s="28" t="s">
        <v>4</v>
      </c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>
        <f t="shared" si="0"/>
        <v>0</v>
      </c>
      <c r="V18" s="30"/>
      <c r="W18" s="41"/>
    </row>
    <row r="19" spans="1:23" x14ac:dyDescent="0.25">
      <c r="A19" s="28">
        <v>21</v>
      </c>
      <c r="B19" s="28" t="s">
        <v>5</v>
      </c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>
        <f t="shared" si="0"/>
        <v>0</v>
      </c>
      <c r="V19" s="30"/>
      <c r="W19" s="41"/>
    </row>
    <row r="20" spans="1:23" x14ac:dyDescent="0.25">
      <c r="A20" s="28">
        <v>22</v>
      </c>
      <c r="B20" s="28" t="s">
        <v>6</v>
      </c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>
        <f t="shared" si="0"/>
        <v>0</v>
      </c>
      <c r="V20" s="30"/>
      <c r="W20" s="41"/>
    </row>
    <row r="21" spans="1:23" x14ac:dyDescent="0.25">
      <c r="A21" s="28">
        <v>23</v>
      </c>
      <c r="B21" s="28" t="s">
        <v>7</v>
      </c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>
        <f t="shared" si="0"/>
        <v>0</v>
      </c>
      <c r="V21" s="30"/>
      <c r="W21" s="41"/>
    </row>
    <row r="22" spans="1:23" x14ac:dyDescent="0.25">
      <c r="A22" s="28">
        <v>24</v>
      </c>
      <c r="B22" s="28" t="s">
        <v>8</v>
      </c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>
        <f t="shared" si="0"/>
        <v>0</v>
      </c>
      <c r="V22" s="30"/>
      <c r="W22" s="41"/>
    </row>
    <row r="23" spans="1:23" x14ac:dyDescent="0.25">
      <c r="A23" s="28">
        <v>25</v>
      </c>
      <c r="B23" s="28" t="s">
        <v>2</v>
      </c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>
        <f t="shared" si="0"/>
        <v>0</v>
      </c>
      <c r="V23" s="30"/>
      <c r="W23" s="41"/>
    </row>
    <row r="24" spans="1:23" x14ac:dyDescent="0.25">
      <c r="A24" s="28">
        <v>26</v>
      </c>
      <c r="B24" s="28" t="s">
        <v>3</v>
      </c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>
        <f t="shared" si="0"/>
        <v>0</v>
      </c>
      <c r="V24" s="30"/>
      <c r="W24" s="41"/>
    </row>
    <row r="25" spans="1:23" x14ac:dyDescent="0.25">
      <c r="A25" s="28">
        <v>27</v>
      </c>
      <c r="B25" s="28" t="s">
        <v>4</v>
      </c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>
        <f t="shared" si="0"/>
        <v>0</v>
      </c>
      <c r="V25" s="30"/>
      <c r="W25" s="41"/>
    </row>
    <row r="26" spans="1:23" x14ac:dyDescent="0.25">
      <c r="A26" s="28">
        <v>28</v>
      </c>
      <c r="B26" s="28" t="s">
        <v>5</v>
      </c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>
        <f t="shared" si="0"/>
        <v>0</v>
      </c>
      <c r="V26" s="30"/>
      <c r="W26" s="41"/>
    </row>
    <row r="27" spans="1:23" x14ac:dyDescent="0.25">
      <c r="A27" s="28"/>
      <c r="B27" s="28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30"/>
      <c r="W27" s="41"/>
    </row>
    <row r="28" spans="1:23" x14ac:dyDescent="0.25">
      <c r="A28" s="28"/>
      <c r="B28" s="28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30"/>
      <c r="W28" s="41"/>
    </row>
    <row r="29" spans="1:23" x14ac:dyDescent="0.25">
      <c r="A29" s="28"/>
      <c r="B29" s="28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30"/>
      <c r="W29" s="41"/>
    </row>
    <row r="30" spans="1:23" x14ac:dyDescent="0.25">
      <c r="A30" s="39" t="s">
        <v>20</v>
      </c>
      <c r="B30" s="39"/>
      <c r="C30" s="30">
        <f t="shared" ref="C30:V30" si="1">SUM(C3:C26)</f>
        <v>0</v>
      </c>
      <c r="D30" s="30"/>
      <c r="E30" s="30">
        <f t="shared" si="1"/>
        <v>0</v>
      </c>
      <c r="F30" s="30">
        <f t="shared" si="1"/>
        <v>0</v>
      </c>
      <c r="G30" s="30"/>
      <c r="H30" s="30">
        <f t="shared" si="1"/>
        <v>0</v>
      </c>
      <c r="I30" s="30">
        <f t="shared" si="1"/>
        <v>0</v>
      </c>
      <c r="J30" s="30">
        <f t="shared" si="1"/>
        <v>0</v>
      </c>
      <c r="K30" s="30">
        <f t="shared" si="1"/>
        <v>0</v>
      </c>
      <c r="L30" s="30">
        <f t="shared" si="1"/>
        <v>0</v>
      </c>
      <c r="M30" s="30">
        <f t="shared" si="1"/>
        <v>0</v>
      </c>
      <c r="N30" s="30">
        <f t="shared" si="1"/>
        <v>0</v>
      </c>
      <c r="O30" s="30">
        <f t="shared" si="1"/>
        <v>0</v>
      </c>
      <c r="P30" s="30">
        <f t="shared" si="1"/>
        <v>0</v>
      </c>
      <c r="Q30" s="30">
        <f t="shared" si="1"/>
        <v>0</v>
      </c>
      <c r="R30" s="30">
        <f t="shared" si="1"/>
        <v>0</v>
      </c>
      <c r="S30" s="30">
        <f t="shared" si="1"/>
        <v>0</v>
      </c>
      <c r="T30" s="30">
        <f t="shared" si="1"/>
        <v>0</v>
      </c>
      <c r="U30" s="30">
        <f t="shared" si="1"/>
        <v>0</v>
      </c>
      <c r="V30" s="30">
        <f t="shared" si="1"/>
        <v>0</v>
      </c>
      <c r="W30" s="41"/>
    </row>
    <row r="34" spans="2:9" x14ac:dyDescent="0.25">
      <c r="B34" s="6"/>
      <c r="C34" s="6"/>
      <c r="D34" s="6"/>
      <c r="E34" s="6"/>
      <c r="F34" s="6"/>
      <c r="G34" s="6"/>
      <c r="H34" s="6"/>
      <c r="I34" s="6"/>
    </row>
  </sheetData>
  <mergeCells count="3">
    <mergeCell ref="A30:B30"/>
    <mergeCell ref="A1:W1"/>
    <mergeCell ref="W3:W30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Views>
    <sheetView workbookViewId="0">
      <selection activeCell="B20" sqref="B20"/>
    </sheetView>
  </sheetViews>
  <sheetFormatPr defaultRowHeight="15" x14ac:dyDescent="0.2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 x14ac:dyDescent="0.25">
      <c r="A1" s="42" t="s">
        <v>49</v>
      </c>
      <c r="B1" s="42"/>
      <c r="C1" s="42"/>
      <c r="D1" s="42"/>
      <c r="E1" s="42"/>
      <c r="G1" s="42" t="s">
        <v>50</v>
      </c>
      <c r="H1" s="42"/>
      <c r="I1" s="42"/>
      <c r="J1" s="42"/>
      <c r="K1" s="42"/>
    </row>
    <row r="2" spans="1:11" x14ac:dyDescent="0.25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 x14ac:dyDescent="0.25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 x14ac:dyDescent="0.25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 x14ac:dyDescent="0.25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 x14ac:dyDescent="0.25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 x14ac:dyDescent="0.25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 x14ac:dyDescent="0.25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44" t="s">
        <v>61</v>
      </c>
      <c r="H8" s="44"/>
      <c r="I8" s="44"/>
      <c r="J8" s="44"/>
      <c r="K8" s="20">
        <f>SUM(K3:K7)</f>
        <v>4873</v>
      </c>
    </row>
    <row r="9" spans="1:11" x14ac:dyDescent="0.25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 x14ac:dyDescent="0.25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 x14ac:dyDescent="0.25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 x14ac:dyDescent="0.25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 x14ac:dyDescent="0.25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 x14ac:dyDescent="0.25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 x14ac:dyDescent="0.25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 x14ac:dyDescent="0.25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 x14ac:dyDescent="0.25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 x14ac:dyDescent="0.25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 x14ac:dyDescent="0.25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 x14ac:dyDescent="0.25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 x14ac:dyDescent="0.25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 x14ac:dyDescent="0.25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 x14ac:dyDescent="0.25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 x14ac:dyDescent="0.25">
      <c r="A24" s="43" t="s">
        <v>61</v>
      </c>
      <c r="B24" s="43"/>
      <c r="C24" s="43"/>
      <c r="D24" s="43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Февраль 2026</vt:lpstr>
      <vt:lpstr>Март 2026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2026-03-01T08:39:06Z</dcterms:modified>
</cp:coreProperties>
</file>