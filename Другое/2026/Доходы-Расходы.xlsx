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4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5" i="6"/>
  <c r="W6"/>
  <c r="W7"/>
  <c r="W8"/>
  <c r="W9"/>
  <c r="W10"/>
  <c r="W11"/>
  <c r="W12"/>
  <c r="W13"/>
  <c r="W14"/>
  <c r="W15"/>
  <c r="W16"/>
  <c r="W17"/>
  <c r="W3"/>
  <c r="W4"/>
  <c r="S3"/>
  <c r="S18" s="1"/>
  <c r="S21" i="4"/>
  <c r="S36" s="1"/>
  <c r="S37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X36" s="1"/>
  <c r="V18"/>
  <c r="U18"/>
  <c r="T18"/>
  <c r="R18"/>
  <c r="M18"/>
  <c r="L18"/>
  <c r="K18"/>
  <c r="J18"/>
  <c r="I18"/>
  <c r="G18"/>
  <c r="F18"/>
  <c r="E18"/>
  <c r="O18"/>
  <c r="N18"/>
  <c r="H18"/>
  <c r="Q18"/>
  <c r="H31" i="4"/>
  <c r="H36" s="1"/>
  <c r="C31"/>
  <c r="C32"/>
  <c r="C33"/>
  <c r="C35"/>
  <c r="W35" s="1"/>
  <c r="H7" i="5"/>
  <c r="X31" i="3"/>
  <c r="H6" i="5"/>
  <c r="O28" i="4"/>
  <c r="O29"/>
  <c r="L37"/>
  <c r="X36"/>
  <c r="X37" s="1"/>
  <c r="D36"/>
  <c r="D37" s="1"/>
  <c r="E36"/>
  <c r="E37" s="1"/>
  <c r="F36"/>
  <c r="G36"/>
  <c r="I36"/>
  <c r="J36"/>
  <c r="K36"/>
  <c r="L36"/>
  <c r="M36"/>
  <c r="M37" s="1"/>
  <c r="N36"/>
  <c r="P36"/>
  <c r="Q36"/>
  <c r="R36"/>
  <c r="T36"/>
  <c r="U36"/>
  <c r="V36"/>
  <c r="X20"/>
  <c r="D20"/>
  <c r="E20"/>
  <c r="F20"/>
  <c r="G20"/>
  <c r="I20"/>
  <c r="J20"/>
  <c r="J37" s="1"/>
  <c r="K20"/>
  <c r="L20"/>
  <c r="M20"/>
  <c r="R20"/>
  <c r="T20"/>
  <c r="U20"/>
  <c r="C18"/>
  <c r="C16"/>
  <c r="P6"/>
  <c r="P20" s="1"/>
  <c r="P7"/>
  <c r="C11"/>
  <c r="O11"/>
  <c r="O20" s="1"/>
  <c r="N11"/>
  <c r="N20" s="1"/>
  <c r="C12"/>
  <c r="M36" i="6" l="1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C37" s="1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W18" i="6" l="1"/>
  <c r="W36" s="1"/>
  <c r="W35"/>
  <c r="Y35" s="1"/>
  <c r="C36"/>
  <c r="V4" i="4"/>
  <c r="V20" s="1"/>
  <c r="V37" s="1"/>
  <c r="Q3"/>
  <c r="Q20" s="1"/>
  <c r="Q37" s="1"/>
  <c r="S3"/>
  <c r="S20" s="1"/>
  <c r="Y18" i="6" l="1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</commentList>
</comments>
</file>

<file path=xl/sharedStrings.xml><?xml version="1.0" encoding="utf-8"?>
<sst xmlns="http://schemas.openxmlformats.org/spreadsheetml/2006/main" count="253" uniqueCount="57">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</sst>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2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11" fillId="7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11" fillId="1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EC1606"/>
      </font>
    </dxf>
    <dxf>
      <font>
        <color rgb="FF57B418"/>
      </font>
    </dxf>
  </dxfs>
  <tableStyles count="0" defaultTableStyle="TableStyleMedium2" defaultPivotStyle="PivotStyleLight16"/>
  <colors>
    <mruColors>
      <color rgb="FF57B418"/>
      <color rgb="FFFF8585"/>
      <color rgb="FF6C0000"/>
      <color rgb="FFEC1606"/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4">
      <formula>H5&gt;0</formula>
    </cfRule>
    <cfRule type="expression" dxfId="10" priority="3">
      <formula>H5&lt;0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S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6" t="s">
        <v>27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77" t="s">
        <v>20</v>
      </c>
      <c r="B31" s="77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Q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9" t="s">
        <v>32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78" t="s">
        <v>20</v>
      </c>
      <c r="B32" s="78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E38" activePane="bottomRight" state="frozen"/>
      <selection pane="topRight" activeCell="C1" sqref="C1"/>
      <selection pane="bottomLeft" activeCell="A28" sqref="A28"/>
      <selection pane="bottomRight" activeCell="S21" sqref="S21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79" t="s">
        <v>38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81" t="s">
        <v>35</v>
      </c>
      <c r="B20" s="82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42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81" t="s">
        <v>36</v>
      </c>
      <c r="B36" s="82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80" t="s">
        <v>37</v>
      </c>
      <c r="B37" s="80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tabSelected="1"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K41" sqref="K41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3" t="s">
        <v>38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>
        <f>199+4660+700</f>
        <v>5559</v>
      </c>
      <c r="T3" s="72">
        <v>7000</v>
      </c>
      <c r="U3" s="72"/>
      <c r="V3" s="72"/>
      <c r="W3" s="72">
        <f>SUM(C3:V3)</f>
        <v>12847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3"/>
      <c r="D4" s="73"/>
      <c r="E4" s="73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>
        <f>SUM(C4:V4)</f>
        <v>0</v>
      </c>
      <c r="X4" s="68"/>
      <c r="Y4" s="69"/>
    </row>
    <row r="5" spans="1:47" ht="15.75">
      <c r="A5" s="62">
        <v>7</v>
      </c>
      <c r="B5" s="63" t="s">
        <v>3</v>
      </c>
      <c r="C5" s="71"/>
      <c r="D5" s="71"/>
      <c r="E5" s="71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>
        <f t="shared" ref="W5:W17" si="0">SUM(C5:V5)</f>
        <v>0</v>
      </c>
      <c r="X5" s="64"/>
      <c r="Y5" s="65"/>
    </row>
    <row r="6" spans="1:47" ht="15.75">
      <c r="A6" s="66">
        <v>8</v>
      </c>
      <c r="B6" s="67" t="s">
        <v>4</v>
      </c>
      <c r="C6" s="73"/>
      <c r="D6" s="73"/>
      <c r="E6" s="73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>
        <f t="shared" si="0"/>
        <v>0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>
        <f t="shared" si="0"/>
        <v>0</v>
      </c>
      <c r="X7" s="64"/>
      <c r="Y7" s="65"/>
    </row>
    <row r="8" spans="1:47" ht="15.75">
      <c r="A8" s="66">
        <v>10</v>
      </c>
      <c r="B8" s="67" t="s">
        <v>6</v>
      </c>
      <c r="C8" s="73"/>
      <c r="D8" s="73"/>
      <c r="E8" s="73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>
        <f t="shared" si="0"/>
        <v>0</v>
      </c>
      <c r="X8" s="68"/>
      <c r="Y8" s="69"/>
    </row>
    <row r="9" spans="1:47" ht="15.75">
      <c r="A9" s="62">
        <v>11</v>
      </c>
      <c r="B9" s="63" t="s">
        <v>7</v>
      </c>
      <c r="C9" s="71"/>
      <c r="D9" s="71"/>
      <c r="E9" s="71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>
        <f t="shared" si="0"/>
        <v>0</v>
      </c>
      <c r="X9" s="64"/>
      <c r="Y9" s="65"/>
    </row>
    <row r="10" spans="1:47" ht="15.75">
      <c r="A10" s="66">
        <v>12</v>
      </c>
      <c r="B10" s="67" t="s">
        <v>8</v>
      </c>
      <c r="C10" s="73"/>
      <c r="D10" s="73"/>
      <c r="E10" s="73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>
        <f t="shared" si="0"/>
        <v>0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>
        <f t="shared" si="0"/>
        <v>0</v>
      </c>
      <c r="X11" s="64"/>
      <c r="Y11" s="65"/>
    </row>
    <row r="12" spans="1:47" ht="15.75">
      <c r="A12" s="66">
        <v>14</v>
      </c>
      <c r="B12" s="67" t="s">
        <v>3</v>
      </c>
      <c r="C12" s="73"/>
      <c r="D12" s="73"/>
      <c r="E12" s="73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>
        <f t="shared" si="0"/>
        <v>0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>
        <f t="shared" si="0"/>
        <v>0</v>
      </c>
      <c r="X13" s="64"/>
      <c r="Y13" s="65"/>
    </row>
    <row r="14" spans="1:47" ht="15.75">
      <c r="A14" s="66">
        <v>16</v>
      </c>
      <c r="B14" s="67" t="s">
        <v>5</v>
      </c>
      <c r="C14" s="73"/>
      <c r="D14" s="73"/>
      <c r="E14" s="73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>
        <f t="shared" si="0"/>
        <v>0</v>
      </c>
      <c r="X14" s="68"/>
      <c r="Y14" s="69"/>
    </row>
    <row r="15" spans="1:47" ht="15.75">
      <c r="A15" s="62">
        <v>17</v>
      </c>
      <c r="B15" s="63" t="s">
        <v>6</v>
      </c>
      <c r="C15" s="71"/>
      <c r="D15" s="71"/>
      <c r="E15" s="71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>
        <f t="shared" si="0"/>
        <v>0</v>
      </c>
      <c r="X15" s="64"/>
      <c r="Y15" s="65"/>
    </row>
    <row r="16" spans="1:47" ht="15.75">
      <c r="A16" s="66">
        <v>18</v>
      </c>
      <c r="B16" s="67" t="s">
        <v>7</v>
      </c>
      <c r="C16" s="73"/>
      <c r="D16" s="73"/>
      <c r="E16" s="73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>
        <f t="shared" si="0"/>
        <v>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>
        <f t="shared" si="0"/>
        <v>0</v>
      </c>
      <c r="X17" s="64"/>
      <c r="Y17" s="65"/>
    </row>
    <row r="18" spans="1:27">
      <c r="A18" s="84" t="s">
        <v>35</v>
      </c>
      <c r="B18" s="84"/>
      <c r="C18" s="75">
        <f t="shared" ref="C18:X18" si="1">SUM(C3:C17)</f>
        <v>0</v>
      </c>
      <c r="D18" s="75">
        <f t="shared" si="1"/>
        <v>288</v>
      </c>
      <c r="E18" s="75">
        <f t="shared" si="1"/>
        <v>0</v>
      </c>
      <c r="F18" s="75">
        <f t="shared" si="1"/>
        <v>0</v>
      </c>
      <c r="G18" s="75">
        <f t="shared" si="1"/>
        <v>0</v>
      </c>
      <c r="H18" s="75">
        <f t="shared" si="1"/>
        <v>0</v>
      </c>
      <c r="I18" s="75">
        <f t="shared" si="1"/>
        <v>0</v>
      </c>
      <c r="J18" s="75">
        <f t="shared" si="1"/>
        <v>0</v>
      </c>
      <c r="K18" s="75">
        <f t="shared" si="1"/>
        <v>0</v>
      </c>
      <c r="L18" s="75">
        <f t="shared" si="1"/>
        <v>0</v>
      </c>
      <c r="M18" s="75">
        <f t="shared" si="1"/>
        <v>0</v>
      </c>
      <c r="N18" s="75">
        <f t="shared" si="1"/>
        <v>0</v>
      </c>
      <c r="O18" s="75">
        <f t="shared" si="1"/>
        <v>0</v>
      </c>
      <c r="P18" s="75">
        <f t="shared" si="1"/>
        <v>0</v>
      </c>
      <c r="Q18" s="75">
        <f t="shared" si="1"/>
        <v>0</v>
      </c>
      <c r="R18" s="75">
        <f t="shared" si="1"/>
        <v>0</v>
      </c>
      <c r="S18" s="75">
        <f t="shared" si="1"/>
        <v>5559</v>
      </c>
      <c r="T18" s="75">
        <f t="shared" si="1"/>
        <v>7000</v>
      </c>
      <c r="U18" s="75">
        <f t="shared" si="1"/>
        <v>0</v>
      </c>
      <c r="V18" s="75">
        <f t="shared" si="1"/>
        <v>0</v>
      </c>
      <c r="W18" s="75">
        <f t="shared" si="1"/>
        <v>12847</v>
      </c>
      <c r="X18" s="60">
        <f t="shared" si="1"/>
        <v>53970.91</v>
      </c>
      <c r="Y18" s="61">
        <f>X18-W18</f>
        <v>41123.910000000003</v>
      </c>
    </row>
    <row r="19" spans="1:27" ht="15.75">
      <c r="A19" s="62">
        <v>20</v>
      </c>
      <c r="B19" s="63" t="s">
        <v>2</v>
      </c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64"/>
      <c r="Y19" s="65"/>
    </row>
    <row r="20" spans="1:27" ht="15.75">
      <c r="A20" s="66">
        <v>21</v>
      </c>
      <c r="B20" s="67" t="s">
        <v>3</v>
      </c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68"/>
      <c r="Y20" s="69"/>
      <c r="AA20" s="44"/>
    </row>
    <row r="21" spans="1:27" ht="15.75">
      <c r="A21" s="62">
        <v>22</v>
      </c>
      <c r="B21" s="63" t="s">
        <v>4</v>
      </c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64"/>
      <c r="Y21" s="65"/>
    </row>
    <row r="22" spans="1:27" ht="15.75">
      <c r="A22" s="66">
        <v>23</v>
      </c>
      <c r="B22" s="67" t="s">
        <v>5</v>
      </c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68"/>
      <c r="Y22" s="69"/>
    </row>
    <row r="23" spans="1:27" ht="15.75">
      <c r="A23" s="62">
        <v>24</v>
      </c>
      <c r="B23" s="63" t="s">
        <v>6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64"/>
      <c r="Y23" s="65"/>
    </row>
    <row r="24" spans="1:27" ht="15.75">
      <c r="A24" s="66">
        <v>25</v>
      </c>
      <c r="B24" s="67" t="s">
        <v>7</v>
      </c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68"/>
      <c r="Y24" s="69"/>
    </row>
    <row r="25" spans="1:27" ht="15.75">
      <c r="A25" s="62">
        <v>26</v>
      </c>
      <c r="B25" s="63" t="s">
        <v>8</v>
      </c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64"/>
      <c r="Y25" s="65"/>
    </row>
    <row r="26" spans="1:27" ht="15.75">
      <c r="A26" s="66">
        <v>27</v>
      </c>
      <c r="B26" s="67" t="s">
        <v>2</v>
      </c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68"/>
      <c r="Y26" s="69"/>
    </row>
    <row r="27" spans="1:27" ht="15.75">
      <c r="A27" s="62">
        <v>28</v>
      </c>
      <c r="B27" s="63" t="s">
        <v>3</v>
      </c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64"/>
      <c r="Y27" s="65"/>
    </row>
    <row r="28" spans="1:27" ht="15.75">
      <c r="A28" s="66">
        <v>29</v>
      </c>
      <c r="B28" s="67" t="s">
        <v>4</v>
      </c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68"/>
      <c r="Y28" s="69"/>
    </row>
    <row r="29" spans="1:27" ht="15.75">
      <c r="A29" s="62">
        <v>30</v>
      </c>
      <c r="B29" s="63" t="s">
        <v>5</v>
      </c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64"/>
      <c r="Y29" s="65"/>
    </row>
    <row r="30" spans="1:27" ht="15.75">
      <c r="A30" s="66">
        <v>31</v>
      </c>
      <c r="B30" s="67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68"/>
      <c r="Y30" s="69"/>
    </row>
    <row r="31" spans="1:27" ht="15.75">
      <c r="A31" s="62">
        <v>1</v>
      </c>
      <c r="B31" s="63" t="s">
        <v>6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64"/>
      <c r="Y31" s="65"/>
    </row>
    <row r="32" spans="1:27" ht="15.75">
      <c r="A32" s="66">
        <v>2</v>
      </c>
      <c r="B32" s="67" t="s">
        <v>7</v>
      </c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68"/>
      <c r="Y32" s="69"/>
    </row>
    <row r="33" spans="1:25" ht="15.75">
      <c r="A33" s="62">
        <v>3</v>
      </c>
      <c r="B33" s="63" t="s">
        <v>8</v>
      </c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64"/>
      <c r="Y33" s="65"/>
    </row>
    <row r="34" spans="1:25" ht="15.75">
      <c r="A34" s="66">
        <v>4</v>
      </c>
      <c r="B34" s="67" t="s">
        <v>2</v>
      </c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68"/>
      <c r="Y34" s="69"/>
    </row>
    <row r="35" spans="1:25">
      <c r="A35" s="84" t="s">
        <v>36</v>
      </c>
      <c r="B35" s="84"/>
      <c r="C35" s="75">
        <f>SUM(C19:C34)</f>
        <v>0</v>
      </c>
      <c r="D35" s="75">
        <f t="shared" ref="D35:V35" si="2">SUM(D19:D34)</f>
        <v>0</v>
      </c>
      <c r="E35" s="75">
        <f t="shared" si="2"/>
        <v>0</v>
      </c>
      <c r="F35" s="75">
        <f t="shared" si="2"/>
        <v>0</v>
      </c>
      <c r="G35" s="75">
        <f t="shared" si="2"/>
        <v>0</v>
      </c>
      <c r="H35" s="75">
        <f t="shared" si="2"/>
        <v>0</v>
      </c>
      <c r="I35" s="75">
        <f t="shared" si="2"/>
        <v>0</v>
      </c>
      <c r="J35" s="75">
        <f t="shared" si="2"/>
        <v>0</v>
      </c>
      <c r="K35" s="75">
        <f t="shared" si="2"/>
        <v>0</v>
      </c>
      <c r="L35" s="75">
        <f t="shared" si="2"/>
        <v>0</v>
      </c>
      <c r="M35" s="75">
        <f t="shared" si="2"/>
        <v>0</v>
      </c>
      <c r="N35" s="75">
        <f t="shared" si="2"/>
        <v>0</v>
      </c>
      <c r="O35" s="75">
        <f t="shared" si="2"/>
        <v>0</v>
      </c>
      <c r="P35" s="75">
        <f t="shared" si="2"/>
        <v>0</v>
      </c>
      <c r="Q35" s="75">
        <f t="shared" si="2"/>
        <v>0</v>
      </c>
      <c r="R35" s="75">
        <f t="shared" si="2"/>
        <v>0</v>
      </c>
      <c r="S35" s="75">
        <f t="shared" si="2"/>
        <v>0</v>
      </c>
      <c r="T35" s="75">
        <f>SUM(T19:T34)</f>
        <v>0</v>
      </c>
      <c r="U35" s="75">
        <f t="shared" si="2"/>
        <v>0</v>
      </c>
      <c r="V35" s="75">
        <f t="shared" si="2"/>
        <v>0</v>
      </c>
      <c r="W35" s="75">
        <f>SUM(W19:W34)</f>
        <v>0</v>
      </c>
      <c r="X35" s="60">
        <f>SUM(X19:X34)</f>
        <v>0</v>
      </c>
      <c r="Y35" s="61">
        <f>X35-W35</f>
        <v>0</v>
      </c>
    </row>
    <row r="36" spans="1:25" ht="31.5" customHeight="1">
      <c r="A36" s="85" t="s">
        <v>37</v>
      </c>
      <c r="B36" s="85"/>
      <c r="C36" s="70">
        <f>SUM(C18,C35)</f>
        <v>0</v>
      </c>
      <c r="D36" s="70">
        <f t="shared" ref="D36:W36" si="3">SUM(D18,D35)</f>
        <v>288</v>
      </c>
      <c r="E36" s="70">
        <f t="shared" si="3"/>
        <v>0</v>
      </c>
      <c r="F36" s="70">
        <f t="shared" si="3"/>
        <v>0</v>
      </c>
      <c r="G36" s="70">
        <f t="shared" si="3"/>
        <v>0</v>
      </c>
      <c r="H36" s="70">
        <f t="shared" si="3"/>
        <v>0</v>
      </c>
      <c r="I36" s="70">
        <f t="shared" si="3"/>
        <v>0</v>
      </c>
      <c r="J36" s="70">
        <f t="shared" si="3"/>
        <v>0</v>
      </c>
      <c r="K36" s="70">
        <f t="shared" si="3"/>
        <v>0</v>
      </c>
      <c r="L36" s="70">
        <f t="shared" si="3"/>
        <v>0</v>
      </c>
      <c r="M36" s="70">
        <f t="shared" si="3"/>
        <v>0</v>
      </c>
      <c r="N36" s="70">
        <f t="shared" si="3"/>
        <v>0</v>
      </c>
      <c r="O36" s="70">
        <f t="shared" si="3"/>
        <v>0</v>
      </c>
      <c r="P36" s="70">
        <f t="shared" si="3"/>
        <v>0</v>
      </c>
      <c r="Q36" s="70">
        <f t="shared" si="3"/>
        <v>0</v>
      </c>
      <c r="R36" s="70">
        <f t="shared" si="3"/>
        <v>0</v>
      </c>
      <c r="S36" s="70">
        <f>SUM(S18,S35)</f>
        <v>5559</v>
      </c>
      <c r="T36" s="70">
        <f t="shared" si="3"/>
        <v>7000</v>
      </c>
      <c r="U36" s="70">
        <f t="shared" si="3"/>
        <v>0</v>
      </c>
      <c r="V36" s="70">
        <f t="shared" si="3"/>
        <v>0</v>
      </c>
      <c r="W36" s="70">
        <f t="shared" si="3"/>
        <v>12847</v>
      </c>
      <c r="X36" s="70">
        <f>SUM(X18,X35)</f>
        <v>53970.91</v>
      </c>
      <c r="Y36" s="70">
        <f>SUM(Y18,Y35)</f>
        <v>41123.910000000003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Сводная</vt:lpstr>
      <vt:lpstr>Февраль 2026</vt:lpstr>
      <vt:lpstr>Март 2026</vt:lpstr>
      <vt:lpstr>Апрель 2026</vt:lpstr>
      <vt:lpstr>Май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2026-05-05T13:31:25Z</dcterms:modified>
</cp:coreProperties>
</file>