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120" yWindow="105" windowWidth="15120" windowHeight="8010"/>
  </bookViews>
  <sheets>
    <sheet name="Лист1" sheetId="1" r:id="rId1"/>
    <sheet name="Лист2" sheetId="2" r:id="rId2"/>
    <sheet name="Лист3" sheetId="3" r:id="rId3"/>
  </sheets>
  <calcPr calcId="125725"/>
</workbook>
</file>

<file path=xl/calcChain.xml><?xml version="1.0" encoding="utf-8"?>
<calcChain xmlns="http://schemas.openxmlformats.org/spreadsheetml/2006/main">
  <c r="E49" i="1"/>
  <c r="E30"/>
  <c r="E48" s="1"/>
  <c r="E22"/>
  <c r="E15"/>
  <c r="E50"/>
  <c r="B50"/>
  <c r="B47"/>
  <c r="B42"/>
  <c r="B43" s="1"/>
  <c r="B38"/>
  <c r="B37"/>
  <c r="B34"/>
  <c r="B31"/>
  <c r="B28"/>
  <c r="B24"/>
  <c r="B18"/>
  <c r="B51" l="1"/>
  <c r="B48"/>
  <c r="B49" s="1"/>
  <c r="E51" l="1"/>
</calcChain>
</file>

<file path=xl/sharedStrings.xml><?xml version="1.0" encoding="utf-8"?>
<sst xmlns="http://schemas.openxmlformats.org/spreadsheetml/2006/main" count="91" uniqueCount="13">
  <si>
    <t>Дата</t>
  </si>
  <si>
    <t>Сумма</t>
  </si>
  <si>
    <t>Вид</t>
  </si>
  <si>
    <t>Аванс</t>
  </si>
  <si>
    <t>ЗП</t>
  </si>
  <si>
    <t>Премия</t>
  </si>
  <si>
    <t>Отпускные</t>
  </si>
  <si>
    <t>Всего:</t>
  </si>
  <si>
    <t xml:space="preserve">Средняя ЗП в месяц: </t>
  </si>
  <si>
    <t xml:space="preserve">Всего премий: </t>
  </si>
  <si>
    <t xml:space="preserve">% Премии от общего дохода: </t>
  </si>
  <si>
    <t>ЗП + Премия</t>
  </si>
  <si>
    <t>-</t>
  </si>
</sst>
</file>

<file path=xl/styles.xml><?xml version="1.0" encoding="utf-8"?>
<styleSheet xmlns="http://schemas.openxmlformats.org/spreadsheetml/2006/main">
  <numFmts count="1">
    <numFmt numFmtId="164" formatCode="#,##0.00\ &quot;₽&quot;"/>
  </numFmts>
  <fonts count="5">
    <font>
      <sz val="11"/>
      <color theme="1"/>
      <name val="Calibri"/>
      <family val="2"/>
      <charset val="204"/>
      <scheme val="minor"/>
    </font>
    <font>
      <b/>
      <sz val="26"/>
      <color theme="0"/>
      <name val="Bahnschrift SemiCondensed"/>
      <family val="2"/>
      <charset val="204"/>
    </font>
    <font>
      <sz val="11"/>
      <color theme="0"/>
      <name val="Bahnschrift SemiBold"/>
      <family val="2"/>
      <charset val="204"/>
    </font>
    <font>
      <sz val="11"/>
      <color rgb="FFFF0000"/>
      <name val="Bahnschrift SemiBold"/>
      <family val="2"/>
      <charset val="204"/>
    </font>
    <font>
      <sz val="11"/>
      <color theme="0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 tint="-0.89999084444715716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-0.499984740745262"/>
        <bgColor indexed="64"/>
      </patternFill>
    </fill>
  </fills>
  <borders count="5">
    <border>
      <left/>
      <right/>
      <top/>
      <bottom/>
      <diagonal/>
    </border>
    <border>
      <left style="medium">
        <color theme="5" tint="0.59999389629810485"/>
      </left>
      <right style="medium">
        <color theme="5" tint="0.59999389629810485"/>
      </right>
      <top style="medium">
        <color theme="5" tint="0.59999389629810485"/>
      </top>
      <bottom style="medium">
        <color theme="5" tint="0.59999389629810485"/>
      </bottom>
      <diagonal/>
    </border>
    <border>
      <left style="medium">
        <color theme="5" tint="0.59999389629810485"/>
      </left>
      <right/>
      <top style="medium">
        <color theme="5" tint="0.59999389629810485"/>
      </top>
      <bottom style="medium">
        <color theme="5" tint="0.59999389629810485"/>
      </bottom>
      <diagonal/>
    </border>
    <border>
      <left/>
      <right/>
      <top style="medium">
        <color theme="5" tint="0.59999389629810485"/>
      </top>
      <bottom style="medium">
        <color theme="5" tint="0.59999389629810485"/>
      </bottom>
      <diagonal/>
    </border>
    <border>
      <left/>
      <right style="medium">
        <color theme="5" tint="0.59999389629810485"/>
      </right>
      <top style="medium">
        <color theme="5" tint="0.59999389629810485"/>
      </top>
      <bottom style="medium">
        <color theme="5" tint="0.59999389629810485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2" borderId="0" xfId="0" applyFill="1"/>
    <xf numFmtId="0" fontId="1" fillId="3" borderId="1" xfId="0" applyFont="1" applyFill="1" applyBorder="1" applyAlignment="1">
      <alignment horizontal="center" vertical="center"/>
    </xf>
    <xf numFmtId="16" fontId="2" fillId="3" borderId="1" xfId="0" applyNumberFormat="1" applyFont="1" applyFill="1" applyBorder="1"/>
    <xf numFmtId="164" fontId="2" fillId="3" borderId="1" xfId="0" applyNumberFormat="1" applyFont="1" applyFill="1" applyBorder="1"/>
    <xf numFmtId="0" fontId="2" fillId="3" borderId="1" xfId="0" applyFont="1" applyFill="1" applyBorder="1"/>
    <xf numFmtId="0" fontId="3" fillId="4" borderId="1" xfId="0" applyFont="1" applyFill="1" applyBorder="1" applyAlignment="1">
      <alignment horizontal="left"/>
    </xf>
    <xf numFmtId="164" fontId="3" fillId="4" borderId="1" xfId="0" applyNumberFormat="1" applyFont="1" applyFill="1" applyBorder="1"/>
    <xf numFmtId="0" fontId="3" fillId="4" borderId="1" xfId="0" applyFont="1" applyFill="1" applyBorder="1"/>
    <xf numFmtId="0" fontId="3" fillId="4" borderId="1" xfId="0" applyFont="1" applyFill="1" applyBorder="1" applyAlignment="1">
      <alignment horizontal="left" wrapText="1"/>
    </xf>
    <xf numFmtId="10" fontId="3" fillId="4" borderId="1" xfId="0" applyNumberFormat="1" applyFont="1" applyFill="1" applyBorder="1"/>
    <xf numFmtId="0" fontId="1" fillId="5" borderId="1" xfId="0" applyFont="1" applyFill="1" applyBorder="1" applyAlignment="1">
      <alignment horizontal="center" vertical="center"/>
    </xf>
    <xf numFmtId="16" fontId="2" fillId="5" borderId="1" xfId="0" applyNumberFormat="1" applyFont="1" applyFill="1" applyBorder="1"/>
    <xf numFmtId="164" fontId="2" fillId="5" borderId="1" xfId="0" applyNumberFormat="1" applyFont="1" applyFill="1" applyBorder="1"/>
    <xf numFmtId="0" fontId="2" fillId="5" borderId="1" xfId="0" applyFont="1" applyFill="1" applyBorder="1"/>
    <xf numFmtId="16" fontId="2" fillId="5" borderId="1" xfId="0" applyNumberFormat="1" applyFont="1" applyFill="1" applyBorder="1" applyAlignment="1">
      <alignment horizontal="center" vertical="center"/>
    </xf>
    <xf numFmtId="164" fontId="0" fillId="2" borderId="0" xfId="0" applyNumberFormat="1" applyFill="1"/>
    <xf numFmtId="164" fontId="4" fillId="2" borderId="0" xfId="0" applyNumberFormat="1" applyFont="1" applyFill="1"/>
    <xf numFmtId="0" fontId="4" fillId="2" borderId="0" xfId="0" applyFont="1" applyFill="1"/>
    <xf numFmtId="16" fontId="2" fillId="5" borderId="1" xfId="0" applyNumberFormat="1" applyFont="1" applyFill="1" applyBorder="1" applyAlignment="1">
      <alignment horizontal="right" vertical="center"/>
    </xf>
    <xf numFmtId="16" fontId="2" fillId="3" borderId="1" xfId="0" applyNumberFormat="1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16" fontId="2" fillId="5" borderId="1" xfId="0" applyNumberFormat="1" applyFont="1" applyFill="1" applyBorder="1" applyAlignment="1">
      <alignment horizontal="center"/>
    </xf>
    <xf numFmtId="16" fontId="2" fillId="3" borderId="1" xfId="0" applyNumberFormat="1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51"/>
  <sheetViews>
    <sheetView tabSelected="1" workbookViewId="0">
      <pane ySplit="1" topLeftCell="A12" activePane="bottomLeft" state="frozen"/>
      <selection pane="bottomLeft" activeCell="E32" sqref="E32"/>
    </sheetView>
  </sheetViews>
  <sheetFormatPr defaultRowHeight="15"/>
  <cols>
    <col min="1" max="1" width="25.140625" style="1" customWidth="1"/>
    <col min="2" max="2" width="14.85546875" style="1" bestFit="1" customWidth="1"/>
    <col min="3" max="3" width="11.85546875" style="1" customWidth="1"/>
    <col min="4" max="4" width="25.140625" style="1" customWidth="1"/>
    <col min="5" max="5" width="14.85546875" style="1" bestFit="1" customWidth="1"/>
    <col min="6" max="6" width="14.5703125" style="1" customWidth="1"/>
    <col min="7" max="7" width="13.140625" style="1" bestFit="1" customWidth="1"/>
    <col min="8" max="8" width="11.5703125" style="1" bestFit="1" customWidth="1"/>
    <col min="9" max="9" width="9.5703125" style="1" bestFit="1" customWidth="1"/>
    <col min="10" max="10" width="10.5703125" style="1" bestFit="1" customWidth="1"/>
    <col min="11" max="16384" width="9.140625" style="1"/>
  </cols>
  <sheetData>
    <row r="1" spans="1:6" ht="60.75" customHeight="1" thickBot="1">
      <c r="A1" s="2" t="s">
        <v>0</v>
      </c>
      <c r="B1" s="2" t="s">
        <v>1</v>
      </c>
      <c r="C1" s="2" t="s">
        <v>2</v>
      </c>
      <c r="D1" s="11" t="s">
        <v>0</v>
      </c>
      <c r="E1" s="11" t="s">
        <v>1</v>
      </c>
      <c r="F1" s="11" t="s">
        <v>2</v>
      </c>
    </row>
    <row r="2" spans="1:6" ht="33" thickBot="1">
      <c r="A2" s="21">
        <v>2025</v>
      </c>
      <c r="B2" s="22"/>
      <c r="C2" s="23"/>
      <c r="D2" s="24">
        <v>2026</v>
      </c>
      <c r="E2" s="25"/>
      <c r="F2" s="26"/>
    </row>
    <row r="3" spans="1:6" ht="15.75" thickBot="1">
      <c r="A3" s="3">
        <v>46042</v>
      </c>
      <c r="B3" s="4">
        <v>16189</v>
      </c>
      <c r="C3" s="5" t="s">
        <v>3</v>
      </c>
      <c r="D3" s="12">
        <v>46042</v>
      </c>
      <c r="E3" s="13">
        <v>25822</v>
      </c>
      <c r="F3" s="14" t="s">
        <v>3</v>
      </c>
    </row>
    <row r="4" spans="1:6" ht="15.75" thickBot="1">
      <c r="A4" s="3">
        <v>46058</v>
      </c>
      <c r="B4" s="4">
        <v>54581</v>
      </c>
      <c r="C4" s="5" t="s">
        <v>4</v>
      </c>
      <c r="D4" s="12">
        <v>46058</v>
      </c>
      <c r="E4" s="13">
        <v>53739</v>
      </c>
      <c r="F4" s="14" t="s">
        <v>4</v>
      </c>
    </row>
    <row r="5" spans="1:6" ht="15.75" thickBot="1">
      <c r="A5" s="3">
        <v>46073</v>
      </c>
      <c r="B5" s="4">
        <v>31454</v>
      </c>
      <c r="C5" s="5" t="s">
        <v>3</v>
      </c>
      <c r="D5" s="12">
        <v>46073</v>
      </c>
      <c r="E5" s="13">
        <v>30304</v>
      </c>
      <c r="F5" s="14" t="s">
        <v>3</v>
      </c>
    </row>
    <row r="6" spans="1:6" ht="15.75" thickBot="1">
      <c r="A6" s="3">
        <v>46074</v>
      </c>
      <c r="B6" s="4">
        <v>15727</v>
      </c>
      <c r="C6" s="5" t="s">
        <v>5</v>
      </c>
      <c r="D6" s="12">
        <v>46073</v>
      </c>
      <c r="E6" s="13">
        <v>16451</v>
      </c>
      <c r="F6" s="14" t="s">
        <v>5</v>
      </c>
    </row>
    <row r="7" spans="1:6" ht="15.75" thickBot="1">
      <c r="A7" s="3">
        <v>46086</v>
      </c>
      <c r="B7" s="4">
        <v>47181</v>
      </c>
      <c r="C7" s="5" t="s">
        <v>4</v>
      </c>
      <c r="D7" s="12">
        <v>46086</v>
      </c>
      <c r="E7" s="13">
        <v>43724</v>
      </c>
      <c r="F7" s="14" t="s">
        <v>4</v>
      </c>
    </row>
    <row r="8" spans="1:6" ht="15.75" thickBot="1">
      <c r="A8" s="3">
        <v>46101</v>
      </c>
      <c r="B8" s="4">
        <v>29956.39</v>
      </c>
      <c r="C8" s="5" t="s">
        <v>3</v>
      </c>
      <c r="D8" s="12">
        <v>46101</v>
      </c>
      <c r="E8" s="13">
        <v>24676</v>
      </c>
      <c r="F8" s="14" t="s">
        <v>3</v>
      </c>
    </row>
    <row r="9" spans="1:6" ht="15.75" thickBot="1">
      <c r="A9" s="3">
        <v>46116</v>
      </c>
      <c r="B9" s="4">
        <v>15727</v>
      </c>
      <c r="C9" s="5" t="s">
        <v>5</v>
      </c>
      <c r="D9" s="12">
        <v>46115</v>
      </c>
      <c r="E9" s="13">
        <v>43160</v>
      </c>
      <c r="F9" s="14" t="s">
        <v>5</v>
      </c>
    </row>
    <row r="10" spans="1:6" ht="15.75" thickBot="1">
      <c r="A10" s="3">
        <v>46116</v>
      </c>
      <c r="B10" s="4">
        <v>48678</v>
      </c>
      <c r="C10" s="5" t="s">
        <v>4</v>
      </c>
      <c r="D10" s="12">
        <v>46115</v>
      </c>
      <c r="E10" s="13">
        <v>57523</v>
      </c>
      <c r="F10" s="14" t="s">
        <v>4</v>
      </c>
    </row>
    <row r="11" spans="1:6" ht="15.75" thickBot="1">
      <c r="A11" s="3">
        <v>46130</v>
      </c>
      <c r="B11" s="4">
        <v>31454</v>
      </c>
      <c r="C11" s="5" t="s">
        <v>3</v>
      </c>
      <c r="D11" s="12">
        <v>46132</v>
      </c>
      <c r="E11" s="13">
        <v>36010</v>
      </c>
      <c r="F11" s="14" t="s">
        <v>3</v>
      </c>
    </row>
    <row r="12" spans="1:6" ht="15.75" thickBot="1">
      <c r="A12" s="3">
        <v>46147</v>
      </c>
      <c r="B12" s="4">
        <v>47181</v>
      </c>
      <c r="C12" s="5" t="s">
        <v>4</v>
      </c>
      <c r="D12" s="12">
        <v>46147</v>
      </c>
      <c r="E12" s="13">
        <v>53970.91</v>
      </c>
      <c r="F12" s="14" t="s">
        <v>4</v>
      </c>
    </row>
    <row r="13" spans="1:6" ht="15.75" thickBot="1">
      <c r="A13" s="3">
        <v>46149</v>
      </c>
      <c r="B13" s="4">
        <v>15727</v>
      </c>
      <c r="C13" s="5" t="s">
        <v>5</v>
      </c>
      <c r="D13" s="27" t="s">
        <v>12</v>
      </c>
      <c r="E13" s="13">
        <v>0</v>
      </c>
      <c r="F13" s="14"/>
    </row>
    <row r="14" spans="1:6" ht="15.75" thickBot="1">
      <c r="A14" s="3">
        <v>46162</v>
      </c>
      <c r="B14" s="4">
        <v>24463</v>
      </c>
      <c r="C14" s="5" t="s">
        <v>3</v>
      </c>
      <c r="D14" s="12">
        <v>46162</v>
      </c>
      <c r="E14" s="13">
        <v>32088.14</v>
      </c>
      <c r="F14" s="14" t="s">
        <v>3</v>
      </c>
    </row>
    <row r="15" spans="1:6" ht="15.75" thickBot="1">
      <c r="A15" s="3">
        <v>46178</v>
      </c>
      <c r="B15" s="4">
        <v>54171</v>
      </c>
      <c r="C15" s="5" t="s">
        <v>4</v>
      </c>
      <c r="D15" s="12">
        <v>46178</v>
      </c>
      <c r="E15" s="13">
        <f>35654.26+22580.8</f>
        <v>58235.06</v>
      </c>
      <c r="F15" s="14" t="s">
        <v>4</v>
      </c>
    </row>
    <row r="16" spans="1:6" ht="15.75" thickBot="1">
      <c r="A16" s="3">
        <v>46193</v>
      </c>
      <c r="B16" s="4">
        <v>27706</v>
      </c>
      <c r="C16" s="5" t="s">
        <v>3</v>
      </c>
      <c r="D16" s="12">
        <v>46193</v>
      </c>
      <c r="E16" s="13">
        <v>32257.279999999999</v>
      </c>
      <c r="F16" s="14" t="s">
        <v>3</v>
      </c>
    </row>
    <row r="17" spans="1:10" ht="15.75" thickBot="1">
      <c r="A17" s="28" t="s">
        <v>12</v>
      </c>
      <c r="B17" s="4">
        <v>0</v>
      </c>
      <c r="C17" s="5"/>
      <c r="D17" s="12">
        <v>46196</v>
      </c>
      <c r="E17" s="13">
        <v>37635</v>
      </c>
      <c r="F17" s="14" t="s">
        <v>5</v>
      </c>
    </row>
    <row r="18" spans="1:10" ht="15.75" thickBot="1">
      <c r="A18" s="3">
        <v>46207</v>
      </c>
      <c r="B18" s="4">
        <f>119917-B19</f>
        <v>57009</v>
      </c>
      <c r="C18" s="5" t="s">
        <v>4</v>
      </c>
      <c r="D18" s="12">
        <v>46206</v>
      </c>
      <c r="E18" s="13">
        <v>57723.67</v>
      </c>
      <c r="F18" s="14" t="s">
        <v>4</v>
      </c>
    </row>
    <row r="19" spans="1:10" ht="15.75" thickBot="1">
      <c r="A19" s="3">
        <v>46207</v>
      </c>
      <c r="B19" s="4">
        <v>62908</v>
      </c>
      <c r="C19" s="5" t="s">
        <v>5</v>
      </c>
      <c r="D19" s="12">
        <v>46206</v>
      </c>
      <c r="E19" s="13">
        <v>94085</v>
      </c>
      <c r="F19" s="14" t="s">
        <v>5</v>
      </c>
    </row>
    <row r="20" spans="1:10" ht="15.75" thickBot="1">
      <c r="A20" s="3">
        <v>46212</v>
      </c>
      <c r="B20" s="4">
        <v>4217</v>
      </c>
      <c r="C20" s="5" t="s">
        <v>6</v>
      </c>
      <c r="D20" s="12">
        <v>46217</v>
      </c>
      <c r="E20" s="13">
        <v>37634</v>
      </c>
      <c r="F20" s="14" t="s">
        <v>5</v>
      </c>
    </row>
    <row r="21" spans="1:10" ht="15.75" thickBot="1">
      <c r="A21" s="3">
        <v>46221</v>
      </c>
      <c r="B21" s="4">
        <v>31470</v>
      </c>
      <c r="C21" s="5" t="s">
        <v>3</v>
      </c>
      <c r="D21" s="12">
        <v>46223</v>
      </c>
      <c r="E21" s="13">
        <v>36898.639999999999</v>
      </c>
      <c r="F21" s="14" t="s">
        <v>3</v>
      </c>
    </row>
    <row r="22" spans="1:10" ht="15.75" thickBot="1">
      <c r="A22" s="3">
        <v>46239</v>
      </c>
      <c r="B22" s="4">
        <v>28252</v>
      </c>
      <c r="C22" s="5" t="s">
        <v>4</v>
      </c>
      <c r="D22" s="12">
        <v>46239</v>
      </c>
      <c r="E22" s="13">
        <f>18817.85+40252.26+37635</f>
        <v>96705.11</v>
      </c>
      <c r="F22" s="14" t="s">
        <v>11</v>
      </c>
    </row>
    <row r="23" spans="1:10" ht="15.75" thickBot="1">
      <c r="A23" s="3">
        <v>46239</v>
      </c>
      <c r="B23" s="4">
        <v>15735</v>
      </c>
      <c r="C23" s="5" t="s">
        <v>5</v>
      </c>
      <c r="D23" s="15" t="s">
        <v>12</v>
      </c>
      <c r="E23" s="13">
        <v>0</v>
      </c>
      <c r="F23" s="14"/>
    </row>
    <row r="24" spans="1:10" ht="15.75" thickBot="1">
      <c r="A24" s="3">
        <v>46241</v>
      </c>
      <c r="B24" s="4">
        <f>16971+32901+96212</f>
        <v>146084</v>
      </c>
      <c r="C24" s="5" t="s">
        <v>6</v>
      </c>
      <c r="D24" s="15" t="s">
        <v>12</v>
      </c>
      <c r="E24" s="13">
        <v>0</v>
      </c>
      <c r="F24" s="14"/>
    </row>
    <row r="25" spans="1:10" ht="15.75" thickBot="1">
      <c r="A25" s="3">
        <v>46254</v>
      </c>
      <c r="B25" s="4">
        <v>27434</v>
      </c>
      <c r="C25" s="5" t="s">
        <v>3</v>
      </c>
      <c r="D25" s="12">
        <v>46254</v>
      </c>
      <c r="E25" s="13">
        <v>36738.04</v>
      </c>
      <c r="F25" s="14" t="s">
        <v>3</v>
      </c>
    </row>
    <row r="26" spans="1:10" ht="15.75" thickBot="1">
      <c r="A26" s="3">
        <v>46261</v>
      </c>
      <c r="B26" s="4">
        <v>32901</v>
      </c>
      <c r="C26" s="5" t="s">
        <v>5</v>
      </c>
      <c r="D26" s="12">
        <v>46269</v>
      </c>
      <c r="E26" s="13">
        <v>66577.47</v>
      </c>
      <c r="F26" s="14" t="s">
        <v>4</v>
      </c>
      <c r="G26" s="17"/>
      <c r="H26" s="16"/>
    </row>
    <row r="27" spans="1:10" ht="15.75" thickBot="1">
      <c r="A27" s="3">
        <v>46270</v>
      </c>
      <c r="B27" s="4">
        <v>7050</v>
      </c>
      <c r="C27" s="5" t="s">
        <v>4</v>
      </c>
      <c r="D27" s="12">
        <v>46269</v>
      </c>
      <c r="E27" s="13">
        <v>18817</v>
      </c>
      <c r="F27" s="14" t="s">
        <v>5</v>
      </c>
      <c r="G27" s="17"/>
      <c r="H27" s="18"/>
      <c r="I27" s="17"/>
      <c r="J27" s="17"/>
    </row>
    <row r="28" spans="1:10" ht="15.75" thickBot="1">
      <c r="A28" s="3">
        <v>46284</v>
      </c>
      <c r="B28" s="4">
        <f>48604-15735</f>
        <v>32869</v>
      </c>
      <c r="C28" s="5" t="s">
        <v>3</v>
      </c>
      <c r="D28" s="12">
        <v>46283</v>
      </c>
      <c r="E28" s="13">
        <v>38575.449999999997</v>
      </c>
      <c r="F28" s="14" t="s">
        <v>3</v>
      </c>
    </row>
    <row r="29" spans="1:10" ht="15.75" thickBot="1">
      <c r="A29" s="3">
        <v>46284</v>
      </c>
      <c r="B29" s="4">
        <v>15735</v>
      </c>
      <c r="C29" s="5" t="s">
        <v>5</v>
      </c>
      <c r="D29" s="15" t="s">
        <v>12</v>
      </c>
      <c r="E29" s="13">
        <v>0</v>
      </c>
      <c r="F29" s="14"/>
    </row>
    <row r="30" spans="1:10" ht="15.75" thickBot="1">
      <c r="A30" s="20" t="s">
        <v>12</v>
      </c>
      <c r="B30" s="4">
        <v>0</v>
      </c>
      <c r="C30" s="5" t="s">
        <v>12</v>
      </c>
      <c r="D30" s="19">
        <v>46287</v>
      </c>
      <c r="E30" s="13">
        <f>42933+70637+21986</f>
        <v>135556</v>
      </c>
      <c r="F30" s="14" t="s">
        <v>6</v>
      </c>
    </row>
    <row r="31" spans="1:10" ht="15.75" thickBot="1">
      <c r="A31" s="3">
        <v>46298</v>
      </c>
      <c r="B31" s="4">
        <f>83130-B26</f>
        <v>50229</v>
      </c>
      <c r="C31" s="5" t="s">
        <v>4</v>
      </c>
      <c r="D31" s="12">
        <v>46300</v>
      </c>
      <c r="E31" s="13"/>
      <c r="F31" s="14" t="s">
        <v>4</v>
      </c>
    </row>
    <row r="32" spans="1:10" ht="15.75" thickBot="1">
      <c r="A32" s="3">
        <v>46298</v>
      </c>
      <c r="B32" s="4">
        <v>32901</v>
      </c>
      <c r="C32" s="5" t="s">
        <v>5</v>
      </c>
      <c r="D32" s="12">
        <v>46300</v>
      </c>
      <c r="E32" s="13"/>
      <c r="F32" s="14" t="s">
        <v>5</v>
      </c>
    </row>
    <row r="33" spans="1:6" ht="15.75" thickBot="1">
      <c r="A33" s="28" t="s">
        <v>12</v>
      </c>
      <c r="B33" s="4">
        <v>0</v>
      </c>
      <c r="C33" s="5"/>
      <c r="D33" s="12">
        <v>46307</v>
      </c>
      <c r="E33" s="13">
        <v>55867</v>
      </c>
      <c r="F33" s="14" t="s">
        <v>5</v>
      </c>
    </row>
    <row r="34" spans="1:6" ht="15.75" thickBot="1">
      <c r="A34" s="3">
        <v>46315</v>
      </c>
      <c r="B34" s="4">
        <f>65476-B35</f>
        <v>32575</v>
      </c>
      <c r="C34" s="5" t="s">
        <v>3</v>
      </c>
      <c r="D34" s="12"/>
      <c r="E34" s="13"/>
      <c r="F34" s="14"/>
    </row>
    <row r="35" spans="1:6" ht="15.75" thickBot="1">
      <c r="A35" s="3">
        <v>46315</v>
      </c>
      <c r="B35" s="4">
        <v>32901</v>
      </c>
      <c r="C35" s="5" t="s">
        <v>5</v>
      </c>
      <c r="D35" s="12"/>
      <c r="E35" s="13"/>
      <c r="F35" s="14"/>
    </row>
    <row r="36" spans="1:6" ht="15.75" thickBot="1">
      <c r="A36" s="3">
        <v>46324</v>
      </c>
      <c r="B36" s="4">
        <v>32901</v>
      </c>
      <c r="C36" s="5" t="s">
        <v>5</v>
      </c>
      <c r="D36" s="12"/>
      <c r="E36" s="13"/>
      <c r="F36" s="14"/>
    </row>
    <row r="37" spans="1:6" ht="15.75" thickBot="1">
      <c r="A37" s="3">
        <v>46331</v>
      </c>
      <c r="B37" s="4">
        <f>65942-(B36/2)</f>
        <v>49491.5</v>
      </c>
      <c r="C37" s="5" t="s">
        <v>4</v>
      </c>
      <c r="D37" s="12"/>
      <c r="E37" s="13"/>
      <c r="F37" s="14"/>
    </row>
    <row r="38" spans="1:6" ht="15.75" thickBot="1">
      <c r="A38" s="3">
        <v>46331</v>
      </c>
      <c r="B38" s="4">
        <f>62942-B37</f>
        <v>13450.5</v>
      </c>
      <c r="C38" s="5" t="s">
        <v>5</v>
      </c>
      <c r="D38" s="12"/>
      <c r="E38" s="13"/>
      <c r="F38" s="14"/>
    </row>
    <row r="39" spans="1:6" ht="15.75" thickBot="1">
      <c r="A39" s="3">
        <v>46332</v>
      </c>
      <c r="B39" s="4">
        <v>16406</v>
      </c>
      <c r="C39" s="5" t="s">
        <v>6</v>
      </c>
      <c r="D39" s="12"/>
      <c r="E39" s="13"/>
      <c r="F39" s="14"/>
    </row>
    <row r="40" spans="1:6" ht="15.75" thickBot="1">
      <c r="A40" s="3">
        <v>46346</v>
      </c>
      <c r="B40" s="4">
        <v>27274</v>
      </c>
      <c r="C40" s="5" t="s">
        <v>3</v>
      </c>
      <c r="D40" s="12"/>
      <c r="E40" s="13"/>
      <c r="F40" s="14"/>
    </row>
    <row r="41" spans="1:6" ht="15.75" thickBot="1">
      <c r="A41" s="3">
        <v>46346</v>
      </c>
      <c r="B41" s="4">
        <v>32902</v>
      </c>
      <c r="C41" s="5" t="s">
        <v>5</v>
      </c>
      <c r="D41" s="12"/>
      <c r="E41" s="13"/>
      <c r="F41" s="14"/>
    </row>
    <row r="42" spans="1:6" ht="15.75" thickBot="1">
      <c r="A42" s="3">
        <v>46361</v>
      </c>
      <c r="B42" s="4">
        <f>79656-47500</f>
        <v>32156</v>
      </c>
      <c r="C42" s="5" t="s">
        <v>5</v>
      </c>
      <c r="D42" s="12"/>
      <c r="E42" s="13"/>
      <c r="F42" s="14"/>
    </row>
    <row r="43" spans="1:6" ht="15.75" thickBot="1">
      <c r="A43" s="3">
        <v>46361</v>
      </c>
      <c r="B43" s="4">
        <f>79656-B42</f>
        <v>47500</v>
      </c>
      <c r="C43" s="5" t="s">
        <v>4</v>
      </c>
      <c r="D43" s="12"/>
      <c r="E43" s="13"/>
      <c r="F43" s="14"/>
    </row>
    <row r="44" spans="1:6" ht="15.75" thickBot="1">
      <c r="A44" s="3">
        <v>46375</v>
      </c>
      <c r="B44" s="4">
        <v>32902</v>
      </c>
      <c r="C44" s="5" t="s">
        <v>5</v>
      </c>
      <c r="D44" s="12"/>
      <c r="E44" s="13"/>
      <c r="F44" s="14"/>
    </row>
    <row r="45" spans="1:6" ht="15.75" thickBot="1">
      <c r="A45" s="3">
        <v>46375</v>
      </c>
      <c r="B45" s="4">
        <v>28788</v>
      </c>
      <c r="C45" s="5" t="s">
        <v>3</v>
      </c>
      <c r="D45" s="12"/>
      <c r="E45" s="13"/>
      <c r="F45" s="14"/>
    </row>
    <row r="46" spans="1:6" ht="15.75" thickBot="1">
      <c r="A46" s="3">
        <v>46381</v>
      </c>
      <c r="B46" s="4">
        <v>47500</v>
      </c>
      <c r="C46" s="5" t="s">
        <v>4</v>
      </c>
      <c r="D46" s="12"/>
      <c r="E46" s="13"/>
      <c r="F46" s="14"/>
    </row>
    <row r="47" spans="1:6" ht="15.75" thickBot="1">
      <c r="A47" s="3">
        <v>46381</v>
      </c>
      <c r="B47" s="4">
        <f>201149-B46</f>
        <v>153649</v>
      </c>
      <c r="C47" s="5" t="s">
        <v>5</v>
      </c>
      <c r="D47" s="12"/>
      <c r="E47" s="13"/>
      <c r="F47" s="14"/>
    </row>
    <row r="48" spans="1:6" ht="15.75" thickBot="1">
      <c r="A48" s="6" t="s">
        <v>7</v>
      </c>
      <c r="B48" s="7">
        <f>SUM(B3:B47)</f>
        <v>1585385.3900000001</v>
      </c>
      <c r="C48" s="8"/>
      <c r="D48" s="6" t="s">
        <v>7</v>
      </c>
      <c r="E48" s="7">
        <f>SUM(E3:E47)</f>
        <v>1220772.77</v>
      </c>
      <c r="F48" s="7"/>
    </row>
    <row r="49" spans="1:6" ht="15.75" thickBot="1">
      <c r="A49" s="6" t="s">
        <v>8</v>
      </c>
      <c r="B49" s="7">
        <f>B48/12</f>
        <v>132115.44916666669</v>
      </c>
      <c r="C49" s="7"/>
      <c r="D49" s="6" t="s">
        <v>8</v>
      </c>
      <c r="E49" s="7">
        <f>E48/9</f>
        <v>135641.4188888889</v>
      </c>
      <c r="F49" s="7"/>
    </row>
    <row r="50" spans="1:6" ht="15.75" thickBot="1">
      <c r="A50" s="6" t="s">
        <v>9</v>
      </c>
      <c r="B50" s="7">
        <f>SUMIF(C3:C47, "Премия", B3:B47)</f>
        <v>538222.5</v>
      </c>
      <c r="C50" s="8"/>
      <c r="D50" s="6" t="s">
        <v>9</v>
      </c>
      <c r="E50" s="7">
        <f>SUMIF(F3:F47, "Премия", E3:E47)</f>
        <v>303649</v>
      </c>
      <c r="F50" s="8"/>
    </row>
    <row r="51" spans="1:6" ht="35.25" customHeight="1" thickBot="1">
      <c r="A51" s="9" t="s">
        <v>10</v>
      </c>
      <c r="B51" s="10">
        <f>B50/B48</f>
        <v>0.3394900087984285</v>
      </c>
      <c r="C51" s="8"/>
      <c r="D51" s="9" t="s">
        <v>10</v>
      </c>
      <c r="E51" s="10">
        <f>E50/E48</f>
        <v>0.24873506967230272</v>
      </c>
      <c r="F51" s="8"/>
    </row>
  </sheetData>
  <mergeCells count="2">
    <mergeCell ref="A2:C2"/>
    <mergeCell ref="D2:F2"/>
  </mergeCells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2026-10-19T07:34:40Z</dcterms:modified>
</cp:coreProperties>
</file>