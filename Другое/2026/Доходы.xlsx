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46" i="1"/>
  <c r="E47" s="1"/>
  <c r="E22"/>
  <c r="E15"/>
  <c r="E48"/>
  <c r="B48"/>
  <c r="B45"/>
  <c r="B40"/>
  <c r="B41" s="1"/>
  <c r="B36"/>
  <c r="B35"/>
  <c r="B32"/>
  <c r="B30"/>
  <c r="B28"/>
  <c r="B24"/>
  <c r="B18"/>
  <c r="B49" l="1"/>
  <c r="B46"/>
  <c r="B47" s="1"/>
  <c r="E49" l="1"/>
</calcChain>
</file>

<file path=xl/sharedStrings.xml><?xml version="1.0" encoding="utf-8"?>
<sst xmlns="http://schemas.openxmlformats.org/spreadsheetml/2006/main" count="82" uniqueCount="13">
  <si>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</si>
  <si>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</si>
  <si>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</si>
  <si>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</si>
  <si>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</si>
  <si>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</si>
  <si>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</si>
  <si>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</si>
  <si>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</si>
  <si>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</si>
  <si>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</si>
  <si>
    <t>ЗП + Премия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</si>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</sst>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5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  <font>
      <sz val="11"/>
      <color theme="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16" fontId="2" fillId="5" borderId="1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164" fontId="4" fillId="2" borderId="0" xfId="0" applyNumberFormat="1" applyFont="1" applyFill="1"/>
    <xf numFmtId="0" fontId="4" fillId="2" borderId="0" xfId="0" applyFont="1" applyFill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9"/>
  <sheetViews>
    <sheetView tabSelected="1" workbookViewId="0">
      <pane ySplit="1" topLeftCell="A2" activePane="bottomLeft" state="frozen"/>
      <selection pane="bottomLeft" activeCell="I40" sqref="I40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4.5703125" style="1" customWidth="1"/>
    <col min="7" max="7" width="13.140625" style="1" bestFit="1" customWidth="1"/>
    <col min="8" max="8" width="11.5703125" style="1" bestFit="1" customWidth="1"/>
    <col min="9" max="9" width="9.5703125" style="1" bestFit="1" customWidth="1"/>
    <col min="10" max="10" width="10.5703125" style="1" bestFit="1" customWidth="1"/>
    <col min="11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9">
        <v>2025</v>
      </c>
      <c r="B2" s="20"/>
      <c r="C2" s="21"/>
      <c r="D2" s="22">
        <v>2026</v>
      </c>
      <c r="E2" s="23"/>
      <c r="F2" s="24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10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10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10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10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10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10" ht="15.75" thickBot="1">
      <c r="A22" s="3">
        <v>46239</v>
      </c>
      <c r="B22" s="4">
        <v>28252</v>
      </c>
      <c r="C22" s="5" t="s">
        <v>4</v>
      </c>
      <c r="D22" s="12">
        <v>46239</v>
      </c>
      <c r="E22" s="13">
        <f>18817.85+40252.26+37635</f>
        <v>96705.11</v>
      </c>
      <c r="F22" s="14" t="s">
        <v>11</v>
      </c>
    </row>
    <row r="23" spans="1:10" ht="15.75" thickBot="1">
      <c r="A23" s="3">
        <v>46239</v>
      </c>
      <c r="B23" s="4">
        <v>15735</v>
      </c>
      <c r="C23" s="5" t="s">
        <v>5</v>
      </c>
      <c r="D23" s="15" t="s">
        <v>12</v>
      </c>
      <c r="E23" s="13">
        <v>0</v>
      </c>
      <c r="F23" s="14"/>
    </row>
    <row r="24" spans="1:10" ht="15.75" thickBot="1">
      <c r="A24" s="3">
        <v>46241</v>
      </c>
      <c r="B24" s="4">
        <f>16971+32901+96212</f>
        <v>146084</v>
      </c>
      <c r="C24" s="5" t="s">
        <v>6</v>
      </c>
      <c r="D24" s="15" t="s">
        <v>12</v>
      </c>
      <c r="E24" s="13">
        <v>0</v>
      </c>
      <c r="F24" s="14"/>
    </row>
    <row r="25" spans="1:10" ht="15.75" thickBot="1">
      <c r="A25" s="3">
        <v>46254</v>
      </c>
      <c r="B25" s="4">
        <v>27434</v>
      </c>
      <c r="C25" s="5" t="s">
        <v>3</v>
      </c>
      <c r="D25" s="12">
        <v>46254</v>
      </c>
      <c r="E25" s="13">
        <v>36738.04</v>
      </c>
      <c r="F25" s="14" t="s">
        <v>3</v>
      </c>
    </row>
    <row r="26" spans="1:10" ht="15.75" thickBot="1">
      <c r="A26" s="3">
        <v>46261</v>
      </c>
      <c r="B26" s="4">
        <v>32901</v>
      </c>
      <c r="C26" s="5" t="s">
        <v>5</v>
      </c>
      <c r="D26" s="12">
        <v>46269</v>
      </c>
      <c r="E26" s="13">
        <v>66577.47</v>
      </c>
      <c r="F26" s="14" t="s">
        <v>4</v>
      </c>
      <c r="G26" s="17"/>
      <c r="H26" s="16"/>
    </row>
    <row r="27" spans="1:10" ht="15.75" thickBot="1">
      <c r="A27" s="3">
        <v>46270</v>
      </c>
      <c r="B27" s="4">
        <v>7050</v>
      </c>
      <c r="C27" s="5" t="s">
        <v>4</v>
      </c>
      <c r="D27" s="12">
        <v>46269</v>
      </c>
      <c r="E27" s="13">
        <v>18817</v>
      </c>
      <c r="F27" s="14" t="s">
        <v>5</v>
      </c>
      <c r="G27" s="17"/>
      <c r="H27" s="18"/>
      <c r="I27" s="17"/>
      <c r="J27" s="17"/>
    </row>
    <row r="28" spans="1:10" ht="15.75" thickBot="1">
      <c r="A28" s="3">
        <v>46284</v>
      </c>
      <c r="B28" s="4">
        <f>48604-15735</f>
        <v>32869</v>
      </c>
      <c r="C28" s="5" t="s">
        <v>3</v>
      </c>
      <c r="D28" s="12">
        <v>46283</v>
      </c>
      <c r="E28" s="13">
        <v>38575.449999999997</v>
      </c>
      <c r="F28" s="14" t="s">
        <v>3</v>
      </c>
    </row>
    <row r="29" spans="1:10" ht="15.75" thickBot="1">
      <c r="A29" s="3">
        <v>46284</v>
      </c>
      <c r="B29" s="4">
        <v>15735</v>
      </c>
      <c r="C29" s="5" t="s">
        <v>5</v>
      </c>
      <c r="D29" s="15" t="s">
        <v>12</v>
      </c>
      <c r="E29" s="13">
        <v>0</v>
      </c>
      <c r="F29" s="14"/>
    </row>
    <row r="30" spans="1:10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10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10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1029349.77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E46/8</f>
        <v>128668.72125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247782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0.24071701108943755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2026-09-18T11:54:32Z</dcterms:modified>
</cp:coreProperties>
</file>