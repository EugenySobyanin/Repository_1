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15" i="1"/>
  <c r="E46" s="1"/>
  <c r="E47" s="1"/>
  <c r="E48"/>
  <c r="B48"/>
  <c r="B45"/>
  <c r="B40"/>
  <c r="B41" s="1"/>
  <c r="B36"/>
  <c r="B35"/>
  <c r="B32"/>
  <c r="B30"/>
  <c r="B28"/>
  <c r="B24"/>
  <c r="B18"/>
  <c r="E49" l="1"/>
  <c r="B49"/>
  <c r="B46"/>
  <c r="B47" s="1"/>
</calcChain>
</file>

<file path=xl/sharedStrings.xml><?xml version="1.0" encoding="utf-8"?>
<sst xmlns="http://schemas.openxmlformats.org/spreadsheetml/2006/main" count="72" uniqueCount="11">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</sst>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tabSelected="1" workbookViewId="0">
      <pane ySplit="1" topLeftCell="A2" activePane="bottomLeft" state="frozen"/>
      <selection pane="bottomLeft" activeCell="K12" sqref="K12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1.85546875" style="1" customWidth="1"/>
    <col min="7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5">
        <v>2025</v>
      </c>
      <c r="B2" s="16"/>
      <c r="C2" s="17"/>
      <c r="D2" s="18">
        <v>2026</v>
      </c>
      <c r="E2" s="19"/>
      <c r="F2" s="20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6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6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6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6" ht="15.75" thickBot="1">
      <c r="A20" s="3">
        <v>46212</v>
      </c>
      <c r="B20" s="4">
        <v>4217</v>
      </c>
      <c r="C20" s="5" t="s">
        <v>6</v>
      </c>
      <c r="D20" s="12"/>
      <c r="E20" s="13"/>
      <c r="F20" s="14"/>
    </row>
    <row r="21" spans="1:6" ht="15.75" thickBot="1">
      <c r="A21" s="3">
        <v>46221</v>
      </c>
      <c r="B21" s="4">
        <v>31470</v>
      </c>
      <c r="C21" s="5" t="s">
        <v>3</v>
      </c>
      <c r="D21" s="12"/>
      <c r="E21" s="13"/>
      <c r="F21" s="14"/>
    </row>
    <row r="22" spans="1:6" ht="15.75" thickBot="1">
      <c r="A22" s="3">
        <v>46239</v>
      </c>
      <c r="B22" s="4">
        <v>28252</v>
      </c>
      <c r="C22" s="5" t="s">
        <v>4</v>
      </c>
      <c r="D22" s="12"/>
      <c r="E22" s="13"/>
      <c r="F22" s="14"/>
    </row>
    <row r="23" spans="1:6" ht="15.75" thickBot="1">
      <c r="A23" s="3">
        <v>46239</v>
      </c>
      <c r="B23" s="4">
        <v>15735</v>
      </c>
      <c r="C23" s="5" t="s">
        <v>5</v>
      </c>
      <c r="D23" s="12"/>
      <c r="E23" s="13"/>
      <c r="F23" s="14"/>
    </row>
    <row r="24" spans="1:6" ht="15.75" thickBot="1">
      <c r="A24" s="3">
        <v>46241</v>
      </c>
      <c r="B24" s="4">
        <f>16971+32901+96212</f>
        <v>146084</v>
      </c>
      <c r="C24" s="5" t="s">
        <v>6</v>
      </c>
      <c r="D24" s="12"/>
      <c r="E24" s="13"/>
      <c r="F24" s="14"/>
    </row>
    <row r="25" spans="1:6" ht="15.75" thickBot="1">
      <c r="A25" s="3">
        <v>46254</v>
      </c>
      <c r="B25" s="4">
        <v>27434</v>
      </c>
      <c r="C25" s="5" t="s">
        <v>3</v>
      </c>
      <c r="D25" s="12"/>
      <c r="E25" s="13"/>
      <c r="F25" s="14"/>
    </row>
    <row r="26" spans="1:6" ht="15.75" thickBot="1">
      <c r="A26" s="3">
        <v>46261</v>
      </c>
      <c r="B26" s="4">
        <v>32901</v>
      </c>
      <c r="C26" s="5" t="s">
        <v>5</v>
      </c>
      <c r="D26" s="12"/>
      <c r="E26" s="13"/>
      <c r="F26" s="14"/>
    </row>
    <row r="27" spans="1:6" ht="15.75" thickBot="1">
      <c r="A27" s="3">
        <v>46270</v>
      </c>
      <c r="B27" s="4">
        <v>7050</v>
      </c>
      <c r="C27" s="5" t="s">
        <v>4</v>
      </c>
      <c r="D27" s="12"/>
      <c r="E27" s="13"/>
      <c r="F27" s="14"/>
    </row>
    <row r="28" spans="1:6" ht="15.75" thickBot="1">
      <c r="A28" s="3">
        <v>46284</v>
      </c>
      <c r="B28" s="4">
        <f>48604-15735</f>
        <v>32869</v>
      </c>
      <c r="C28" s="5" t="s">
        <v>3</v>
      </c>
      <c r="D28" s="12"/>
      <c r="E28" s="13"/>
      <c r="F28" s="14"/>
    </row>
    <row r="29" spans="1:6" ht="15.75" thickBot="1">
      <c r="A29" s="3">
        <v>46284</v>
      </c>
      <c r="B29" s="4">
        <v>15735</v>
      </c>
      <c r="C29" s="5" t="s">
        <v>5</v>
      </c>
      <c r="D29" s="12"/>
      <c r="E29" s="13"/>
      <c r="F29" s="14"/>
    </row>
    <row r="30" spans="1:6" ht="15.75" thickBot="1">
      <c r="A30" s="3">
        <v>46298</v>
      </c>
      <c r="B30" s="4">
        <f>83130-B26</f>
        <v>50229</v>
      </c>
      <c r="C30" s="5" t="s">
        <v>4</v>
      </c>
      <c r="D30" s="12"/>
      <c r="E30" s="13"/>
      <c r="F30" s="14"/>
    </row>
    <row r="31" spans="1:6" ht="15.75" thickBot="1">
      <c r="A31" s="3">
        <v>46298</v>
      </c>
      <c r="B31" s="4">
        <v>32901</v>
      </c>
      <c r="C31" s="5" t="s">
        <v>5</v>
      </c>
      <c r="D31" s="12"/>
      <c r="E31" s="13"/>
      <c r="F31" s="14"/>
    </row>
    <row r="32" spans="1:6" ht="15.75" thickBot="1">
      <c r="A32" s="3">
        <v>46315</v>
      </c>
      <c r="B32" s="4">
        <f>65476-B33</f>
        <v>32575</v>
      </c>
      <c r="C32" s="5" t="s">
        <v>3</v>
      </c>
      <c r="D32" s="12"/>
      <c r="E32" s="13"/>
      <c r="F32" s="14"/>
    </row>
    <row r="33" spans="1:6" ht="15.75" thickBot="1">
      <c r="A33" s="3">
        <v>46315</v>
      </c>
      <c r="B33" s="4">
        <v>32901</v>
      </c>
      <c r="C33" s="5" t="s">
        <v>5</v>
      </c>
      <c r="D33" s="12"/>
      <c r="E33" s="13"/>
      <c r="F33" s="14"/>
    </row>
    <row r="34" spans="1:6" ht="15.75" thickBot="1">
      <c r="A34" s="3">
        <v>46324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46331</v>
      </c>
      <c r="B35" s="4">
        <f>65942-(B34/2)</f>
        <v>49491.5</v>
      </c>
      <c r="C35" s="5" t="s">
        <v>4</v>
      </c>
      <c r="D35" s="12"/>
      <c r="E35" s="13"/>
      <c r="F35" s="14"/>
    </row>
    <row r="36" spans="1:6" ht="15.75" thickBot="1">
      <c r="A36" s="3">
        <v>46331</v>
      </c>
      <c r="B36" s="4">
        <f>62942-B35</f>
        <v>13450.5</v>
      </c>
      <c r="C36" s="5" t="s">
        <v>5</v>
      </c>
      <c r="D36" s="12"/>
      <c r="E36" s="13"/>
      <c r="F36" s="14"/>
    </row>
    <row r="37" spans="1:6" ht="15.75" thickBot="1">
      <c r="A37" s="3">
        <v>46332</v>
      </c>
      <c r="B37" s="4">
        <v>16406</v>
      </c>
      <c r="C37" s="5" t="s">
        <v>6</v>
      </c>
      <c r="D37" s="12"/>
      <c r="E37" s="13"/>
      <c r="F37" s="14"/>
    </row>
    <row r="38" spans="1:6" ht="15.75" thickBot="1">
      <c r="A38" s="3">
        <v>46346</v>
      </c>
      <c r="B38" s="4">
        <v>27274</v>
      </c>
      <c r="C38" s="5" t="s">
        <v>3</v>
      </c>
      <c r="D38" s="12"/>
      <c r="E38" s="13"/>
      <c r="F38" s="14"/>
    </row>
    <row r="39" spans="1:6" ht="15.75" thickBot="1">
      <c r="A39" s="3">
        <v>46346</v>
      </c>
      <c r="B39" s="4">
        <v>32902</v>
      </c>
      <c r="C39" s="5" t="s">
        <v>5</v>
      </c>
      <c r="D39" s="12"/>
      <c r="E39" s="13"/>
      <c r="F39" s="14"/>
    </row>
    <row r="40" spans="1:6" ht="15.75" thickBot="1">
      <c r="A40" s="3">
        <v>46361</v>
      </c>
      <c r="B40" s="4">
        <f>79656-47500</f>
        <v>32156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79656-B40</f>
        <v>47500</v>
      </c>
      <c r="C41" s="5" t="s">
        <v>4</v>
      </c>
      <c r="D41" s="12"/>
      <c r="E41" s="13"/>
      <c r="F41" s="14"/>
    </row>
    <row r="42" spans="1:6" ht="15.75" thickBot="1">
      <c r="A42" s="3">
        <v>46375</v>
      </c>
      <c r="B42" s="4">
        <v>32902</v>
      </c>
      <c r="C42" s="5" t="s">
        <v>5</v>
      </c>
      <c r="D42" s="12"/>
      <c r="E42" s="13"/>
      <c r="F42" s="14"/>
    </row>
    <row r="43" spans="1:6" ht="15.75" thickBot="1">
      <c r="A43" s="3">
        <v>46375</v>
      </c>
      <c r="B43" s="4">
        <v>28788</v>
      </c>
      <c r="C43" s="5" t="s">
        <v>3</v>
      </c>
      <c r="D43" s="12"/>
      <c r="E43" s="13"/>
      <c r="F43" s="14"/>
    </row>
    <row r="44" spans="1:6" ht="15.75" thickBot="1">
      <c r="A44" s="3">
        <v>46381</v>
      </c>
      <c r="B44" s="4">
        <v>47500</v>
      </c>
      <c r="C44" s="5" t="s">
        <v>4</v>
      </c>
      <c r="D44" s="12"/>
      <c r="E44" s="13"/>
      <c r="F44" s="14"/>
    </row>
    <row r="45" spans="1:6" ht="15.75" thickBot="1">
      <c r="A45" s="3">
        <v>46381</v>
      </c>
      <c r="B45" s="4">
        <f>201149-B44</f>
        <v>153649</v>
      </c>
      <c r="C45" s="5" t="s">
        <v>5</v>
      </c>
      <c r="D45" s="12"/>
      <c r="E45" s="13"/>
      <c r="F45" s="14"/>
    </row>
    <row r="46" spans="1:6" ht="15.75" thickBot="1">
      <c r="A46" s="6" t="s">
        <v>7</v>
      </c>
      <c r="B46" s="7">
        <f>SUM(B3:B45)</f>
        <v>1585385.3900000001</v>
      </c>
      <c r="C46" s="8"/>
      <c r="D46" s="6" t="s">
        <v>7</v>
      </c>
      <c r="E46" s="7">
        <f>SUM(E3:E45)</f>
        <v>697404.06</v>
      </c>
      <c r="F46" s="8"/>
    </row>
    <row r="47" spans="1:6" ht="15.75" thickBot="1">
      <c r="A47" s="6" t="s">
        <v>8</v>
      </c>
      <c r="B47" s="7">
        <f>B46/12</f>
        <v>132115.44916666669</v>
      </c>
      <c r="C47" s="7"/>
      <c r="D47" s="6" t="s">
        <v>8</v>
      </c>
      <c r="E47" s="7">
        <f>E46/4</f>
        <v>174351.01500000001</v>
      </c>
      <c r="F47" s="7"/>
    </row>
    <row r="48" spans="1:6" ht="15.75" thickBot="1">
      <c r="A48" s="6" t="s">
        <v>9</v>
      </c>
      <c r="B48" s="7">
        <f>SUMIF(C3:C45, "Премия", B3:B45)</f>
        <v>538222.5</v>
      </c>
      <c r="C48" s="8"/>
      <c r="D48" s="6" t="s">
        <v>9</v>
      </c>
      <c r="E48" s="7">
        <f>SUMIF(F3:F45, "Премия", E3:E45)</f>
        <v>191331</v>
      </c>
      <c r="F48" s="8"/>
    </row>
    <row r="49" spans="1:6" ht="35.25" customHeight="1" thickBot="1">
      <c r="A49" s="9" t="s">
        <v>10</v>
      </c>
      <c r="B49" s="10">
        <f>B48/B46</f>
        <v>0.3394900087984285</v>
      </c>
      <c r="C49" s="8"/>
      <c r="D49" s="9" t="s">
        <v>10</v>
      </c>
      <c r="E49" s="10">
        <f>E48/E46</f>
        <v>0.27434741346358088</v>
      </c>
      <c r="F49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2026-07-07T06:40:44Z</dcterms:modified>
</cp:coreProperties>
</file>