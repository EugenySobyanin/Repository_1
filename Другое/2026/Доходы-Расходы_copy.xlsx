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8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10"/>
  <c r="K18" s="1"/>
  <c r="M8"/>
  <c r="M18" s="1"/>
  <c r="W8"/>
  <c r="O8"/>
  <c r="O18" s="1"/>
  <c r="O37" s="1"/>
  <c r="D8"/>
  <c r="D18" s="1"/>
  <c r="F8"/>
  <c r="W9"/>
  <c r="G9"/>
  <c r="F10"/>
  <c r="AB10" s="1"/>
  <c r="AC36"/>
  <c r="AA36"/>
  <c r="Z36"/>
  <c r="Y36"/>
  <c r="X36"/>
  <c r="U36"/>
  <c r="T36"/>
  <c r="S36"/>
  <c r="R36"/>
  <c r="Q36"/>
  <c r="P36"/>
  <c r="O36"/>
  <c r="M36"/>
  <c r="L36"/>
  <c r="I36"/>
  <c r="H36"/>
  <c r="G36"/>
  <c r="F36"/>
  <c r="E36"/>
  <c r="AB35"/>
  <c r="AB34"/>
  <c r="AB31"/>
  <c r="AB30"/>
  <c r="AB29"/>
  <c r="AB28"/>
  <c r="AB27"/>
  <c r="AB26"/>
  <c r="AB25"/>
  <c r="N36"/>
  <c r="AB24"/>
  <c r="AB23"/>
  <c r="AB22"/>
  <c r="V36"/>
  <c r="J36"/>
  <c r="AB21"/>
  <c r="AB20"/>
  <c r="AB19"/>
  <c r="W36"/>
  <c r="K36"/>
  <c r="D36"/>
  <c r="C36"/>
  <c r="AA18"/>
  <c r="Y18"/>
  <c r="X18"/>
  <c r="V18"/>
  <c r="T18"/>
  <c r="S18"/>
  <c r="R18"/>
  <c r="Q18"/>
  <c r="P18"/>
  <c r="H18"/>
  <c r="E18"/>
  <c r="C18"/>
  <c r="AL16"/>
  <c r="AB16"/>
  <c r="AL15"/>
  <c r="Z18"/>
  <c r="AB15"/>
  <c r="AB14"/>
  <c r="AB13"/>
  <c r="AB12"/>
  <c r="U18"/>
  <c r="N18"/>
  <c r="N37" s="1"/>
  <c r="AB7"/>
  <c r="AB6"/>
  <c r="L18"/>
  <c r="AC18"/>
  <c r="AB4"/>
  <c r="I18"/>
  <c r="AL23" i="9"/>
  <c r="AL22"/>
  <c r="AL21"/>
  <c r="AL20"/>
  <c r="AL19"/>
  <c r="O36"/>
  <c r="P36"/>
  <c r="Q36"/>
  <c r="G12" i="5"/>
  <c r="F12"/>
  <c r="E12"/>
  <c r="H13"/>
  <c r="D12"/>
  <c r="G11"/>
  <c r="F11"/>
  <c r="E11"/>
  <c r="D11"/>
  <c r="G10"/>
  <c r="F10"/>
  <c r="E10"/>
  <c r="D10"/>
  <c r="H9"/>
  <c r="H14"/>
  <c r="H15"/>
  <c r="H16"/>
  <c r="G9"/>
  <c r="F9"/>
  <c r="E9"/>
  <c r="D9"/>
  <c r="G36" i="9"/>
  <c r="E36"/>
  <c r="D36"/>
  <c r="AL17"/>
  <c r="AL16"/>
  <c r="AL15"/>
  <c r="AL14"/>
  <c r="W26"/>
  <c r="N26"/>
  <c r="K27"/>
  <c r="W28"/>
  <c r="C29"/>
  <c r="D29"/>
  <c r="J29"/>
  <c r="Z29"/>
  <c r="V30"/>
  <c r="J30"/>
  <c r="N30"/>
  <c r="K31"/>
  <c r="W32"/>
  <c r="W34"/>
  <c r="K32"/>
  <c r="V33"/>
  <c r="AC35"/>
  <c r="R23"/>
  <c r="W23"/>
  <c r="J23"/>
  <c r="V23"/>
  <c r="K24"/>
  <c r="D24"/>
  <c r="K25"/>
  <c r="N16"/>
  <c r="G16"/>
  <c r="X18"/>
  <c r="U18"/>
  <c r="W20"/>
  <c r="K20"/>
  <c r="C20"/>
  <c r="D20"/>
  <c r="I21"/>
  <c r="D21"/>
  <c r="Z7"/>
  <c r="W14"/>
  <c r="J15"/>
  <c r="Z15"/>
  <c r="W15"/>
  <c r="W18" i="10" l="1"/>
  <c r="W37" s="1"/>
  <c r="AL19" s="1"/>
  <c r="AB8"/>
  <c r="AB9"/>
  <c r="G18"/>
  <c r="G37" s="1"/>
  <c r="F18"/>
  <c r="F37" s="1"/>
  <c r="R37"/>
  <c r="U37"/>
  <c r="AL20" s="1"/>
  <c r="Q37"/>
  <c r="P37"/>
  <c r="AA37"/>
  <c r="Y37"/>
  <c r="L37"/>
  <c r="X37"/>
  <c r="AL22" s="1"/>
  <c r="M37"/>
  <c r="H37"/>
  <c r="I37"/>
  <c r="Z37"/>
  <c r="T37"/>
  <c r="AL21" s="1"/>
  <c r="E37"/>
  <c r="D37"/>
  <c r="C37"/>
  <c r="AB36"/>
  <c r="AD36" s="1"/>
  <c r="AC37"/>
  <c r="V37"/>
  <c r="K37"/>
  <c r="AB5"/>
  <c r="AB11"/>
  <c r="AL14"/>
  <c r="J18"/>
  <c r="J37" s="1"/>
  <c r="H12" i="5"/>
  <c r="H11"/>
  <c r="H10"/>
  <c r="AL18" i="9"/>
  <c r="U10"/>
  <c r="AB10" s="1"/>
  <c r="F11"/>
  <c r="F19" s="1"/>
  <c r="U12"/>
  <c r="AB12" s="1"/>
  <c r="W12"/>
  <c r="I13"/>
  <c r="AB13" s="1"/>
  <c r="W13"/>
  <c r="Q30" i="8"/>
  <c r="W30" s="1"/>
  <c r="F35"/>
  <c r="W35" s="1"/>
  <c r="N9" i="9"/>
  <c r="N19" s="1"/>
  <c r="W8"/>
  <c r="AB8" s="1"/>
  <c r="I7"/>
  <c r="AB7" s="1"/>
  <c r="L5"/>
  <c r="AB5" s="1"/>
  <c r="I4"/>
  <c r="AB4" s="1"/>
  <c r="AC4"/>
  <c r="AC19" s="1"/>
  <c r="AB22"/>
  <c r="AB23"/>
  <c r="AB24"/>
  <c r="AB25"/>
  <c r="AB26"/>
  <c r="AB27"/>
  <c r="AB28"/>
  <c r="AB29"/>
  <c r="AB30"/>
  <c r="AB31"/>
  <c r="AB32"/>
  <c r="AB33"/>
  <c r="AB34"/>
  <c r="AB21"/>
  <c r="AB20"/>
  <c r="S35"/>
  <c r="T35"/>
  <c r="U35"/>
  <c r="V35"/>
  <c r="W35"/>
  <c r="X35"/>
  <c r="Y35"/>
  <c r="Z35"/>
  <c r="AA35"/>
  <c r="R35"/>
  <c r="M35"/>
  <c r="N35"/>
  <c r="O35"/>
  <c r="P35"/>
  <c r="Q35"/>
  <c r="L35"/>
  <c r="D35"/>
  <c r="E35"/>
  <c r="F35"/>
  <c r="G35"/>
  <c r="H35"/>
  <c r="H36" s="1"/>
  <c r="I35"/>
  <c r="J35"/>
  <c r="K35"/>
  <c r="C35"/>
  <c r="AB6"/>
  <c r="AB9"/>
  <c r="AB14"/>
  <c r="AB15"/>
  <c r="AB16"/>
  <c r="AB17"/>
  <c r="AB18"/>
  <c r="D19"/>
  <c r="E19"/>
  <c r="G19"/>
  <c r="H19"/>
  <c r="J19"/>
  <c r="K19"/>
  <c r="M19"/>
  <c r="O19"/>
  <c r="P19"/>
  <c r="Q19"/>
  <c r="R19"/>
  <c r="S19"/>
  <c r="T19"/>
  <c r="V19"/>
  <c r="X19"/>
  <c r="Y19"/>
  <c r="Z19"/>
  <c r="AA19"/>
  <c r="C19"/>
  <c r="R36"/>
  <c r="AG13" i="8"/>
  <c r="AG12"/>
  <c r="Y37"/>
  <c r="X37"/>
  <c r="X20"/>
  <c r="X38" s="1"/>
  <c r="W22"/>
  <c r="W23"/>
  <c r="W24"/>
  <c r="W25"/>
  <c r="W26"/>
  <c r="W27"/>
  <c r="W29"/>
  <c r="W31"/>
  <c r="W32"/>
  <c r="W33"/>
  <c r="W34"/>
  <c r="W36"/>
  <c r="W21"/>
  <c r="Y3"/>
  <c r="AG11" s="1"/>
  <c r="O17"/>
  <c r="U17"/>
  <c r="C17"/>
  <c r="C22"/>
  <c r="O24"/>
  <c r="D25"/>
  <c r="T28"/>
  <c r="W28" s="1"/>
  <c r="AB18" i="10" l="1"/>
  <c r="AD18" s="1"/>
  <c r="AD37" s="1"/>
  <c r="AL18"/>
  <c r="U19" i="9"/>
  <c r="U36" s="1"/>
  <c r="AB11"/>
  <c r="AB19" s="1"/>
  <c r="Y20" i="8"/>
  <c r="W37"/>
  <c r="Z37" s="1"/>
  <c r="W19" i="9"/>
  <c r="W36" s="1"/>
  <c r="V36"/>
  <c r="L19"/>
  <c r="L36" s="1"/>
  <c r="I19"/>
  <c r="I36" s="1"/>
  <c r="AB35"/>
  <c r="AD35" s="1"/>
  <c r="T36"/>
  <c r="M36"/>
  <c r="K36"/>
  <c r="F36"/>
  <c r="X36"/>
  <c r="Y36"/>
  <c r="J36"/>
  <c r="Z36"/>
  <c r="AA36"/>
  <c r="N36"/>
  <c r="AC36"/>
  <c r="C36"/>
  <c r="V19" i="8"/>
  <c r="Q15"/>
  <c r="C14"/>
  <c r="AB37" i="10" l="1"/>
  <c r="AD19" i="9"/>
  <c r="AD36" s="1"/>
  <c r="AB36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R20"/>
  <c r="Q20"/>
  <c r="O20"/>
  <c r="N20"/>
  <c r="M20"/>
  <c r="L20"/>
  <c r="K20"/>
  <c r="J20"/>
  <c r="I20"/>
  <c r="H20"/>
  <c r="G20"/>
  <c r="G38" s="1"/>
  <c r="E20"/>
  <c r="F20"/>
  <c r="D20"/>
  <c r="V20"/>
  <c r="S20"/>
  <c r="S38" s="1"/>
  <c r="C20"/>
  <c r="W20" l="1"/>
  <c r="Z20" s="1"/>
  <c r="Z38" s="1"/>
  <c r="F38"/>
  <c r="T38"/>
  <c r="E38"/>
  <c r="N38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C5"/>
  <c r="W5" s="1"/>
  <c r="D4"/>
  <c r="D18" s="1"/>
  <c r="C3"/>
  <c r="H3"/>
  <c r="H18" s="1"/>
  <c r="H36" s="1"/>
  <c r="P7"/>
  <c r="W7" s="1"/>
  <c r="F8"/>
  <c r="N8"/>
  <c r="N18" s="1"/>
  <c r="O9"/>
  <c r="O18" s="1"/>
  <c r="C11"/>
  <c r="W11" s="1"/>
  <c r="P17"/>
  <c r="W17" s="1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M18"/>
  <c r="L18"/>
  <c r="K18"/>
  <c r="J18"/>
  <c r="I18"/>
  <c r="G18"/>
  <c r="E18"/>
  <c r="W16"/>
  <c r="W15"/>
  <c r="W14"/>
  <c r="W13"/>
  <c r="W12"/>
  <c r="W10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P18" i="7" l="1"/>
  <c r="F18"/>
  <c r="W9"/>
  <c r="W8"/>
  <c r="C18"/>
  <c r="AG15" i="8"/>
  <c r="W4" i="7"/>
  <c r="J36"/>
  <c r="K36"/>
  <c r="U36"/>
  <c r="N36"/>
  <c r="W24" i="6"/>
  <c r="W25"/>
  <c r="W27"/>
  <c r="W28"/>
  <c r="W31"/>
  <c r="V36" i="7"/>
  <c r="W3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5" i="6" l="1"/>
  <c r="O18"/>
  <c r="W18" i="7"/>
  <c r="W6" i="6"/>
  <c r="W38" i="8"/>
  <c r="AG14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color indexed="81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color indexed="81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color indexed="81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color indexed="81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color indexed="81"/>
            <rFont val="Tahoma"/>
            <family val="2"/>
            <charset val="204"/>
          </rPr>
          <t xml:space="preserve">t2 + впн
</t>
        </r>
      </text>
    </comment>
    <comment ref="P9" author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color indexed="81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color indexed="81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color indexed="81"/>
            <rFont val="Tahoma"/>
            <family val="2"/>
            <charset val="204"/>
          </rPr>
          <t>хлеб в амбаре</t>
        </r>
      </text>
    </comment>
    <comment ref="J15" authorId="0">
      <text>
        <r>
          <rPr>
            <b/>
            <sz val="9"/>
            <color indexed="81"/>
            <rFont val="Tahoma"/>
            <family val="2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color indexed="81"/>
            <rFont val="Tahoma"/>
            <family val="2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color indexed="81"/>
            <rFont val="Tahoma"/>
            <family val="2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color indexed="81"/>
            <rFont val="Tahoma"/>
            <family val="2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color indexed="81"/>
            <rFont val="Tahoma"/>
            <family val="2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color indexed="81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color indexed="81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color indexed="81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color indexed="81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color indexed="81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color indexed="81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color indexed="81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color indexed="81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color indexed="81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color indexed="81"/>
            <rFont val="Tahoma"/>
            <charset val="1"/>
          </rPr>
          <t>Обед в феличите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color indexed="81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color indexed="81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color indexed="81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color indexed="81"/>
            <rFont val="Tahoma"/>
            <charset val="1"/>
          </rPr>
          <t xml:space="preserve">Цветы + что-то еще
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color indexed="81"/>
            <rFont val="Tahoma"/>
            <charset val="1"/>
          </rPr>
          <t>Чтиво журнал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color indexed="81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color indexed="81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color indexed="81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color indexed="81"/>
            <rFont val="Tahoma"/>
            <charset val="1"/>
          </rPr>
          <t>Вкусно и точка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color indexed="81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color indexed="81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color indexed="81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color indexed="81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color indexed="81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color indexed="81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color indexed="81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color indexed="81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color indexed="81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color indexed="81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H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Чай в буна буна
</t>
        </r>
      </text>
    </comment>
    <comment ref="K8" authorId="0">
      <text>
        <r>
          <rPr>
            <b/>
            <sz val="9"/>
            <color indexed="81"/>
            <rFont val="Tahoma"/>
            <charset val="1"/>
          </rPr>
          <t>Ханой стрит</t>
        </r>
      </text>
    </comment>
    <comment ref="M8" authorId="0">
      <text>
        <r>
          <rPr>
            <b/>
            <sz val="9"/>
            <color indexed="81"/>
            <rFont val="Tahoma"/>
            <charset val="1"/>
          </rPr>
          <t>Вопрос на сайте "Спроси врача"</t>
        </r>
      </text>
    </comment>
    <comment ref="O8" authorId="0">
      <text>
        <r>
          <rPr>
            <b/>
            <sz val="9"/>
            <color indexed="81"/>
            <rFont val="Tahoma"/>
            <charset val="1"/>
          </rPr>
          <t>Замена батарейки в ключе от шлагбаума</t>
        </r>
      </text>
    </comment>
    <comment ref="W8" authorId="0">
      <text>
        <r>
          <rPr>
            <b/>
            <sz val="9"/>
            <color indexed="81"/>
            <rFont val="Tahoma"/>
            <charset val="1"/>
          </rPr>
          <t>Такси и завтрак</t>
        </r>
      </text>
    </comment>
    <comment ref="K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</t>
        </r>
      </text>
    </comment>
    <comment ref="W9" authorId="0">
      <text>
        <r>
          <rPr>
            <b/>
            <sz val="9"/>
            <color indexed="81"/>
            <rFont val="Tahoma"/>
            <charset val="1"/>
          </rPr>
          <t>На врача</t>
        </r>
      </text>
    </comment>
    <comment ref="N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Т2</t>
        </r>
      </text>
    </comment>
  </commentList>
</comments>
</file>

<file path=xl/sharedStrings.xml><?xml version="1.0" encoding="utf-8"?>
<sst xmlns="http://schemas.openxmlformats.org/spreadsheetml/2006/main" count="540" uniqueCount="89">
  <si>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</si>
  <si>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</si>
  <si>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</si>
  <si>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</si>
  <si>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</si>
  <si>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</si>
  <si>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</si>
  <si>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</si>
  <si>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</si>
  <si>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</si>
  <si>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</si>
  <si>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</si>
  <si>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</si>
  <si>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</si>
  <si>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</si>
  <si>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</si>
  <si>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</si>
  <si>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</si>
  <si>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</si>
  <si>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</si>
  <si>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</si>
  <si>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</si>
  <si>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</si>
  <si>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</si>
  <si>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</si>
  <si>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</si>
  <si>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</si>
  <si>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</si>
  <si>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</si>
  <si>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</si>
  <si>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</si>
  <si>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</si>
  <si>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</si>
  <si>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</si>
  <si>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</si>
  <si>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</si>
  <si>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</si>
  <si>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</si>
  <si>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</si>
  <si>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</si>
  <si>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</si>
  <si>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</si>
  <si>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</si>
  <si>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</si>
  <si>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</si>
  <si>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</si>
  <si>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</si>
  <si>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</si>
  <si>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</si>
  <si>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</si>
  <si>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</si>
  <si>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</si>
  <si>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</si>
  <si>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</si>
  <si>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</si>
  <si>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</si>
  <si>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</si>
  <si>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</si>
  <si>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</si>
  <si>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</si>
  <si>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</si>
  <si>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</si>
  <si>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</si>
  <si>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</si>
  <si>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</si>
  <si>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</si>
  <si>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</si>
  <si>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</si>
  <si>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</si>
  <si>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</si>
  <si>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</si>
  <si>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</si>
  <si>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</si>
  <si>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</si>
  <si>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</si>
  <si>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</si>
  <si>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</si>
  <si>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</si>
  <si>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</si>
  <si>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</si>
  <si>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</si>
  <si>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</si>
  <si>
    <t>Базовые потребности</t>
  </si>
  <si>
    <t>на Аню</t>
  </si>
  <si>
    <t>Транспорт</t>
  </si>
  <si>
    <t>Необязательные покупки</t>
  </si>
  <si>
    <t>Сводные итоги за август 2026 г.</t>
  </si>
  <si>
    <t>Доходы - Расходы Сентябрь 2026</t>
  </si>
  <si>
    <t>Еда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</si>
</sst>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7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  <font>
      <sz val="14"/>
      <color theme="0"/>
      <name val="Bahnschrift"/>
      <family val="2"/>
      <charset val="204"/>
    </font>
  </fonts>
  <fills count="3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83C5C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  <xf numFmtId="164" fontId="23" fillId="20" borderId="7" xfId="0" applyNumberFormat="1" applyFont="1" applyFill="1" applyBorder="1" applyAlignment="1"/>
    <xf numFmtId="164" fontId="23" fillId="21" borderId="14" xfId="0" applyNumberFormat="1" applyFont="1" applyFill="1" applyBorder="1" applyAlignment="1"/>
    <xf numFmtId="164" fontId="23" fillId="2" borderId="14" xfId="0" applyNumberFormat="1" applyFont="1" applyFill="1" applyBorder="1" applyAlignment="1">
      <alignment horizontal="center" vertical="center"/>
    </xf>
    <xf numFmtId="0" fontId="36" fillId="28" borderId="7" xfId="0" applyFont="1" applyFill="1" applyBorder="1" applyAlignment="1">
      <alignment horizontal="center"/>
    </xf>
    <xf numFmtId="164" fontId="36" fillId="28" borderId="7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36" fillId="28" borderId="7" xfId="0" applyFont="1" applyFill="1" applyBorder="1" applyAlignment="1">
      <alignment horizontal="center"/>
    </xf>
    <xf numFmtId="0" fontId="46" fillId="36" borderId="7" xfId="0" applyFont="1" applyFill="1" applyBorder="1" applyAlignment="1">
      <alignment horizontal="center" vertical="center"/>
    </xf>
    <xf numFmtId="0" fontId="33" fillId="33" borderId="7" xfId="0" applyFont="1" applyFill="1" applyBorder="1" applyAlignment="1">
      <alignment horizontal="right" vertical="center"/>
    </xf>
    <xf numFmtId="0" fontId="38" fillId="28" borderId="0" xfId="0" applyFont="1" applyFill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0" fontId="33" fillId="29" borderId="7" xfId="0" applyFont="1" applyFill="1" applyBorder="1" applyAlignment="1">
      <alignment horizontal="right" vertical="center"/>
    </xf>
    <xf numFmtId="0" fontId="40" fillId="30" borderId="14" xfId="0" applyFont="1" applyFill="1" applyBorder="1" applyAlignment="1">
      <alignment horizontal="center" vertical="center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  <xf numFmtId="0" fontId="33" fillId="30" borderId="7" xfId="0" applyFont="1" applyFill="1" applyBorder="1" applyAlignment="1">
      <alignment horizontal="right" vertical="center"/>
    </xf>
  </cellXfs>
  <cellStyles count="1">
    <cellStyle name="Обычный" xfId="0" builtinId="0"/>
  </cellStyles>
  <dxfs count="16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183C5C"/>
      <color rgb="FFFA8A8A"/>
      <color rgb="FFFDD7D7"/>
      <color rgb="FFDDF0C8"/>
      <color rgb="FF273C18"/>
      <color rgb="FFC09200"/>
      <color rgb="FF2E471D"/>
      <color rgb="FFEC1606"/>
      <color rgb="FF062D4E"/>
      <color rgb="FFD5DA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25" sqref="G25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16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>
        <f>'Май 2026'!X3+'Май 2026'!X19</f>
        <v>86059.05</v>
      </c>
      <c r="E9" s="51">
        <f>'Май 2026'!X7+'Май 2026'!X21+'Май 2026'!X34</f>
        <v>7000</v>
      </c>
      <c r="F9" s="51">
        <f>'Май 2026'!X28+'Май 2026'!X29</f>
        <v>10000</v>
      </c>
      <c r="G9" s="51">
        <f>'Май 2026'!W36</f>
        <v>105788.06</v>
      </c>
      <c r="H9" s="51">
        <f t="shared" si="0"/>
        <v>-2729.0099999999948</v>
      </c>
    </row>
    <row r="10" spans="3:8" ht="16.5">
      <c r="C10" s="52" t="s">
        <v>48</v>
      </c>
      <c r="D10" s="51">
        <f>' Июнь 2026'!X3+' Июнь 2026'!X19</f>
        <v>90491.540000000008</v>
      </c>
      <c r="E10" s="51">
        <f>' Июнь 2026'!X9</f>
        <v>15000</v>
      </c>
      <c r="F10" s="51">
        <f>' Июнь 2026'!X14+' Июнь 2026'!X16</f>
        <v>7000</v>
      </c>
      <c r="G10" s="51">
        <f>' Июнь 2026'!W36</f>
        <v>90253.07</v>
      </c>
      <c r="H10" s="51">
        <f t="shared" si="0"/>
        <v>22238.47</v>
      </c>
    </row>
    <row r="11" spans="3:8" ht="16.5">
      <c r="C11" s="52" t="s">
        <v>49</v>
      </c>
      <c r="D11" s="51">
        <f>'Июль 2026'!Y3+'Июль 2026'!Y14+'Июль 2026'!Y21</f>
        <v>226341.31</v>
      </c>
      <c r="E11" s="51">
        <f>'Июль 2026'!Y27</f>
        <v>20000</v>
      </c>
      <c r="F11" s="51">
        <f>'Июль 2026'!Y17+'Июль 2026'!Y19+'Июль 2026'!Y33</f>
        <v>35000</v>
      </c>
      <c r="G11" s="51">
        <f>'Июль 2026'!W38</f>
        <v>177971.36</v>
      </c>
      <c r="H11" s="51">
        <f t="shared" si="0"/>
        <v>103369.95000000001</v>
      </c>
    </row>
    <row r="12" spans="3:8" ht="16.5">
      <c r="C12" s="52" t="s">
        <v>50</v>
      </c>
      <c r="D12" s="51">
        <f>'Август 2026'!AC4+'Август 2026'!AC20</f>
        <v>133443.15000000002</v>
      </c>
      <c r="E12" s="51">
        <f>'Август 2026'!AC29</f>
        <v>1000</v>
      </c>
      <c r="F12" s="51">
        <f>'Август 2026'!AC21+'Август 2026'!AC34</f>
        <v>11000</v>
      </c>
      <c r="G12" s="51">
        <f>'Август 2026'!AB36</f>
        <v>146501.73000000001</v>
      </c>
      <c r="H12" s="51">
        <f t="shared" si="0"/>
        <v>-1058.5799999999872</v>
      </c>
    </row>
    <row r="13" spans="3:8" ht="16.5">
      <c r="C13" s="52" t="s">
        <v>51</v>
      </c>
      <c r="D13" s="51"/>
      <c r="E13" s="51"/>
      <c r="F13" s="51"/>
      <c r="G13" s="51"/>
      <c r="H13" s="51">
        <f t="shared" si="0"/>
        <v>0</v>
      </c>
    </row>
    <row r="14" spans="3:8" ht="16.5">
      <c r="C14" s="52" t="s">
        <v>52</v>
      </c>
      <c r="D14" s="51"/>
      <c r="E14" s="51"/>
      <c r="F14" s="51"/>
      <c r="G14" s="51"/>
      <c r="H14" s="51">
        <f t="shared" si="0"/>
        <v>0</v>
      </c>
    </row>
    <row r="15" spans="3:8" ht="16.5">
      <c r="C15" s="52" t="s">
        <v>53</v>
      </c>
      <c r="D15" s="51"/>
      <c r="E15" s="51"/>
      <c r="F15" s="51"/>
      <c r="G15" s="51"/>
      <c r="H15" s="51">
        <f t="shared" si="0"/>
        <v>0</v>
      </c>
    </row>
    <row r="16" spans="3:8" ht="17.25" thickBot="1">
      <c r="C16" s="53" t="s">
        <v>54</v>
      </c>
      <c r="D16" s="54"/>
      <c r="E16" s="54"/>
      <c r="F16" s="54"/>
      <c r="G16" s="54"/>
      <c r="H16" s="51">
        <f t="shared" si="0"/>
        <v>0</v>
      </c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5" priority="3">
      <formula>H5&lt;0</formula>
    </cfRule>
    <cfRule type="expression" dxfId="14" priority="4">
      <formula>H5&gt;0</formula>
    </cfRule>
  </conditionalFormatting>
  <conditionalFormatting sqref="H17">
    <cfRule type="expression" dxfId="13" priority="1">
      <formula>H17&lt;0</formula>
    </cfRule>
    <cfRule type="expression" dxfId="12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Z22" sqref="Z22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41" t="s">
        <v>27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42" t="s">
        <v>20</v>
      </c>
      <c r="B31" s="142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44" t="s">
        <v>32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43" t="s">
        <v>20</v>
      </c>
      <c r="B32" s="143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4" t="s">
        <v>38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46" t="s">
        <v>35</v>
      </c>
      <c r="B20" s="147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46" t="s">
        <v>36</v>
      </c>
      <c r="B36" s="147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45" t="s">
        <v>37</v>
      </c>
      <c r="B37" s="145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37" activePane="bottomRight" state="frozen"/>
      <selection pane="topRight" activeCell="C1" sqref="C1"/>
      <selection pane="bottomLeft" activeCell="A28" sqref="A28"/>
      <selection pane="bottomRight" activeCell="X19" sqref="X19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8" t="s">
        <v>57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49" t="s">
        <v>35</v>
      </c>
      <c r="B18" s="149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49" t="s">
        <v>36</v>
      </c>
      <c r="B35" s="149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50" t="s">
        <v>37</v>
      </c>
      <c r="B36" s="150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11" priority="1">
      <formula>Y18&lt;0</formula>
    </cfRule>
    <cfRule type="expression" dxfId="10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46" activePane="bottomRight" state="frozen"/>
      <selection pane="topRight" activeCell="C1" sqref="C1"/>
      <selection pane="bottomLeft" activeCell="A28" sqref="A28"/>
      <selection pane="bottomRight" activeCell="C36" sqref="C36:H36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51" t="s">
        <v>58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52" t="s">
        <v>35</v>
      </c>
      <c r="B18" s="152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52" t="s">
        <v>36</v>
      </c>
      <c r="B35" s="152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53" t="s">
        <v>37</v>
      </c>
      <c r="B36" s="153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9" priority="1">
      <formula>Y18&lt;0</formula>
    </cfRule>
    <cfRule type="expression" dxfId="8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70" zoomScaleNormal="70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H51" sqref="H51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54" t="s">
        <v>59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56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56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56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56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56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56"/>
      <c r="AC8" s="158" t="s">
        <v>61</v>
      </c>
      <c r="AD8" s="158"/>
      <c r="AE8" s="158"/>
      <c r="AF8" s="158"/>
      <c r="AG8" s="158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56"/>
      <c r="AC9" s="158"/>
      <c r="AD9" s="158"/>
      <c r="AE9" s="158"/>
      <c r="AF9" s="158"/>
      <c r="AG9" s="158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56"/>
      <c r="AC10" s="158"/>
      <c r="AD10" s="158"/>
      <c r="AE10" s="158"/>
      <c r="AF10" s="158"/>
      <c r="AG10" s="158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56"/>
      <c r="AC11" s="157" t="s">
        <v>62</v>
      </c>
      <c r="AD11" s="157"/>
      <c r="AE11" s="157"/>
      <c r="AF11" s="157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56"/>
      <c r="AC12" s="157" t="s">
        <v>55</v>
      </c>
      <c r="AD12" s="157"/>
      <c r="AE12" s="157"/>
      <c r="AF12" s="157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56"/>
      <c r="AC13" s="157" t="s">
        <v>63</v>
      </c>
      <c r="AD13" s="157"/>
      <c r="AE13" s="157"/>
      <c r="AF13" s="157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56"/>
      <c r="AC14" s="157" t="s">
        <v>64</v>
      </c>
      <c r="AD14" s="157"/>
      <c r="AE14" s="157"/>
      <c r="AF14" s="157"/>
      <c r="AG14" s="104">
        <f>W38</f>
        <v>177971.36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56"/>
      <c r="AC15" s="157" t="s">
        <v>88</v>
      </c>
      <c r="AD15" s="157"/>
      <c r="AE15" s="157"/>
      <c r="AF15" s="157"/>
      <c r="AG15" s="104">
        <f>SUM(C38:H38)</f>
        <v>55416.04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56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56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56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56"/>
    </row>
    <row r="20" spans="1:28" ht="14.25" customHeight="1">
      <c r="A20" s="152" t="s">
        <v>35</v>
      </c>
      <c r="B20" s="152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56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56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56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56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56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56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56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56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56"/>
    </row>
    <row r="30" spans="1:28" ht="15.75">
      <c r="A30" s="66">
        <v>29</v>
      </c>
      <c r="B30" s="67" t="s">
        <v>2</v>
      </c>
      <c r="C30" s="72"/>
      <c r="D30" s="72"/>
      <c r="E30" s="72"/>
      <c r="F30" s="72">
        <v>1080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f>400+300</f>
        <v>700</v>
      </c>
      <c r="R30" s="72"/>
      <c r="S30" s="72"/>
      <c r="T30" s="72"/>
      <c r="U30" s="72"/>
      <c r="V30" s="83"/>
      <c r="W30" s="89">
        <f t="shared" si="2"/>
        <v>1780</v>
      </c>
      <c r="X30" s="90"/>
      <c r="Y30" s="93"/>
      <c r="Z30" s="156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56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56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136">
        <v>10000</v>
      </c>
      <c r="Z33" s="156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>
        <v>799</v>
      </c>
      <c r="T34" s="72">
        <v>100</v>
      </c>
      <c r="U34" s="72"/>
      <c r="V34" s="83"/>
      <c r="W34" s="89">
        <f t="shared" si="2"/>
        <v>899</v>
      </c>
      <c r="X34" s="90"/>
      <c r="Y34" s="93"/>
      <c r="Z34" s="156"/>
    </row>
    <row r="35" spans="1:26" ht="15.75">
      <c r="A35" s="62">
        <v>3</v>
      </c>
      <c r="B35" s="63" t="s">
        <v>7</v>
      </c>
      <c r="C35" s="71"/>
      <c r="D35" s="71"/>
      <c r="E35" s="71">
        <v>2327</v>
      </c>
      <c r="F35" s="71">
        <f>1610+175.49</f>
        <v>1785.49</v>
      </c>
      <c r="G35" s="71"/>
      <c r="H35" s="71"/>
      <c r="I35" s="71"/>
      <c r="J35" s="71"/>
      <c r="K35" s="71"/>
      <c r="L35" s="71"/>
      <c r="M35" s="71"/>
      <c r="N35" s="71"/>
      <c r="O35" s="71">
        <v>270</v>
      </c>
      <c r="P35" s="71"/>
      <c r="Q35" s="71"/>
      <c r="R35" s="71"/>
      <c r="S35" s="71">
        <v>399</v>
      </c>
      <c r="T35" s="71"/>
      <c r="U35" s="71"/>
      <c r="V35" s="82"/>
      <c r="W35" s="89">
        <f t="shared" si="2"/>
        <v>4781.49</v>
      </c>
      <c r="X35" s="90"/>
      <c r="Y35" s="93"/>
      <c r="Z35" s="156"/>
    </row>
    <row r="36" spans="1:26" ht="15.75">
      <c r="A36" s="66">
        <v>4</v>
      </c>
      <c r="B36" s="67" t="s">
        <v>8</v>
      </c>
      <c r="C36" s="72"/>
      <c r="D36" s="72">
        <v>327</v>
      </c>
      <c r="E36" s="72"/>
      <c r="F36" s="72"/>
      <c r="G36" s="72"/>
      <c r="H36" s="72">
        <v>2730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>
        <v>199</v>
      </c>
      <c r="T36" s="72"/>
      <c r="U36" s="72"/>
      <c r="V36" s="83"/>
      <c r="W36" s="89">
        <f t="shared" si="2"/>
        <v>3256</v>
      </c>
      <c r="X36" s="90"/>
      <c r="Y36" s="93"/>
      <c r="Z36" s="156"/>
    </row>
    <row r="37" spans="1:26">
      <c r="A37" s="152" t="s">
        <v>36</v>
      </c>
      <c r="B37" s="152"/>
      <c r="C37" s="79">
        <f>SUM(C21:C36)</f>
        <v>3393</v>
      </c>
      <c r="D37" s="79">
        <f t="shared" ref="D37:V37" si="3">SUM(D21:D36)</f>
        <v>6468.3099999999995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>SUM(T21:T36)</f>
        <v>11609</v>
      </c>
      <c r="U37" s="79">
        <f t="shared" si="3"/>
        <v>0</v>
      </c>
      <c r="V37" s="86">
        <f t="shared" si="3"/>
        <v>4800</v>
      </c>
      <c r="W37" s="94">
        <f>SUM(W21:W36)</f>
        <v>56038.799999999996</v>
      </c>
      <c r="X37" s="95">
        <f>SUM(X21:X36)</f>
        <v>23662.84</v>
      </c>
      <c r="Y37" s="101">
        <f>SUM(Y21:Y36)</f>
        <v>66898.64</v>
      </c>
      <c r="Z37" s="97">
        <f>Y37-W37-X37</f>
        <v>-12802.999999999996</v>
      </c>
    </row>
    <row r="38" spans="1:26" ht="31.5" customHeight="1">
      <c r="A38" s="155" t="s">
        <v>37</v>
      </c>
      <c r="B38" s="155"/>
      <c r="C38" s="78">
        <f>SUM(C20,C37)</f>
        <v>14335.99</v>
      </c>
      <c r="D38" s="78">
        <f t="shared" ref="D38:W38" si="4">SUM(D20,D37)</f>
        <v>11993.56</v>
      </c>
      <c r="E38" s="78">
        <f t="shared" si="4"/>
        <v>10857</v>
      </c>
      <c r="F38" s="78">
        <f t="shared" si="4"/>
        <v>9325.49</v>
      </c>
      <c r="G38" s="78">
        <f t="shared" si="4"/>
        <v>0</v>
      </c>
      <c r="H38" s="78">
        <f t="shared" si="4"/>
        <v>8904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5442</v>
      </c>
      <c r="P38" s="78">
        <f t="shared" si="4"/>
        <v>797</v>
      </c>
      <c r="Q38" s="78">
        <f t="shared" si="4"/>
        <v>27468.98</v>
      </c>
      <c r="R38" s="78">
        <f t="shared" si="4"/>
        <v>0</v>
      </c>
      <c r="S38" s="78">
        <f>SUM(S20,S37)</f>
        <v>7761.63</v>
      </c>
      <c r="T38" s="78">
        <f t="shared" si="4"/>
        <v>14797</v>
      </c>
      <c r="U38" s="78">
        <f t="shared" si="4"/>
        <v>6461</v>
      </c>
      <c r="V38" s="87">
        <f t="shared" si="4"/>
        <v>5750</v>
      </c>
      <c r="W38" s="94">
        <f t="shared" si="4"/>
        <v>177971.36</v>
      </c>
      <c r="X38" s="95">
        <f>SUM(X20,X37)</f>
        <v>110623.52999999998</v>
      </c>
      <c r="Y38" s="102">
        <f>SUM(Y20,Y37)</f>
        <v>281341.31</v>
      </c>
      <c r="Z38" s="70">
        <f>SUM(Z20,Z37)</f>
        <v>-7253.5799999999981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C14:AF14"/>
    <mergeCell ref="AC15:AF15"/>
    <mergeCell ref="AC8:AG10"/>
    <mergeCell ref="AC11:AF11"/>
    <mergeCell ref="AC12:AF12"/>
    <mergeCell ref="AC13:AF13"/>
    <mergeCell ref="A1:Z1"/>
    <mergeCell ref="A20:B20"/>
    <mergeCell ref="A37:B37"/>
    <mergeCell ref="A38:B38"/>
    <mergeCell ref="Z3:Z19"/>
    <mergeCell ref="Z21:Z36"/>
  </mergeCells>
  <conditionalFormatting sqref="Z20:Z21 Z37:Z38">
    <cfRule type="expression" dxfId="7" priority="1">
      <formula>Z20&lt;0</formula>
    </cfRule>
    <cfRule type="expression" dxfId="6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C19" sqref="C19:K19"/>
    </sheetView>
  </sheetViews>
  <sheetFormatPr defaultRowHeight="15"/>
  <cols>
    <col min="1" max="30" width="20.7109375" style="2" customWidth="1"/>
    <col min="31" max="37" width="12.7109375" style="2" customWidth="1"/>
    <col min="38" max="38" width="19" style="2" customWidth="1"/>
    <col min="39" max="42" width="12.7109375" style="2" customWidth="1"/>
    <col min="43" max="16384" width="9.140625" style="2"/>
  </cols>
  <sheetData>
    <row r="1" spans="1:52" ht="34.5" customHeight="1">
      <c r="A1" s="162" t="s">
        <v>65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52" ht="26.25">
      <c r="A2" s="169"/>
      <c r="B2" s="170"/>
      <c r="C2" s="165" t="s">
        <v>66</v>
      </c>
      <c r="D2" s="165"/>
      <c r="E2" s="165"/>
      <c r="F2" s="165"/>
      <c r="G2" s="165"/>
      <c r="H2" s="165"/>
      <c r="I2" s="165"/>
      <c r="J2" s="165"/>
      <c r="K2" s="165"/>
      <c r="L2" s="166" t="s">
        <v>74</v>
      </c>
      <c r="M2" s="166"/>
      <c r="N2" s="166"/>
      <c r="O2" s="166"/>
      <c r="P2" s="166"/>
      <c r="Q2" s="166"/>
      <c r="R2" s="167" t="s">
        <v>77</v>
      </c>
      <c r="S2" s="167"/>
      <c r="T2" s="167"/>
      <c r="U2" s="167"/>
      <c r="V2" s="167"/>
      <c r="W2" s="167"/>
      <c r="X2" s="167"/>
      <c r="Y2" s="167"/>
      <c r="Z2" s="167"/>
      <c r="AA2" s="167"/>
      <c r="AB2" s="168" t="s">
        <v>80</v>
      </c>
      <c r="AC2" s="168"/>
      <c r="AD2" s="168"/>
    </row>
    <row r="3" spans="1:52" ht="45" customHeight="1">
      <c r="A3" s="119" t="s">
        <v>0</v>
      </c>
      <c r="B3" s="119" t="s">
        <v>1</v>
      </c>
      <c r="C3" s="120" t="s">
        <v>67</v>
      </c>
      <c r="D3" s="120" t="s">
        <v>68</v>
      </c>
      <c r="E3" s="120" t="s">
        <v>69</v>
      </c>
      <c r="F3" s="120" t="s">
        <v>29</v>
      </c>
      <c r="G3" s="120" t="s">
        <v>81</v>
      </c>
      <c r="H3" s="120" t="s">
        <v>70</v>
      </c>
      <c r="I3" s="120" t="s">
        <v>71</v>
      </c>
      <c r="J3" s="120" t="s">
        <v>72</v>
      </c>
      <c r="K3" s="120" t="s">
        <v>73</v>
      </c>
      <c r="L3" s="121" t="s">
        <v>24</v>
      </c>
      <c r="M3" s="121" t="s">
        <v>14</v>
      </c>
      <c r="N3" s="121" t="s">
        <v>75</v>
      </c>
      <c r="O3" s="121" t="s">
        <v>25</v>
      </c>
      <c r="P3" s="121" t="s">
        <v>25</v>
      </c>
      <c r="Q3" s="121" t="s">
        <v>76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78</v>
      </c>
      <c r="Y3" s="122" t="s">
        <v>78</v>
      </c>
      <c r="Z3" s="122" t="s">
        <v>79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5</v>
      </c>
      <c r="B4" s="110" t="s">
        <v>2</v>
      </c>
      <c r="C4" s="111">
        <v>429.95</v>
      </c>
      <c r="D4" s="111"/>
      <c r="E4" s="111"/>
      <c r="F4" s="111"/>
      <c r="G4" s="111"/>
      <c r="H4" s="111"/>
      <c r="I4" s="111">
        <f>4660+545</f>
        <v>5205</v>
      </c>
      <c r="J4" s="111"/>
      <c r="K4" s="111"/>
      <c r="L4" s="111"/>
      <c r="M4" s="111"/>
      <c r="N4" s="111"/>
      <c r="O4" s="111">
        <v>100</v>
      </c>
      <c r="P4" s="111">
        <v>10000</v>
      </c>
      <c r="Q4" s="111"/>
      <c r="R4" s="111"/>
      <c r="S4" s="111"/>
      <c r="T4" s="111"/>
      <c r="U4" s="111"/>
      <c r="V4" s="111"/>
      <c r="W4" s="111"/>
      <c r="X4" s="111">
        <v>1237</v>
      </c>
      <c r="Y4" s="111"/>
      <c r="Z4" s="111"/>
      <c r="AA4" s="112"/>
      <c r="AB4" s="128">
        <f>SUM(C4:AA4)</f>
        <v>16971.95</v>
      </c>
      <c r="AC4" s="118">
        <f>37635+40252.26+18817.85</f>
        <v>96705.110000000015</v>
      </c>
      <c r="AD4" s="163"/>
    </row>
    <row r="5" spans="1:52" ht="15.75">
      <c r="A5" s="105">
        <v>6</v>
      </c>
      <c r="B5" s="106" t="s">
        <v>3</v>
      </c>
      <c r="C5" s="107"/>
      <c r="D5" s="107"/>
      <c r="E5" s="107"/>
      <c r="F5" s="107">
        <v>351</v>
      </c>
      <c r="G5" s="107"/>
      <c r="H5" s="107"/>
      <c r="I5" s="107"/>
      <c r="J5" s="107"/>
      <c r="K5" s="107"/>
      <c r="L5" s="107">
        <f>5748.49+2803.26+2306.38</f>
        <v>10858.130000000001</v>
      </c>
      <c r="M5" s="107"/>
      <c r="N5" s="107"/>
      <c r="O5" s="107"/>
      <c r="P5" s="107"/>
      <c r="Q5" s="107">
        <v>3500</v>
      </c>
      <c r="R5" s="107"/>
      <c r="S5" s="107"/>
      <c r="T5" s="107"/>
      <c r="U5" s="107">
        <v>294</v>
      </c>
      <c r="V5" s="107"/>
      <c r="W5" s="107">
        <v>1500</v>
      </c>
      <c r="X5" s="107"/>
      <c r="Y5" s="107"/>
      <c r="Z5" s="107"/>
      <c r="AA5" s="108"/>
      <c r="AB5" s="128">
        <f>SUM(C5:AA5)</f>
        <v>16503.13</v>
      </c>
      <c r="AC5" s="117"/>
      <c r="AD5" s="163"/>
    </row>
    <row r="6" spans="1:52" ht="15.75">
      <c r="A6" s="109">
        <v>7</v>
      </c>
      <c r="B6" s="110" t="s">
        <v>4</v>
      </c>
      <c r="C6" s="111"/>
      <c r="D6" s="111"/>
      <c r="E6" s="111"/>
      <c r="F6" s="111"/>
      <c r="G6" s="111"/>
      <c r="H6" s="111"/>
      <c r="I6" s="111"/>
      <c r="J6" s="111">
        <v>838</v>
      </c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>
        <v>158.61000000000001</v>
      </c>
      <c r="W6" s="111"/>
      <c r="X6" s="111"/>
      <c r="Y6" s="111"/>
      <c r="Z6" s="111"/>
      <c r="AA6" s="112"/>
      <c r="AB6" s="128">
        <f t="shared" ref="AB6:AB18" si="0">SUM(C6:AA6)</f>
        <v>996.61</v>
      </c>
      <c r="AC6" s="117"/>
      <c r="AD6" s="163"/>
    </row>
    <row r="7" spans="1:52" ht="15.75">
      <c r="A7" s="105">
        <v>8</v>
      </c>
      <c r="B7" s="106" t="s">
        <v>5</v>
      </c>
      <c r="C7" s="107"/>
      <c r="D7" s="107"/>
      <c r="E7" s="107"/>
      <c r="F7" s="107">
        <v>1461</v>
      </c>
      <c r="G7" s="107">
        <v>821</v>
      </c>
      <c r="H7" s="107"/>
      <c r="I7" s="107">
        <f>2510+220</f>
        <v>2730</v>
      </c>
      <c r="J7" s="107">
        <v>730</v>
      </c>
      <c r="K7" s="107"/>
      <c r="L7" s="107"/>
      <c r="M7" s="107"/>
      <c r="N7" s="107"/>
      <c r="O7" s="107">
        <v>100</v>
      </c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>
        <f>2626-2500</f>
        <v>126</v>
      </c>
      <c r="AA7" s="108"/>
      <c r="AB7" s="128">
        <f t="shared" si="0"/>
        <v>5968</v>
      </c>
      <c r="AC7" s="117"/>
      <c r="AD7" s="163"/>
    </row>
    <row r="8" spans="1:52" ht="15" customHeight="1">
      <c r="A8" s="109">
        <v>9</v>
      </c>
      <c r="B8" s="110" t="s">
        <v>6</v>
      </c>
      <c r="C8" s="111"/>
      <c r="D8" s="111"/>
      <c r="E8" s="111">
        <v>2510</v>
      </c>
      <c r="F8" s="111"/>
      <c r="G8" s="111"/>
      <c r="H8" s="111"/>
      <c r="I8" s="111"/>
      <c r="J8" s="111">
        <v>1534</v>
      </c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>
        <f>400+1115+3400+1409.98+1800</f>
        <v>8124.98</v>
      </c>
      <c r="X8" s="111"/>
      <c r="Y8" s="111"/>
      <c r="Z8" s="111"/>
      <c r="AA8" s="112"/>
      <c r="AB8" s="128">
        <f t="shared" si="0"/>
        <v>12168.98</v>
      </c>
      <c r="AC8" s="117"/>
      <c r="AD8" s="163"/>
    </row>
    <row r="9" spans="1:52" ht="15.75">
      <c r="A9" s="105">
        <v>10</v>
      </c>
      <c r="B9" s="106" t="s">
        <v>7</v>
      </c>
      <c r="C9" s="107"/>
      <c r="D9" s="107"/>
      <c r="E9" s="107"/>
      <c r="F9" s="107"/>
      <c r="G9" s="107"/>
      <c r="H9" s="107"/>
      <c r="I9" s="107"/>
      <c r="J9" s="107"/>
      <c r="K9" s="107">
        <v>1860</v>
      </c>
      <c r="L9" s="107"/>
      <c r="M9" s="107"/>
      <c r="N9" s="107">
        <f>700+990</f>
        <v>1690</v>
      </c>
      <c r="O9" s="107"/>
      <c r="P9" s="107">
        <v>2000</v>
      </c>
      <c r="Q9" s="107"/>
      <c r="R9" s="107"/>
      <c r="S9" s="107"/>
      <c r="T9" s="107"/>
      <c r="U9" s="107">
        <v>420</v>
      </c>
      <c r="V9" s="107"/>
      <c r="W9" s="107"/>
      <c r="X9" s="107"/>
      <c r="Y9" s="107"/>
      <c r="Z9" s="107"/>
      <c r="AA9" s="108"/>
      <c r="AB9" s="128">
        <f t="shared" si="0"/>
        <v>5970</v>
      </c>
      <c r="AC9" s="117"/>
      <c r="AD9" s="163"/>
    </row>
    <row r="10" spans="1:52" ht="15.75">
      <c r="A10" s="109">
        <v>11</v>
      </c>
      <c r="B10" s="110" t="s">
        <v>8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>
        <v>500</v>
      </c>
      <c r="R10" s="111"/>
      <c r="S10" s="111"/>
      <c r="T10" s="111"/>
      <c r="U10" s="111">
        <f>207+380</f>
        <v>587</v>
      </c>
      <c r="V10" s="111"/>
      <c r="W10" s="111">
        <v>1180</v>
      </c>
      <c r="X10" s="111">
        <v>990</v>
      </c>
      <c r="Y10" s="111"/>
      <c r="Z10" s="111"/>
      <c r="AA10" s="112"/>
      <c r="AB10" s="128">
        <f t="shared" si="0"/>
        <v>3257</v>
      </c>
      <c r="AC10" s="117"/>
      <c r="AD10" s="163"/>
    </row>
    <row r="11" spans="1:52" ht="15.75">
      <c r="A11" s="105">
        <v>12</v>
      </c>
      <c r="B11" s="106" t="s">
        <v>2</v>
      </c>
      <c r="C11" s="107"/>
      <c r="D11" s="107"/>
      <c r="E11" s="107"/>
      <c r="F11" s="107">
        <f>210+424</f>
        <v>634</v>
      </c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>
        <v>400</v>
      </c>
      <c r="X11" s="107"/>
      <c r="Y11" s="107"/>
      <c r="Z11" s="107"/>
      <c r="AA11" s="108"/>
      <c r="AB11" s="128">
        <f t="shared" si="0"/>
        <v>1034</v>
      </c>
      <c r="AC11" s="117"/>
      <c r="AD11" s="163"/>
      <c r="AH11" s="160" t="s">
        <v>86</v>
      </c>
      <c r="AI11" s="160"/>
      <c r="AJ11" s="160"/>
      <c r="AK11" s="160"/>
      <c r="AL11" s="160"/>
    </row>
    <row r="12" spans="1:52" ht="15.75">
      <c r="A12" s="109">
        <v>13</v>
      </c>
      <c r="B12" s="110" t="s">
        <v>3</v>
      </c>
      <c r="C12" s="111"/>
      <c r="D12" s="111"/>
      <c r="E12" s="111"/>
      <c r="F12" s="111"/>
      <c r="G12" s="111"/>
      <c r="H12" s="111"/>
      <c r="I12" s="111"/>
      <c r="J12" s="111"/>
      <c r="K12" s="111">
        <v>420</v>
      </c>
      <c r="L12" s="111"/>
      <c r="M12" s="111"/>
      <c r="N12" s="111"/>
      <c r="O12" s="111"/>
      <c r="P12" s="111"/>
      <c r="Q12" s="111"/>
      <c r="R12" s="111"/>
      <c r="S12" s="111"/>
      <c r="T12" s="111"/>
      <c r="U12" s="111">
        <f>399+300</f>
        <v>699</v>
      </c>
      <c r="V12" s="111"/>
      <c r="W12" s="111">
        <f>517+1080+787+83</f>
        <v>2467</v>
      </c>
      <c r="X12" s="111"/>
      <c r="Y12" s="111"/>
      <c r="Z12" s="111"/>
      <c r="AA12" s="112"/>
      <c r="AB12" s="128">
        <f t="shared" si="0"/>
        <v>3586</v>
      </c>
      <c r="AC12" s="117"/>
      <c r="AD12" s="163"/>
      <c r="AH12" s="160"/>
      <c r="AI12" s="160"/>
      <c r="AJ12" s="160"/>
      <c r="AK12" s="160"/>
      <c r="AL12" s="160"/>
    </row>
    <row r="13" spans="1:52" ht="15.75">
      <c r="A13" s="105">
        <v>14</v>
      </c>
      <c r="B13" s="106" t="s">
        <v>4</v>
      </c>
      <c r="C13" s="107"/>
      <c r="D13" s="107"/>
      <c r="E13" s="107"/>
      <c r="F13" s="107"/>
      <c r="G13" s="107"/>
      <c r="H13" s="107"/>
      <c r="I13" s="107">
        <f>2220+250</f>
        <v>2470</v>
      </c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>
        <v>384</v>
      </c>
      <c r="V13" s="107"/>
      <c r="W13" s="107">
        <f>2720+315</f>
        <v>3035</v>
      </c>
      <c r="X13" s="107"/>
      <c r="Y13" s="107"/>
      <c r="Z13" s="107"/>
      <c r="AA13" s="108"/>
      <c r="AB13" s="128">
        <f t="shared" si="0"/>
        <v>5889</v>
      </c>
      <c r="AC13" s="117"/>
      <c r="AD13" s="163"/>
      <c r="AH13" s="160"/>
      <c r="AI13" s="160"/>
      <c r="AJ13" s="160"/>
      <c r="AK13" s="160"/>
      <c r="AL13" s="160"/>
    </row>
    <row r="14" spans="1:52" ht="18">
      <c r="A14" s="109">
        <v>15</v>
      </c>
      <c r="B14" s="110" t="s">
        <v>5</v>
      </c>
      <c r="C14" s="111">
        <v>973.94</v>
      </c>
      <c r="D14" s="111"/>
      <c r="E14" s="111"/>
      <c r="F14" s="111"/>
      <c r="G14" s="111"/>
      <c r="H14" s="111">
        <v>4470</v>
      </c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>
        <f>1319.99+329</f>
        <v>1648.99</v>
      </c>
      <c r="X14" s="111"/>
      <c r="Y14" s="111"/>
      <c r="Z14" s="111"/>
      <c r="AA14" s="112"/>
      <c r="AB14" s="128">
        <f t="shared" si="0"/>
        <v>7092.93</v>
      </c>
      <c r="AC14" s="117"/>
      <c r="AD14" s="163"/>
      <c r="AH14" s="159" t="s">
        <v>62</v>
      </c>
      <c r="AI14" s="159"/>
      <c r="AJ14" s="159"/>
      <c r="AK14" s="159"/>
      <c r="AL14" s="140">
        <f>AC4+AC20</f>
        <v>133443.15000000002</v>
      </c>
    </row>
    <row r="15" spans="1:52" ht="18">
      <c r="A15" s="105">
        <v>16</v>
      </c>
      <c r="B15" s="106" t="s">
        <v>6</v>
      </c>
      <c r="C15" s="107"/>
      <c r="D15" s="107">
        <v>97.3</v>
      </c>
      <c r="E15" s="107"/>
      <c r="F15" s="107"/>
      <c r="G15" s="107"/>
      <c r="H15" s="107"/>
      <c r="I15" s="107"/>
      <c r="J15" s="107">
        <f>539.98+147+1271</f>
        <v>1957.98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>
        <v>2049</v>
      </c>
      <c r="W15" s="107">
        <f>490+380</f>
        <v>870</v>
      </c>
      <c r="X15" s="107">
        <v>990</v>
      </c>
      <c r="Y15" s="107"/>
      <c r="Z15" s="107">
        <f>170+170+170+170</f>
        <v>680</v>
      </c>
      <c r="AA15" s="108"/>
      <c r="AB15" s="128">
        <f t="shared" si="0"/>
        <v>6644.2800000000007</v>
      </c>
      <c r="AC15" s="118"/>
      <c r="AD15" s="163"/>
      <c r="AH15" s="159" t="s">
        <v>55</v>
      </c>
      <c r="AI15" s="159"/>
      <c r="AJ15" s="159"/>
      <c r="AK15" s="159"/>
      <c r="AL15" s="140">
        <f>AC29</f>
        <v>1000</v>
      </c>
    </row>
    <row r="16" spans="1:52" ht="18">
      <c r="A16" s="109">
        <v>17</v>
      </c>
      <c r="B16" s="110" t="s">
        <v>7</v>
      </c>
      <c r="C16" s="111"/>
      <c r="D16" s="111"/>
      <c r="E16" s="111"/>
      <c r="F16" s="111"/>
      <c r="G16" s="111">
        <f>354+1199</f>
        <v>1553</v>
      </c>
      <c r="H16" s="111"/>
      <c r="I16" s="111">
        <v>1710</v>
      </c>
      <c r="J16" s="111"/>
      <c r="K16" s="111"/>
      <c r="L16" s="111"/>
      <c r="M16" s="111"/>
      <c r="N16" s="111">
        <f>700+499</f>
        <v>1199</v>
      </c>
      <c r="O16" s="111"/>
      <c r="P16" s="111"/>
      <c r="Q16" s="111"/>
      <c r="R16" s="111"/>
      <c r="S16" s="111"/>
      <c r="T16" s="111"/>
      <c r="U16" s="111"/>
      <c r="V16" s="111">
        <v>313.19</v>
      </c>
      <c r="W16" s="111"/>
      <c r="X16" s="111">
        <v>330</v>
      </c>
      <c r="Y16" s="111"/>
      <c r="Z16" s="111"/>
      <c r="AA16" s="112"/>
      <c r="AB16" s="128">
        <f t="shared" si="0"/>
        <v>5105.1899999999996</v>
      </c>
      <c r="AC16" s="117"/>
      <c r="AD16" s="163"/>
      <c r="AH16" s="159" t="s">
        <v>63</v>
      </c>
      <c r="AI16" s="159"/>
      <c r="AJ16" s="159"/>
      <c r="AK16" s="159"/>
      <c r="AL16" s="140">
        <f>AC21+AC34</f>
        <v>11000</v>
      </c>
    </row>
    <row r="17" spans="1:38" ht="18">
      <c r="A17" s="105">
        <v>18</v>
      </c>
      <c r="B17" s="106" t="s">
        <v>8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>
        <v>280.97000000000003</v>
      </c>
      <c r="W17" s="107"/>
      <c r="X17" s="107"/>
      <c r="Y17" s="107"/>
      <c r="Z17" s="107"/>
      <c r="AA17" s="108"/>
      <c r="AB17" s="128">
        <f t="shared" si="0"/>
        <v>280.97000000000003</v>
      </c>
      <c r="AC17" s="117"/>
      <c r="AD17" s="163"/>
      <c r="AH17" s="159" t="s">
        <v>64</v>
      </c>
      <c r="AI17" s="159"/>
      <c r="AJ17" s="159"/>
      <c r="AK17" s="159"/>
      <c r="AL17" s="140">
        <f>AB36</f>
        <v>146501.73000000001</v>
      </c>
    </row>
    <row r="18" spans="1:38" ht="18">
      <c r="A18" s="109">
        <v>19</v>
      </c>
      <c r="B18" s="110" t="s">
        <v>2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>
        <f>382+190</f>
        <v>572</v>
      </c>
      <c r="V18" s="111"/>
      <c r="W18" s="111"/>
      <c r="X18" s="111">
        <f>384.98</f>
        <v>384.98</v>
      </c>
      <c r="Y18" s="111"/>
      <c r="Z18" s="111"/>
      <c r="AA18" s="112"/>
      <c r="AB18" s="128">
        <f t="shared" si="0"/>
        <v>956.98</v>
      </c>
      <c r="AC18" s="117"/>
      <c r="AD18" s="163"/>
      <c r="AH18" s="159" t="s">
        <v>88</v>
      </c>
      <c r="AI18" s="159"/>
      <c r="AJ18" s="159"/>
      <c r="AK18" s="159"/>
      <c r="AL18" s="140">
        <f>SUM(C36:K36)</f>
        <v>56967.92</v>
      </c>
    </row>
    <row r="19" spans="1:38" ht="19.5" customHeight="1">
      <c r="A19" s="164" t="s">
        <v>35</v>
      </c>
      <c r="B19" s="164"/>
      <c r="C19" s="113">
        <f>SUM(C4:C18)</f>
        <v>1403.89</v>
      </c>
      <c r="D19" s="113">
        <f t="shared" ref="D19:AA19" si="1">SUM(D4:D18)</f>
        <v>97.3</v>
      </c>
      <c r="E19" s="113">
        <f t="shared" si="1"/>
        <v>2510</v>
      </c>
      <c r="F19" s="113">
        <f t="shared" si="1"/>
        <v>2446</v>
      </c>
      <c r="G19" s="113">
        <f t="shared" si="1"/>
        <v>2374</v>
      </c>
      <c r="H19" s="113">
        <f t="shared" si="1"/>
        <v>4470</v>
      </c>
      <c r="I19" s="113">
        <f t="shared" si="1"/>
        <v>12115</v>
      </c>
      <c r="J19" s="113">
        <f t="shared" si="1"/>
        <v>5059.9799999999996</v>
      </c>
      <c r="K19" s="113">
        <f t="shared" si="1"/>
        <v>2280</v>
      </c>
      <c r="L19" s="114">
        <f t="shared" si="1"/>
        <v>10858.130000000001</v>
      </c>
      <c r="M19" s="114">
        <f t="shared" si="1"/>
        <v>0</v>
      </c>
      <c r="N19" s="114">
        <f t="shared" si="1"/>
        <v>2889</v>
      </c>
      <c r="O19" s="114">
        <f t="shared" si="1"/>
        <v>200</v>
      </c>
      <c r="P19" s="114">
        <f t="shared" si="1"/>
        <v>12000</v>
      </c>
      <c r="Q19" s="114">
        <f t="shared" si="1"/>
        <v>4000</v>
      </c>
      <c r="R19" s="115">
        <f t="shared" si="1"/>
        <v>0</v>
      </c>
      <c r="S19" s="115">
        <f t="shared" si="1"/>
        <v>0</v>
      </c>
      <c r="T19" s="115">
        <f t="shared" si="1"/>
        <v>0</v>
      </c>
      <c r="U19" s="115">
        <f t="shared" si="1"/>
        <v>2956</v>
      </c>
      <c r="V19" s="115">
        <f t="shared" si="1"/>
        <v>2801.7700000000004</v>
      </c>
      <c r="W19" s="115">
        <f t="shared" si="1"/>
        <v>19225.97</v>
      </c>
      <c r="X19" s="115">
        <f t="shared" si="1"/>
        <v>3931.98</v>
      </c>
      <c r="Y19" s="115">
        <f t="shared" si="1"/>
        <v>0</v>
      </c>
      <c r="Z19" s="115">
        <f t="shared" si="1"/>
        <v>806</v>
      </c>
      <c r="AA19" s="124">
        <f t="shared" si="1"/>
        <v>0</v>
      </c>
      <c r="AB19" s="129">
        <f>SUM(AB4:AB18)</f>
        <v>92425.02</v>
      </c>
      <c r="AC19" s="130">
        <f>SUM(AC4:AC18)</f>
        <v>96705.110000000015</v>
      </c>
      <c r="AD19" s="133">
        <f>AC19-AB19</f>
        <v>4280.0900000000111</v>
      </c>
      <c r="AH19" s="159" t="s">
        <v>82</v>
      </c>
      <c r="AI19" s="159"/>
      <c r="AJ19" s="159"/>
      <c r="AK19" s="159"/>
      <c r="AL19" s="140">
        <f>SUM(L36:Q36)</f>
        <v>31394.13</v>
      </c>
    </row>
    <row r="20" spans="1:38" ht="18">
      <c r="A20" s="109">
        <v>20</v>
      </c>
      <c r="B20" s="110" t="s">
        <v>3</v>
      </c>
      <c r="C20" s="111">
        <f>1527.91-1000</f>
        <v>527.91000000000008</v>
      </c>
      <c r="D20" s="111">
        <f>399.97</f>
        <v>399.97</v>
      </c>
      <c r="E20" s="111"/>
      <c r="F20" s="111"/>
      <c r="G20" s="111"/>
      <c r="H20" s="111"/>
      <c r="I20" s="111"/>
      <c r="J20" s="111"/>
      <c r="K20" s="111">
        <f>880</f>
        <v>880</v>
      </c>
      <c r="L20" s="111"/>
      <c r="M20" s="111"/>
      <c r="N20" s="111"/>
      <c r="O20" s="111"/>
      <c r="P20" s="111"/>
      <c r="Q20" s="111"/>
      <c r="R20" s="111">
        <v>1000</v>
      </c>
      <c r="S20" s="111"/>
      <c r="T20" s="111"/>
      <c r="U20" s="111">
        <v>311</v>
      </c>
      <c r="V20" s="111"/>
      <c r="W20" s="111">
        <f>2000+1000</f>
        <v>3000</v>
      </c>
      <c r="X20" s="111"/>
      <c r="Y20" s="111"/>
      <c r="Z20" s="111"/>
      <c r="AA20" s="112"/>
      <c r="AB20" s="128">
        <f>SUM(C20:AA20)</f>
        <v>6118.88</v>
      </c>
      <c r="AC20" s="118">
        <v>36738.04</v>
      </c>
      <c r="AD20" s="163"/>
      <c r="AH20" s="159" t="s">
        <v>83</v>
      </c>
      <c r="AI20" s="159"/>
      <c r="AJ20" s="159"/>
      <c r="AK20" s="159"/>
      <c r="AL20" s="140">
        <f>W36</f>
        <v>35678.97</v>
      </c>
    </row>
    <row r="21" spans="1:38" ht="18">
      <c r="A21" s="105">
        <v>21</v>
      </c>
      <c r="B21" s="106" t="s">
        <v>4</v>
      </c>
      <c r="C21" s="107"/>
      <c r="D21" s="107">
        <f>231+493.2</f>
        <v>724.2</v>
      </c>
      <c r="E21" s="107"/>
      <c r="F21" s="107">
        <v>104</v>
      </c>
      <c r="G21" s="107"/>
      <c r="H21" s="107"/>
      <c r="I21" s="107">
        <f>170+1740</f>
        <v>1910</v>
      </c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>
        <v>243</v>
      </c>
      <c r="V21" s="107"/>
      <c r="W21" s="107"/>
      <c r="X21" s="107"/>
      <c r="Y21" s="107"/>
      <c r="Z21" s="107"/>
      <c r="AA21" s="108"/>
      <c r="AB21" s="128">
        <f>SUM(C21:AA21)</f>
        <v>2981.2</v>
      </c>
      <c r="AC21" s="137">
        <v>10000</v>
      </c>
      <c r="AD21" s="163"/>
      <c r="AF21" s="44"/>
      <c r="AH21" s="159" t="s">
        <v>84</v>
      </c>
      <c r="AI21" s="159"/>
      <c r="AJ21" s="159"/>
      <c r="AK21" s="159"/>
      <c r="AL21" s="140">
        <f>SUM(U36:V36)</f>
        <v>11008.460000000001</v>
      </c>
    </row>
    <row r="22" spans="1:38" ht="18">
      <c r="A22" s="109">
        <v>22</v>
      </c>
      <c r="B22" s="110" t="s">
        <v>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2"/>
      <c r="AB22" s="128">
        <f t="shared" ref="AB22:AB34" si="2">SUM(C22:AA22)</f>
        <v>0</v>
      </c>
      <c r="AC22" s="117"/>
      <c r="AD22" s="163"/>
      <c r="AH22" s="159" t="s">
        <v>13</v>
      </c>
      <c r="AI22" s="159"/>
      <c r="AJ22" s="159"/>
      <c r="AK22" s="159"/>
      <c r="AL22" s="140">
        <f>T36</f>
        <v>0</v>
      </c>
    </row>
    <row r="23" spans="1:38" ht="18">
      <c r="A23" s="105">
        <v>23</v>
      </c>
      <c r="B23" s="106" t="s">
        <v>6</v>
      </c>
      <c r="C23" s="107"/>
      <c r="D23" s="107"/>
      <c r="E23" s="107"/>
      <c r="F23" s="107"/>
      <c r="G23" s="107"/>
      <c r="H23" s="107"/>
      <c r="I23" s="107"/>
      <c r="J23" s="107">
        <f>1357+194+197</f>
        <v>1748</v>
      </c>
      <c r="K23" s="107"/>
      <c r="L23" s="107"/>
      <c r="M23" s="107"/>
      <c r="N23" s="107"/>
      <c r="O23" s="107"/>
      <c r="P23" s="107"/>
      <c r="Q23" s="107"/>
      <c r="R23" s="107">
        <f>798.27</f>
        <v>798.27</v>
      </c>
      <c r="S23" s="107"/>
      <c r="T23" s="107"/>
      <c r="U23" s="107"/>
      <c r="V23" s="107">
        <f>1707.5-201.49</f>
        <v>1506.01</v>
      </c>
      <c r="W23" s="107">
        <f>329+2500</f>
        <v>2829</v>
      </c>
      <c r="X23" s="107"/>
      <c r="Y23" s="107"/>
      <c r="Z23" s="107"/>
      <c r="AA23" s="108"/>
      <c r="AB23" s="128">
        <f t="shared" si="2"/>
        <v>6881.28</v>
      </c>
      <c r="AC23" s="117"/>
      <c r="AD23" s="163"/>
      <c r="AH23" s="159" t="s">
        <v>85</v>
      </c>
      <c r="AI23" s="159"/>
      <c r="AJ23" s="159"/>
      <c r="AK23" s="159"/>
      <c r="AL23" s="140">
        <f>X36</f>
        <v>5267.98</v>
      </c>
    </row>
    <row r="24" spans="1:38" ht="15.75">
      <c r="A24" s="109">
        <v>24</v>
      </c>
      <c r="B24" s="110" t="s">
        <v>7</v>
      </c>
      <c r="C24" s="111">
        <v>785.88</v>
      </c>
      <c r="D24" s="111">
        <f>589.98</f>
        <v>589.98</v>
      </c>
      <c r="E24" s="111"/>
      <c r="F24" s="111"/>
      <c r="G24" s="111"/>
      <c r="H24" s="111">
        <v>2450</v>
      </c>
      <c r="I24" s="111"/>
      <c r="J24" s="111"/>
      <c r="K24" s="111">
        <f>1800+196.2</f>
        <v>1996.2</v>
      </c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>
        <v>304.63</v>
      </c>
      <c r="W24" s="111"/>
      <c r="X24" s="111"/>
      <c r="Y24" s="111"/>
      <c r="Z24" s="111"/>
      <c r="AA24" s="112"/>
      <c r="AB24" s="128">
        <f t="shared" si="2"/>
        <v>6126.6900000000005</v>
      </c>
      <c r="AC24" s="117"/>
      <c r="AD24" s="163"/>
    </row>
    <row r="25" spans="1:38" ht="15.75">
      <c r="A25" s="105">
        <v>25</v>
      </c>
      <c r="B25" s="106" t="s">
        <v>8</v>
      </c>
      <c r="C25" s="107"/>
      <c r="D25" s="107"/>
      <c r="E25" s="107"/>
      <c r="F25" s="107"/>
      <c r="G25" s="107"/>
      <c r="H25" s="107"/>
      <c r="I25" s="107"/>
      <c r="J25" s="107"/>
      <c r="K25" s="107">
        <f>1640+110</f>
        <v>1750</v>
      </c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>
        <v>6000</v>
      </c>
      <c r="X25" s="107"/>
      <c r="Y25" s="107"/>
      <c r="Z25" s="107"/>
      <c r="AA25" s="108"/>
      <c r="AB25" s="128">
        <f t="shared" si="2"/>
        <v>7750</v>
      </c>
      <c r="AC25" s="117"/>
      <c r="AD25" s="163"/>
    </row>
    <row r="26" spans="1:38" ht="15.75">
      <c r="A26" s="109">
        <v>26</v>
      </c>
      <c r="B26" s="110" t="s">
        <v>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>
        <f>249</f>
        <v>249</v>
      </c>
      <c r="O26" s="111"/>
      <c r="P26" s="111"/>
      <c r="Q26" s="111"/>
      <c r="R26" s="111"/>
      <c r="S26" s="111"/>
      <c r="T26" s="111"/>
      <c r="U26" s="111"/>
      <c r="V26" s="111"/>
      <c r="W26" s="111">
        <f>704+500+400</f>
        <v>1604</v>
      </c>
      <c r="X26" s="111">
        <v>950</v>
      </c>
      <c r="Y26" s="111"/>
      <c r="Z26" s="111"/>
      <c r="AA26" s="112"/>
      <c r="AB26" s="128">
        <f t="shared" si="2"/>
        <v>2803</v>
      </c>
      <c r="AC26" s="118"/>
      <c r="AD26" s="163"/>
    </row>
    <row r="27" spans="1:38" ht="15.75">
      <c r="A27" s="105">
        <v>27</v>
      </c>
      <c r="B27" s="106" t="s">
        <v>3</v>
      </c>
      <c r="C27" s="107">
        <v>149.96</v>
      </c>
      <c r="D27" s="107"/>
      <c r="E27" s="107"/>
      <c r="F27" s="107"/>
      <c r="G27" s="107"/>
      <c r="H27" s="107"/>
      <c r="I27" s="107"/>
      <c r="J27" s="107"/>
      <c r="K27" s="107">
        <f>1240</f>
        <v>1240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>
        <v>313</v>
      </c>
      <c r="V27" s="107"/>
      <c r="W27" s="107"/>
      <c r="X27" s="107">
        <v>386</v>
      </c>
      <c r="Y27" s="107"/>
      <c r="Z27" s="107"/>
      <c r="AA27" s="108"/>
      <c r="AB27" s="128">
        <f t="shared" si="2"/>
        <v>2088.96</v>
      </c>
      <c r="AC27" s="117"/>
      <c r="AD27" s="163"/>
    </row>
    <row r="28" spans="1:38" ht="15.75">
      <c r="A28" s="109">
        <v>28</v>
      </c>
      <c r="B28" s="110" t="s">
        <v>4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>
        <v>288</v>
      </c>
      <c r="V28" s="111"/>
      <c r="W28" s="111">
        <f>1180</f>
        <v>1180</v>
      </c>
      <c r="X28" s="111"/>
      <c r="Y28" s="111"/>
      <c r="Z28" s="111">
        <v>2000</v>
      </c>
      <c r="AA28" s="112"/>
      <c r="AB28" s="128">
        <f t="shared" si="2"/>
        <v>3468</v>
      </c>
      <c r="AC28" s="117"/>
      <c r="AD28" s="163"/>
    </row>
    <row r="29" spans="1:38" ht="15.75">
      <c r="A29" s="105">
        <v>29</v>
      </c>
      <c r="B29" s="106" t="s">
        <v>5</v>
      </c>
      <c r="C29" s="107">
        <f>705.95</f>
        <v>705.95</v>
      </c>
      <c r="D29" s="107">
        <f>329.99+356.95+143.98</f>
        <v>830.92000000000007</v>
      </c>
      <c r="E29" s="107"/>
      <c r="F29" s="107"/>
      <c r="G29" s="107"/>
      <c r="H29" s="107"/>
      <c r="I29" s="107"/>
      <c r="J29" s="107">
        <f>841</f>
        <v>841</v>
      </c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>
        <f>1580</f>
        <v>1580</v>
      </c>
      <c r="AA29" s="108"/>
      <c r="AB29" s="128">
        <f t="shared" si="2"/>
        <v>3957.87</v>
      </c>
      <c r="AC29" s="117">
        <v>1000</v>
      </c>
      <c r="AD29" s="163"/>
    </row>
    <row r="30" spans="1:38" ht="15.75">
      <c r="A30" s="109">
        <v>30</v>
      </c>
      <c r="B30" s="110" t="s">
        <v>6</v>
      </c>
      <c r="C30" s="111"/>
      <c r="D30" s="111"/>
      <c r="E30" s="111"/>
      <c r="F30" s="111"/>
      <c r="G30" s="111"/>
      <c r="H30" s="111"/>
      <c r="I30" s="111"/>
      <c r="J30" s="111">
        <f>1510</f>
        <v>1510</v>
      </c>
      <c r="K30" s="111"/>
      <c r="L30" s="111"/>
      <c r="M30" s="111"/>
      <c r="N30" s="111">
        <f>799</f>
        <v>799</v>
      </c>
      <c r="O30" s="111"/>
      <c r="P30" s="111"/>
      <c r="Q30" s="111"/>
      <c r="R30" s="111"/>
      <c r="S30" s="111"/>
      <c r="T30" s="111"/>
      <c r="U30" s="111"/>
      <c r="V30" s="111">
        <f>1707.5</f>
        <v>1707.5</v>
      </c>
      <c r="W30" s="111"/>
      <c r="X30" s="111"/>
      <c r="Y30" s="111"/>
      <c r="Z30" s="111"/>
      <c r="AA30" s="112"/>
      <c r="AB30" s="128">
        <f t="shared" si="2"/>
        <v>4016.5</v>
      </c>
      <c r="AC30" s="117"/>
      <c r="AD30" s="163"/>
    </row>
    <row r="31" spans="1:38" ht="15.75">
      <c r="A31" s="105">
        <v>31</v>
      </c>
      <c r="B31" s="106" t="s">
        <v>7</v>
      </c>
      <c r="C31" s="107"/>
      <c r="D31" s="107">
        <v>131.78</v>
      </c>
      <c r="E31" s="107"/>
      <c r="F31" s="107"/>
      <c r="G31" s="107"/>
      <c r="H31" s="107"/>
      <c r="I31" s="107"/>
      <c r="J31" s="107"/>
      <c r="K31" s="107">
        <f>2450+220</f>
        <v>2670</v>
      </c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8"/>
      <c r="AB31" s="128">
        <f t="shared" si="2"/>
        <v>2801.78</v>
      </c>
      <c r="AC31" s="117"/>
      <c r="AD31" s="163"/>
    </row>
    <row r="32" spans="1:38" ht="15.75">
      <c r="A32" s="109">
        <v>1</v>
      </c>
      <c r="B32" s="110" t="s">
        <v>8</v>
      </c>
      <c r="C32" s="111"/>
      <c r="D32" s="111"/>
      <c r="E32" s="111"/>
      <c r="F32" s="111">
        <v>396</v>
      </c>
      <c r="G32" s="111"/>
      <c r="H32" s="111"/>
      <c r="I32" s="111"/>
      <c r="J32" s="111"/>
      <c r="K32" s="111">
        <f>1870</f>
        <v>1870</v>
      </c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>
        <v>301.11</v>
      </c>
      <c r="W32" s="111">
        <f>320+920</f>
        <v>1240</v>
      </c>
      <c r="X32" s="111"/>
      <c r="Y32" s="111"/>
      <c r="Z32" s="111"/>
      <c r="AA32" s="112"/>
      <c r="AB32" s="128">
        <f t="shared" si="2"/>
        <v>3807.11</v>
      </c>
      <c r="AC32" s="117"/>
      <c r="AD32" s="163"/>
    </row>
    <row r="33" spans="1:30" ht="15.75">
      <c r="A33" s="105">
        <v>2</v>
      </c>
      <c r="B33" s="106" t="s">
        <v>2</v>
      </c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>
        <v>399</v>
      </c>
      <c r="O33" s="107"/>
      <c r="P33" s="107"/>
      <c r="Q33" s="107"/>
      <c r="R33" s="107"/>
      <c r="S33" s="107"/>
      <c r="T33" s="107"/>
      <c r="U33" s="107"/>
      <c r="V33" s="107">
        <f>276.44</f>
        <v>276.44</v>
      </c>
      <c r="W33" s="107"/>
      <c r="X33" s="107"/>
      <c r="Y33" s="107"/>
      <c r="Z33" s="107"/>
      <c r="AA33" s="108"/>
      <c r="AB33" s="128">
        <f t="shared" si="2"/>
        <v>675.44</v>
      </c>
      <c r="AC33" s="117"/>
      <c r="AD33" s="163"/>
    </row>
    <row r="34" spans="1:30" ht="15.75">
      <c r="A34" s="109">
        <v>3</v>
      </c>
      <c r="B34" s="110" t="s">
        <v>3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>
        <f>1000+100-500</f>
        <v>600</v>
      </c>
      <c r="X34" s="111"/>
      <c r="Y34" s="111"/>
      <c r="Z34" s="111"/>
      <c r="AA34" s="112"/>
      <c r="AB34" s="128">
        <f t="shared" si="2"/>
        <v>600</v>
      </c>
      <c r="AC34" s="137">
        <v>1000</v>
      </c>
      <c r="AD34" s="163"/>
    </row>
    <row r="35" spans="1:30" ht="14.25" customHeight="1">
      <c r="A35" s="164" t="s">
        <v>36</v>
      </c>
      <c r="B35" s="164"/>
      <c r="C35" s="113">
        <f t="shared" ref="C35:AC35" si="3">SUM(C20:C34)</f>
        <v>2169.6999999999998</v>
      </c>
      <c r="D35" s="113">
        <f t="shared" si="3"/>
        <v>2676.8500000000004</v>
      </c>
      <c r="E35" s="113">
        <f t="shared" si="3"/>
        <v>0</v>
      </c>
      <c r="F35" s="113">
        <f t="shared" si="3"/>
        <v>500</v>
      </c>
      <c r="G35" s="113">
        <f t="shared" si="3"/>
        <v>0</v>
      </c>
      <c r="H35" s="113">
        <f t="shared" si="3"/>
        <v>2450</v>
      </c>
      <c r="I35" s="113">
        <f t="shared" si="3"/>
        <v>1910</v>
      </c>
      <c r="J35" s="113">
        <f t="shared" si="3"/>
        <v>4099</v>
      </c>
      <c r="K35" s="113">
        <f t="shared" si="3"/>
        <v>10406.200000000001</v>
      </c>
      <c r="L35" s="114">
        <f t="shared" si="3"/>
        <v>0</v>
      </c>
      <c r="M35" s="114">
        <f t="shared" si="3"/>
        <v>0</v>
      </c>
      <c r="N35" s="114">
        <f t="shared" si="3"/>
        <v>1447</v>
      </c>
      <c r="O35" s="114">
        <f t="shared" si="3"/>
        <v>0</v>
      </c>
      <c r="P35" s="114">
        <f t="shared" si="3"/>
        <v>0</v>
      </c>
      <c r="Q35" s="114">
        <f t="shared" si="3"/>
        <v>0</v>
      </c>
      <c r="R35" s="115">
        <f t="shared" si="3"/>
        <v>1798.27</v>
      </c>
      <c r="S35" s="115">
        <f t="shared" si="3"/>
        <v>0</v>
      </c>
      <c r="T35" s="115">
        <f t="shared" si="3"/>
        <v>0</v>
      </c>
      <c r="U35" s="115">
        <f t="shared" si="3"/>
        <v>1155</v>
      </c>
      <c r="V35" s="115">
        <f t="shared" si="3"/>
        <v>4095.69</v>
      </c>
      <c r="W35" s="115">
        <f t="shared" si="3"/>
        <v>16453</v>
      </c>
      <c r="X35" s="115">
        <f t="shared" si="3"/>
        <v>1336</v>
      </c>
      <c r="Y35" s="115">
        <f t="shared" si="3"/>
        <v>0</v>
      </c>
      <c r="Z35" s="115">
        <f t="shared" si="3"/>
        <v>3580</v>
      </c>
      <c r="AA35" s="124">
        <f t="shared" si="3"/>
        <v>0</v>
      </c>
      <c r="AB35" s="129">
        <f t="shared" si="3"/>
        <v>54076.710000000006</v>
      </c>
      <c r="AC35" s="130">
        <f t="shared" si="3"/>
        <v>48738.04</v>
      </c>
      <c r="AD35" s="133">
        <f>AC35-AB35</f>
        <v>-5338.6700000000055</v>
      </c>
    </row>
    <row r="36" spans="1:30" ht="31.5" customHeight="1">
      <c r="A36" s="161" t="s">
        <v>37</v>
      </c>
      <c r="B36" s="161"/>
      <c r="C36" s="116">
        <f>SUM(C19,C35)</f>
        <v>3573.59</v>
      </c>
      <c r="D36" s="116">
        <f>SUM(D19,D35)</f>
        <v>2774.1500000000005</v>
      </c>
      <c r="E36" s="116">
        <f>SUM(E19,E35)</f>
        <v>2510</v>
      </c>
      <c r="F36" s="116">
        <f>SUM(F19,F35)</f>
        <v>2946</v>
      </c>
      <c r="G36" s="116">
        <f>SUM(G19,G35)</f>
        <v>2374</v>
      </c>
      <c r="H36" s="116">
        <f t="shared" ref="H36:Q36" si="4">SUM(H19,H35)</f>
        <v>6920</v>
      </c>
      <c r="I36" s="116">
        <f t="shared" si="4"/>
        <v>14025</v>
      </c>
      <c r="J36" s="116">
        <f t="shared" si="4"/>
        <v>9158.98</v>
      </c>
      <c r="K36" s="116">
        <f t="shared" si="4"/>
        <v>12686.2</v>
      </c>
      <c r="L36" s="116">
        <f t="shared" si="4"/>
        <v>10858.130000000001</v>
      </c>
      <c r="M36" s="116">
        <f t="shared" si="4"/>
        <v>0</v>
      </c>
      <c r="N36" s="116">
        <f t="shared" si="4"/>
        <v>4336</v>
      </c>
      <c r="O36" s="116">
        <f t="shared" si="4"/>
        <v>200</v>
      </c>
      <c r="P36" s="116">
        <f t="shared" si="4"/>
        <v>12000</v>
      </c>
      <c r="Q36" s="116">
        <f t="shared" si="4"/>
        <v>4000</v>
      </c>
      <c r="R36" s="116">
        <f>SUM(R19,R35)</f>
        <v>1798.27</v>
      </c>
      <c r="S36" s="116"/>
      <c r="T36" s="116">
        <f t="shared" ref="T36:AD36" si="5">SUM(T19,T35)</f>
        <v>0</v>
      </c>
      <c r="U36" s="116">
        <f t="shared" si="5"/>
        <v>4111</v>
      </c>
      <c r="V36" s="116">
        <f t="shared" si="5"/>
        <v>6897.4600000000009</v>
      </c>
      <c r="W36" s="116">
        <f t="shared" si="5"/>
        <v>35678.97</v>
      </c>
      <c r="X36" s="116">
        <f t="shared" si="5"/>
        <v>5267.98</v>
      </c>
      <c r="Y36" s="116">
        <f t="shared" si="5"/>
        <v>0</v>
      </c>
      <c r="Z36" s="116">
        <f t="shared" si="5"/>
        <v>4386</v>
      </c>
      <c r="AA36" s="125">
        <f t="shared" si="5"/>
        <v>0</v>
      </c>
      <c r="AB36" s="131">
        <f t="shared" si="5"/>
        <v>146501.73000000001</v>
      </c>
      <c r="AC36" s="132">
        <f t="shared" si="5"/>
        <v>145443.15000000002</v>
      </c>
      <c r="AD36" s="134">
        <f t="shared" si="5"/>
        <v>-1058.5799999999945</v>
      </c>
    </row>
    <row r="40" spans="1:30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</sheetData>
  <mergeCells count="22">
    <mergeCell ref="AH22:AK22"/>
    <mergeCell ref="AH23:AK23"/>
    <mergeCell ref="AH19:AK19"/>
    <mergeCell ref="AH20:AK20"/>
    <mergeCell ref="AH21:AK21"/>
    <mergeCell ref="A36:B36"/>
    <mergeCell ref="A1:AD1"/>
    <mergeCell ref="AD4:AD18"/>
    <mergeCell ref="A19:B19"/>
    <mergeCell ref="AD20:AD34"/>
    <mergeCell ref="A35:B35"/>
    <mergeCell ref="C2:K2"/>
    <mergeCell ref="L2:Q2"/>
    <mergeCell ref="R2:AA2"/>
    <mergeCell ref="AB2:AD2"/>
    <mergeCell ref="A2:B2"/>
    <mergeCell ref="AH18:AK18"/>
    <mergeCell ref="AH11:AL13"/>
    <mergeCell ref="AH14:AK14"/>
    <mergeCell ref="AH15:AK15"/>
    <mergeCell ref="AH16:AK16"/>
    <mergeCell ref="AH17:AK17"/>
  </mergeCells>
  <conditionalFormatting sqref="AD35:AD36 AD19:AD20">
    <cfRule type="expression" dxfId="5" priority="1">
      <formula>AD19&lt;0</formula>
    </cfRule>
    <cfRule type="expression" dxfId="4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70" zoomScaleNormal="70" workbookViewId="0">
      <pane xSplit="2" ySplit="37" topLeftCell="C38" activePane="bottomRight" state="frozen"/>
      <selection pane="topRight" activeCell="C1" sqref="C1"/>
      <selection pane="bottomLeft" activeCell="A28" sqref="A28"/>
      <selection pane="bottomRight" activeCell="A7" sqref="A7:XFD7"/>
    </sheetView>
  </sheetViews>
  <sheetFormatPr defaultRowHeight="15"/>
  <cols>
    <col min="1" max="30" width="20.7109375" style="2" customWidth="1"/>
    <col min="31" max="37" width="12.7109375" style="2" customWidth="1"/>
    <col min="38" max="38" width="19" style="2" customWidth="1"/>
    <col min="39" max="42" width="12.7109375" style="2" customWidth="1"/>
    <col min="43" max="16384" width="9.140625" style="2"/>
  </cols>
  <sheetData>
    <row r="1" spans="1:52" ht="34.5" customHeight="1">
      <c r="A1" s="162" t="s">
        <v>87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52" ht="26.25">
      <c r="A2" s="169"/>
      <c r="B2" s="170"/>
      <c r="C2" s="165" t="s">
        <v>66</v>
      </c>
      <c r="D2" s="165"/>
      <c r="E2" s="165"/>
      <c r="F2" s="165"/>
      <c r="G2" s="165"/>
      <c r="H2" s="165"/>
      <c r="I2" s="165"/>
      <c r="J2" s="165"/>
      <c r="K2" s="165"/>
      <c r="L2" s="166" t="s">
        <v>74</v>
      </c>
      <c r="M2" s="166"/>
      <c r="N2" s="166"/>
      <c r="O2" s="166"/>
      <c r="P2" s="166"/>
      <c r="Q2" s="166"/>
      <c r="R2" s="167" t="s">
        <v>77</v>
      </c>
      <c r="S2" s="167"/>
      <c r="T2" s="167"/>
      <c r="U2" s="167"/>
      <c r="V2" s="167"/>
      <c r="W2" s="167"/>
      <c r="X2" s="167"/>
      <c r="Y2" s="167"/>
      <c r="Z2" s="167"/>
      <c r="AA2" s="167"/>
      <c r="AB2" s="168" t="s">
        <v>80</v>
      </c>
      <c r="AC2" s="168"/>
      <c r="AD2" s="168"/>
    </row>
    <row r="3" spans="1:52" ht="45" customHeight="1">
      <c r="A3" s="119" t="s">
        <v>0</v>
      </c>
      <c r="B3" s="119" t="s">
        <v>1</v>
      </c>
      <c r="C3" s="120" t="s">
        <v>67</v>
      </c>
      <c r="D3" s="120" t="s">
        <v>68</v>
      </c>
      <c r="E3" s="120" t="s">
        <v>69</v>
      </c>
      <c r="F3" s="120" t="s">
        <v>29</v>
      </c>
      <c r="G3" s="120" t="s">
        <v>81</v>
      </c>
      <c r="H3" s="120" t="s">
        <v>70</v>
      </c>
      <c r="I3" s="120" t="s">
        <v>71</v>
      </c>
      <c r="J3" s="120" t="s">
        <v>72</v>
      </c>
      <c r="K3" s="120" t="s">
        <v>73</v>
      </c>
      <c r="L3" s="121" t="s">
        <v>24</v>
      </c>
      <c r="M3" s="121" t="s">
        <v>14</v>
      </c>
      <c r="N3" s="121" t="s">
        <v>75</v>
      </c>
      <c r="O3" s="121" t="s">
        <v>25</v>
      </c>
      <c r="P3" s="121" t="s">
        <v>25</v>
      </c>
      <c r="Q3" s="121" t="s">
        <v>76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78</v>
      </c>
      <c r="Y3" s="122" t="s">
        <v>78</v>
      </c>
      <c r="Z3" s="122" t="s">
        <v>79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4</v>
      </c>
      <c r="B4" s="110" t="s">
        <v>4</v>
      </c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2"/>
      <c r="AB4" s="128">
        <f>SUM(C4:AA4)</f>
        <v>0</v>
      </c>
      <c r="AC4" s="118"/>
      <c r="AD4" s="163"/>
    </row>
    <row r="5" spans="1:52" ht="15.75">
      <c r="A5" s="105">
        <v>5</v>
      </c>
      <c r="B5" s="106" t="s">
        <v>5</v>
      </c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8"/>
      <c r="AB5" s="128">
        <f>SUM(C5:AA5)</f>
        <v>0</v>
      </c>
      <c r="AC5" s="117"/>
      <c r="AD5" s="163"/>
    </row>
    <row r="6" spans="1:52" ht="15.75">
      <c r="A6" s="109">
        <v>6</v>
      </c>
      <c r="B6" s="110" t="s">
        <v>6</v>
      </c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2"/>
      <c r="AB6" s="128">
        <f t="shared" ref="AB6:AB16" si="0">SUM(C6:AA6)</f>
        <v>0</v>
      </c>
      <c r="AC6" s="117"/>
      <c r="AD6" s="163"/>
    </row>
    <row r="7" spans="1:52" ht="15.75">
      <c r="A7" s="105">
        <v>7</v>
      </c>
      <c r="B7" s="106" t="s">
        <v>7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8"/>
      <c r="AB7" s="128">
        <f t="shared" si="0"/>
        <v>0</v>
      </c>
      <c r="AC7" s="117"/>
      <c r="AD7" s="163"/>
    </row>
    <row r="8" spans="1:52" ht="15" customHeight="1">
      <c r="A8" s="109">
        <v>8</v>
      </c>
      <c r="B8" s="110" t="s">
        <v>8</v>
      </c>
      <c r="C8" s="111"/>
      <c r="D8" s="111">
        <f>318</f>
        <v>318</v>
      </c>
      <c r="E8" s="111"/>
      <c r="F8" s="111">
        <f>2881+306</f>
        <v>3187</v>
      </c>
      <c r="G8" s="111"/>
      <c r="H8" s="111">
        <v>310</v>
      </c>
      <c r="I8" s="111"/>
      <c r="J8" s="111"/>
      <c r="K8" s="111">
        <f>2240</f>
        <v>2240</v>
      </c>
      <c r="L8" s="111"/>
      <c r="M8" s="111">
        <f>1049</f>
        <v>1049</v>
      </c>
      <c r="N8" s="111"/>
      <c r="O8" s="111">
        <f>500</f>
        <v>500</v>
      </c>
      <c r="P8" s="111"/>
      <c r="Q8" s="111"/>
      <c r="R8" s="111"/>
      <c r="S8" s="111"/>
      <c r="T8" s="111"/>
      <c r="U8" s="111"/>
      <c r="V8" s="111"/>
      <c r="W8" s="111">
        <f>600</f>
        <v>600</v>
      </c>
      <c r="X8" s="111"/>
      <c r="Y8" s="111"/>
      <c r="Z8" s="111"/>
      <c r="AA8" s="112"/>
      <c r="AB8" s="128">
        <f t="shared" si="0"/>
        <v>8204</v>
      </c>
      <c r="AC8" s="117"/>
      <c r="AD8" s="163"/>
    </row>
    <row r="9" spans="1:52" ht="15.75">
      <c r="A9" s="105">
        <v>9</v>
      </c>
      <c r="B9" s="106" t="s">
        <v>2</v>
      </c>
      <c r="C9" s="107"/>
      <c r="D9" s="107"/>
      <c r="E9" s="107"/>
      <c r="F9" s="107"/>
      <c r="G9" s="107">
        <f>1745</f>
        <v>1745</v>
      </c>
      <c r="H9" s="107"/>
      <c r="I9" s="107"/>
      <c r="J9" s="107"/>
      <c r="K9" s="107">
        <v>2480</v>
      </c>
      <c r="L9" s="107"/>
      <c r="M9" s="107"/>
      <c r="N9" s="107"/>
      <c r="O9" s="107"/>
      <c r="P9" s="107"/>
      <c r="Q9" s="107"/>
      <c r="R9" s="107"/>
      <c r="S9" s="107">
        <v>306</v>
      </c>
      <c r="T9" s="107"/>
      <c r="U9" s="107"/>
      <c r="V9" s="107"/>
      <c r="W9" s="107">
        <f>3745</f>
        <v>3745</v>
      </c>
      <c r="X9" s="107"/>
      <c r="Y9" s="107"/>
      <c r="Z9" s="107"/>
      <c r="AA9" s="108"/>
      <c r="AB9" s="128">
        <f t="shared" si="0"/>
        <v>8276</v>
      </c>
      <c r="AC9" s="117"/>
      <c r="AD9" s="163"/>
    </row>
    <row r="10" spans="1:52" ht="15.75">
      <c r="A10" s="109">
        <v>10</v>
      </c>
      <c r="B10" s="110" t="s">
        <v>3</v>
      </c>
      <c r="C10" s="111"/>
      <c r="D10" s="111"/>
      <c r="E10" s="111"/>
      <c r="F10" s="111">
        <f>89+367</f>
        <v>456</v>
      </c>
      <c r="G10" s="111"/>
      <c r="H10" s="111"/>
      <c r="I10" s="111"/>
      <c r="J10" s="111"/>
      <c r="K10" s="111"/>
      <c r="L10" s="111"/>
      <c r="M10" s="111"/>
      <c r="N10" s="111">
        <v>700</v>
      </c>
      <c r="O10" s="111"/>
      <c r="P10" s="111"/>
      <c r="Q10" s="111"/>
      <c r="R10" s="111"/>
      <c r="S10" s="111">
        <v>269</v>
      </c>
      <c r="T10" s="111"/>
      <c r="U10" s="111"/>
      <c r="V10" s="111"/>
      <c r="W10" s="111"/>
      <c r="X10" s="111"/>
      <c r="Y10" s="111"/>
      <c r="Z10" s="111"/>
      <c r="AA10" s="112"/>
      <c r="AB10" s="128">
        <f t="shared" si="0"/>
        <v>1425</v>
      </c>
      <c r="AC10" s="117"/>
      <c r="AD10" s="163"/>
    </row>
    <row r="11" spans="1:52" ht="15.75">
      <c r="A11" s="105">
        <v>11</v>
      </c>
      <c r="B11" s="106" t="s">
        <v>4</v>
      </c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8"/>
      <c r="AB11" s="128">
        <f t="shared" si="0"/>
        <v>0</v>
      </c>
      <c r="AC11" s="117"/>
      <c r="AD11" s="163"/>
      <c r="AH11" s="160" t="s">
        <v>86</v>
      </c>
      <c r="AI11" s="160"/>
      <c r="AJ11" s="160"/>
      <c r="AK11" s="160"/>
      <c r="AL11" s="160"/>
    </row>
    <row r="12" spans="1:52" ht="15.75">
      <c r="A12" s="109">
        <v>12</v>
      </c>
      <c r="B12" s="110" t="s">
        <v>5</v>
      </c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2"/>
      <c r="AB12" s="128">
        <f t="shared" si="0"/>
        <v>0</v>
      </c>
      <c r="AC12" s="117"/>
      <c r="AD12" s="163"/>
      <c r="AH12" s="160"/>
      <c r="AI12" s="160"/>
      <c r="AJ12" s="160"/>
      <c r="AK12" s="160"/>
      <c r="AL12" s="160"/>
    </row>
    <row r="13" spans="1:52" ht="15.75">
      <c r="A13" s="105">
        <v>13</v>
      </c>
      <c r="B13" s="106" t="s">
        <v>6</v>
      </c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8"/>
      <c r="AB13" s="128">
        <f t="shared" si="0"/>
        <v>0</v>
      </c>
      <c r="AC13" s="117"/>
      <c r="AD13" s="163"/>
      <c r="AH13" s="160"/>
      <c r="AI13" s="160"/>
      <c r="AJ13" s="160"/>
      <c r="AK13" s="160"/>
      <c r="AL13" s="160"/>
    </row>
    <row r="14" spans="1:52" ht="18">
      <c r="A14" s="109">
        <v>14</v>
      </c>
      <c r="B14" s="110" t="s">
        <v>7</v>
      </c>
      <c r="C14" s="111"/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2"/>
      <c r="AB14" s="128">
        <f t="shared" si="0"/>
        <v>0</v>
      </c>
      <c r="AC14" s="117"/>
      <c r="AD14" s="163"/>
      <c r="AH14" s="159" t="s">
        <v>62</v>
      </c>
      <c r="AI14" s="159"/>
      <c r="AJ14" s="159"/>
      <c r="AK14" s="159"/>
      <c r="AL14" s="140">
        <f>AC4+AC19</f>
        <v>0</v>
      </c>
    </row>
    <row r="15" spans="1:52" ht="18">
      <c r="A15" s="105">
        <v>15</v>
      </c>
      <c r="B15" s="106" t="s">
        <v>8</v>
      </c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8"/>
      <c r="AB15" s="128">
        <f t="shared" si="0"/>
        <v>0</v>
      </c>
      <c r="AC15" s="118"/>
      <c r="AD15" s="163"/>
      <c r="AH15" s="159" t="s">
        <v>55</v>
      </c>
      <c r="AI15" s="159"/>
      <c r="AJ15" s="159"/>
      <c r="AK15" s="159"/>
      <c r="AL15" s="140">
        <f>AC28</f>
        <v>0</v>
      </c>
    </row>
    <row r="16" spans="1:52" ht="18">
      <c r="A16" s="109">
        <v>16</v>
      </c>
      <c r="B16" s="110" t="s">
        <v>2</v>
      </c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2"/>
      <c r="AB16" s="128">
        <f t="shared" si="0"/>
        <v>0</v>
      </c>
      <c r="AC16" s="117"/>
      <c r="AD16" s="163"/>
      <c r="AH16" s="159" t="s">
        <v>63</v>
      </c>
      <c r="AI16" s="159"/>
      <c r="AJ16" s="159"/>
      <c r="AK16" s="159"/>
      <c r="AL16" s="140">
        <f>AC20+AC35</f>
        <v>0</v>
      </c>
    </row>
    <row r="17" spans="1:38" ht="18">
      <c r="A17" s="105">
        <v>17</v>
      </c>
      <c r="B17" s="106" t="s">
        <v>3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8"/>
      <c r="AB17" s="128"/>
      <c r="AC17" s="118"/>
      <c r="AD17" s="138"/>
      <c r="AH17" s="139"/>
      <c r="AI17" s="139"/>
      <c r="AJ17" s="139"/>
      <c r="AK17" s="139"/>
      <c r="AL17" s="140"/>
    </row>
    <row r="18" spans="1:38" ht="19.5" customHeight="1">
      <c r="A18" s="171" t="s">
        <v>35</v>
      </c>
      <c r="B18" s="171"/>
      <c r="C18" s="113">
        <f>SUM(C4:C16)</f>
        <v>0</v>
      </c>
      <c r="D18" s="113">
        <f>SUM(D4:D16)</f>
        <v>318</v>
      </c>
      <c r="E18" s="113">
        <f>SUM(E4:E16)</f>
        <v>0</v>
      </c>
      <c r="F18" s="113">
        <f>SUM(F4:F16)</f>
        <v>3643</v>
      </c>
      <c r="G18" s="113">
        <f>SUM(G4:G16)</f>
        <v>1745</v>
      </c>
      <c r="H18" s="113">
        <f>SUM(H4:H16)</f>
        <v>310</v>
      </c>
      <c r="I18" s="113">
        <f>SUM(I4:I16)</f>
        <v>0</v>
      </c>
      <c r="J18" s="113">
        <f>SUM(J4:J16)</f>
        <v>0</v>
      </c>
      <c r="K18" s="113">
        <f>SUM(K4:K16)</f>
        <v>4720</v>
      </c>
      <c r="L18" s="114">
        <f>SUM(L4:L16)</f>
        <v>0</v>
      </c>
      <c r="M18" s="114">
        <f>SUM(M4:M16)</f>
        <v>1049</v>
      </c>
      <c r="N18" s="114">
        <f>SUM(N4:N16)</f>
        <v>700</v>
      </c>
      <c r="O18" s="114">
        <f>SUM(O4:O16)</f>
        <v>500</v>
      </c>
      <c r="P18" s="114">
        <f>SUM(P4:P16)</f>
        <v>0</v>
      </c>
      <c r="Q18" s="114">
        <f>SUM(Q4:Q16)</f>
        <v>0</v>
      </c>
      <c r="R18" s="115">
        <f>SUM(R4:R16)</f>
        <v>0</v>
      </c>
      <c r="S18" s="115">
        <f>SUM(S4:S16)</f>
        <v>575</v>
      </c>
      <c r="T18" s="115">
        <f>SUM(T4:T16)</f>
        <v>0</v>
      </c>
      <c r="U18" s="115">
        <f>SUM(U4:U16)</f>
        <v>0</v>
      </c>
      <c r="V18" s="115">
        <f>SUM(V4:V16)</f>
        <v>0</v>
      </c>
      <c r="W18" s="115">
        <f>SUM(W4:W16)</f>
        <v>4345</v>
      </c>
      <c r="X18" s="115">
        <f>SUM(X4:X16)</f>
        <v>0</v>
      </c>
      <c r="Y18" s="115">
        <f>SUM(Y4:Y16)</f>
        <v>0</v>
      </c>
      <c r="Z18" s="115">
        <f>SUM(Z4:Z16)</f>
        <v>0</v>
      </c>
      <c r="AA18" s="124">
        <f>SUM(AA4:AA16)</f>
        <v>0</v>
      </c>
      <c r="AB18" s="129">
        <f>SUM(AB4:AB16)</f>
        <v>17905</v>
      </c>
      <c r="AC18" s="130">
        <f>SUM(AC4:AC16)</f>
        <v>0</v>
      </c>
      <c r="AD18" s="133">
        <f>AC18-AB18</f>
        <v>-17905</v>
      </c>
      <c r="AH18" s="159" t="s">
        <v>82</v>
      </c>
      <c r="AI18" s="159"/>
      <c r="AJ18" s="159"/>
      <c r="AK18" s="159"/>
      <c r="AL18" s="140">
        <f>SUM(L37:Q37)</f>
        <v>2249</v>
      </c>
    </row>
    <row r="19" spans="1:38" ht="18">
      <c r="A19" s="109">
        <v>18</v>
      </c>
      <c r="B19" s="110" t="s">
        <v>4</v>
      </c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2"/>
      <c r="AB19" s="128">
        <f>SUM(C19:AA19)</f>
        <v>0</v>
      </c>
      <c r="AC19" s="118"/>
      <c r="AD19" s="163"/>
      <c r="AH19" s="159" t="s">
        <v>83</v>
      </c>
      <c r="AI19" s="159"/>
      <c r="AJ19" s="159"/>
      <c r="AK19" s="159"/>
      <c r="AL19" s="140">
        <f>W37</f>
        <v>4345</v>
      </c>
    </row>
    <row r="20" spans="1:38" ht="18">
      <c r="A20" s="105">
        <v>19</v>
      </c>
      <c r="B20" s="106" t="s">
        <v>5</v>
      </c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8"/>
      <c r="AB20" s="128">
        <f>SUM(C20:AA20)</f>
        <v>0</v>
      </c>
      <c r="AC20" s="117"/>
      <c r="AD20" s="163"/>
      <c r="AF20" s="44"/>
      <c r="AH20" s="159" t="s">
        <v>84</v>
      </c>
      <c r="AI20" s="159"/>
      <c r="AJ20" s="159"/>
      <c r="AK20" s="159"/>
      <c r="AL20" s="140">
        <f>SUM(U37:V37)</f>
        <v>0</v>
      </c>
    </row>
    <row r="21" spans="1:38" ht="18">
      <c r="A21" s="109">
        <v>20</v>
      </c>
      <c r="B21" s="110" t="s">
        <v>6</v>
      </c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2"/>
      <c r="AB21" s="128">
        <f t="shared" ref="AB21:AB35" si="1">SUM(C21:AA21)</f>
        <v>0</v>
      </c>
      <c r="AC21" s="117"/>
      <c r="AD21" s="163"/>
      <c r="AH21" s="159" t="s">
        <v>13</v>
      </c>
      <c r="AI21" s="159"/>
      <c r="AJ21" s="159"/>
      <c r="AK21" s="159"/>
      <c r="AL21" s="140">
        <f>T37</f>
        <v>0</v>
      </c>
    </row>
    <row r="22" spans="1:38" ht="18">
      <c r="A22" s="105">
        <v>21</v>
      </c>
      <c r="B22" s="106" t="s">
        <v>7</v>
      </c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8"/>
      <c r="AB22" s="128">
        <f t="shared" si="1"/>
        <v>0</v>
      </c>
      <c r="AC22" s="117"/>
      <c r="AD22" s="163"/>
      <c r="AH22" s="159" t="s">
        <v>85</v>
      </c>
      <c r="AI22" s="159"/>
      <c r="AJ22" s="159"/>
      <c r="AK22" s="159"/>
      <c r="AL22" s="140">
        <f>X37</f>
        <v>0</v>
      </c>
    </row>
    <row r="23" spans="1:38" ht="15.75">
      <c r="A23" s="109">
        <v>22</v>
      </c>
      <c r="B23" s="110" t="s">
        <v>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2"/>
      <c r="AB23" s="128">
        <f t="shared" si="1"/>
        <v>0</v>
      </c>
      <c r="AC23" s="117"/>
      <c r="AD23" s="163"/>
    </row>
    <row r="24" spans="1:38" ht="15.75">
      <c r="A24" s="105">
        <v>23</v>
      </c>
      <c r="B24" s="106" t="s">
        <v>2</v>
      </c>
      <c r="C24" s="107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8"/>
      <c r="AB24" s="128">
        <f t="shared" si="1"/>
        <v>0</v>
      </c>
      <c r="AC24" s="117"/>
      <c r="AD24" s="163"/>
    </row>
    <row r="25" spans="1:38" ht="15.75">
      <c r="A25" s="109">
        <v>24</v>
      </c>
      <c r="B25" s="110" t="s">
        <v>3</v>
      </c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2"/>
      <c r="AB25" s="128">
        <f t="shared" si="1"/>
        <v>0</v>
      </c>
      <c r="AC25" s="118"/>
      <c r="AD25" s="163"/>
    </row>
    <row r="26" spans="1:38" ht="15.75">
      <c r="A26" s="105">
        <v>25</v>
      </c>
      <c r="B26" s="106" t="s">
        <v>4</v>
      </c>
      <c r="C26" s="107"/>
      <c r="D26" s="107"/>
      <c r="E26" s="107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8"/>
      <c r="AB26" s="128">
        <f t="shared" si="1"/>
        <v>0</v>
      </c>
      <c r="AC26" s="117"/>
      <c r="AD26" s="163"/>
    </row>
    <row r="27" spans="1:38" ht="15.75">
      <c r="A27" s="109">
        <v>26</v>
      </c>
      <c r="B27" s="110" t="s">
        <v>5</v>
      </c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2"/>
      <c r="AB27" s="128">
        <f t="shared" si="1"/>
        <v>0</v>
      </c>
      <c r="AC27" s="117"/>
      <c r="AD27" s="163"/>
    </row>
    <row r="28" spans="1:38" ht="15.75">
      <c r="A28" s="105">
        <v>27</v>
      </c>
      <c r="B28" s="106" t="s">
        <v>6</v>
      </c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8"/>
      <c r="AB28" s="128">
        <f t="shared" si="1"/>
        <v>0</v>
      </c>
      <c r="AC28" s="117"/>
      <c r="AD28" s="163"/>
    </row>
    <row r="29" spans="1:38" ht="15.75">
      <c r="A29" s="109">
        <v>28</v>
      </c>
      <c r="B29" s="110" t="s">
        <v>7</v>
      </c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2"/>
      <c r="AB29" s="128">
        <f t="shared" si="1"/>
        <v>0</v>
      </c>
      <c r="AC29" s="117"/>
      <c r="AD29" s="163"/>
    </row>
    <row r="30" spans="1:38" ht="15.75">
      <c r="A30" s="105">
        <v>29</v>
      </c>
      <c r="B30" s="106" t="s">
        <v>8</v>
      </c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8"/>
      <c r="AB30" s="128">
        <f t="shared" si="1"/>
        <v>0</v>
      </c>
      <c r="AC30" s="117"/>
      <c r="AD30" s="163"/>
    </row>
    <row r="31" spans="1:38" ht="15.75">
      <c r="A31" s="109">
        <v>30</v>
      </c>
      <c r="B31" s="110" t="s">
        <v>2</v>
      </c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2"/>
      <c r="AB31" s="128">
        <f t="shared" si="1"/>
        <v>0</v>
      </c>
      <c r="AC31" s="117"/>
      <c r="AD31" s="163"/>
    </row>
    <row r="32" spans="1:38" ht="15.75">
      <c r="A32" s="105">
        <v>1</v>
      </c>
      <c r="B32" s="106" t="s">
        <v>3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8"/>
      <c r="AB32" s="128"/>
      <c r="AC32" s="117"/>
      <c r="AD32" s="163"/>
    </row>
    <row r="33" spans="1:30" ht="15.75">
      <c r="A33" s="109">
        <v>2</v>
      </c>
      <c r="B33" s="110" t="s">
        <v>4</v>
      </c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2"/>
      <c r="AB33" s="128"/>
      <c r="AC33" s="117"/>
      <c r="AD33" s="163"/>
    </row>
    <row r="34" spans="1:30" ht="15.75">
      <c r="A34" s="105">
        <v>3</v>
      </c>
      <c r="B34" s="106" t="s">
        <v>5</v>
      </c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8"/>
      <c r="AB34" s="128">
        <f t="shared" si="1"/>
        <v>0</v>
      </c>
      <c r="AC34" s="117"/>
      <c r="AD34" s="163"/>
    </row>
    <row r="35" spans="1:30" ht="15.75">
      <c r="A35" s="109">
        <v>4</v>
      </c>
      <c r="B35" s="110" t="s">
        <v>6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2"/>
      <c r="AB35" s="128">
        <f t="shared" si="1"/>
        <v>0</v>
      </c>
      <c r="AC35" s="117"/>
      <c r="AD35" s="163"/>
    </row>
    <row r="36" spans="1:30" ht="24" customHeight="1">
      <c r="A36" s="171" t="s">
        <v>36</v>
      </c>
      <c r="B36" s="171"/>
      <c r="C36" s="113">
        <f t="shared" ref="C36:AC36" si="2">SUM(C19:C35)</f>
        <v>0</v>
      </c>
      <c r="D36" s="113">
        <f t="shared" si="2"/>
        <v>0</v>
      </c>
      <c r="E36" s="113">
        <f t="shared" si="2"/>
        <v>0</v>
      </c>
      <c r="F36" s="113">
        <f t="shared" si="2"/>
        <v>0</v>
      </c>
      <c r="G36" s="113">
        <f t="shared" si="2"/>
        <v>0</v>
      </c>
      <c r="H36" s="113">
        <f t="shared" si="2"/>
        <v>0</v>
      </c>
      <c r="I36" s="113">
        <f t="shared" si="2"/>
        <v>0</v>
      </c>
      <c r="J36" s="113">
        <f t="shared" si="2"/>
        <v>0</v>
      </c>
      <c r="K36" s="113">
        <f t="shared" si="2"/>
        <v>0</v>
      </c>
      <c r="L36" s="114">
        <f t="shared" si="2"/>
        <v>0</v>
      </c>
      <c r="M36" s="114">
        <f t="shared" si="2"/>
        <v>0</v>
      </c>
      <c r="N36" s="114">
        <f t="shared" si="2"/>
        <v>0</v>
      </c>
      <c r="O36" s="114">
        <f t="shared" si="2"/>
        <v>0</v>
      </c>
      <c r="P36" s="114">
        <f t="shared" si="2"/>
        <v>0</v>
      </c>
      <c r="Q36" s="114">
        <f t="shared" si="2"/>
        <v>0</v>
      </c>
      <c r="R36" s="115">
        <f t="shared" si="2"/>
        <v>0</v>
      </c>
      <c r="S36" s="115">
        <f t="shared" si="2"/>
        <v>0</v>
      </c>
      <c r="T36" s="115">
        <f t="shared" si="2"/>
        <v>0</v>
      </c>
      <c r="U36" s="115">
        <f t="shared" si="2"/>
        <v>0</v>
      </c>
      <c r="V36" s="115">
        <f t="shared" si="2"/>
        <v>0</v>
      </c>
      <c r="W36" s="115">
        <f t="shared" si="2"/>
        <v>0</v>
      </c>
      <c r="X36" s="115">
        <f t="shared" si="2"/>
        <v>0</v>
      </c>
      <c r="Y36" s="115">
        <f t="shared" si="2"/>
        <v>0</v>
      </c>
      <c r="Z36" s="115">
        <f t="shared" si="2"/>
        <v>0</v>
      </c>
      <c r="AA36" s="124">
        <f t="shared" si="2"/>
        <v>0</v>
      </c>
      <c r="AB36" s="129">
        <f t="shared" si="2"/>
        <v>0</v>
      </c>
      <c r="AC36" s="130">
        <f t="shared" si="2"/>
        <v>0</v>
      </c>
      <c r="AD36" s="133">
        <f>AC36-AB36</f>
        <v>0</v>
      </c>
    </row>
    <row r="37" spans="1:30" ht="31.5" customHeight="1">
      <c r="A37" s="161" t="s">
        <v>37</v>
      </c>
      <c r="B37" s="161"/>
      <c r="C37" s="116">
        <f>SUM(C18,C36)</f>
        <v>0</v>
      </c>
      <c r="D37" s="116">
        <f>SUM(D18,D36)</f>
        <v>318</v>
      </c>
      <c r="E37" s="116">
        <f>SUM(E18,E36)</f>
        <v>0</v>
      </c>
      <c r="F37" s="116">
        <f>SUM(F18,F36)</f>
        <v>3643</v>
      </c>
      <c r="G37" s="116">
        <f>SUM(G18,G36)</f>
        <v>1745</v>
      </c>
      <c r="H37" s="116">
        <f>SUM(H18,H36)</f>
        <v>310</v>
      </c>
      <c r="I37" s="116">
        <f>SUM(I18,I36)</f>
        <v>0</v>
      </c>
      <c r="J37" s="116">
        <f>SUM(J18,J36)</f>
        <v>0</v>
      </c>
      <c r="K37" s="116">
        <f>SUM(K18,K36)</f>
        <v>4720</v>
      </c>
      <c r="L37" s="116">
        <f>SUM(L18,L36)</f>
        <v>0</v>
      </c>
      <c r="M37" s="116">
        <f>SUM(M18,M36)</f>
        <v>1049</v>
      </c>
      <c r="N37" s="116">
        <f>SUM(N18,N36)</f>
        <v>700</v>
      </c>
      <c r="O37" s="116">
        <f>SUM(O18,O36)</f>
        <v>500</v>
      </c>
      <c r="P37" s="116">
        <f>SUM(P18,P36)</f>
        <v>0</v>
      </c>
      <c r="Q37" s="116">
        <f>SUM(Q18,Q36)</f>
        <v>0</v>
      </c>
      <c r="R37" s="116">
        <f>SUM(R18,R36)</f>
        <v>0</v>
      </c>
      <c r="S37" s="116"/>
      <c r="T37" s="116">
        <f>SUM(T18,T36)</f>
        <v>0</v>
      </c>
      <c r="U37" s="116">
        <f>SUM(U18,U36)</f>
        <v>0</v>
      </c>
      <c r="V37" s="116">
        <f>SUM(V18,V36)</f>
        <v>0</v>
      </c>
      <c r="W37" s="116">
        <f>SUM(W18,W36)</f>
        <v>4345</v>
      </c>
      <c r="X37" s="116">
        <f>SUM(X18,X36)</f>
        <v>0</v>
      </c>
      <c r="Y37" s="116">
        <f>SUM(Y18,Y36)</f>
        <v>0</v>
      </c>
      <c r="Z37" s="116">
        <f>SUM(Z18,Z36)</f>
        <v>0</v>
      </c>
      <c r="AA37" s="125">
        <f>SUM(AA18,AA36)</f>
        <v>0</v>
      </c>
      <c r="AB37" s="131">
        <f>SUM(AB18,AB36)</f>
        <v>17905</v>
      </c>
      <c r="AC37" s="132">
        <f>SUM(AC18,AC36)</f>
        <v>0</v>
      </c>
      <c r="AD37" s="134">
        <f>SUM(AD18,AD36)</f>
        <v>-17905</v>
      </c>
    </row>
    <row r="41" spans="1:30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</sheetData>
  <mergeCells count="20">
    <mergeCell ref="A36:B36"/>
    <mergeCell ref="A37:B37"/>
    <mergeCell ref="A18:B18"/>
    <mergeCell ref="AH18:AK18"/>
    <mergeCell ref="AD19:AD35"/>
    <mergeCell ref="AH19:AK19"/>
    <mergeCell ref="AH20:AK20"/>
    <mergeCell ref="AH21:AK21"/>
    <mergeCell ref="AH22:AK22"/>
    <mergeCell ref="AD4:AD16"/>
    <mergeCell ref="AH11:AL13"/>
    <mergeCell ref="AH14:AK14"/>
    <mergeCell ref="AH15:AK15"/>
    <mergeCell ref="AH16:AK16"/>
    <mergeCell ref="A1:AD1"/>
    <mergeCell ref="A2:B2"/>
    <mergeCell ref="C2:K2"/>
    <mergeCell ref="L2:Q2"/>
    <mergeCell ref="R2:AA2"/>
    <mergeCell ref="AB2:AD2"/>
  </mergeCells>
  <conditionalFormatting sqref="AD36:AD37 AD18:AD19">
    <cfRule type="expression" dxfId="1" priority="1">
      <formula>AD18&lt;0</formula>
    </cfRule>
    <cfRule type="expression" dxfId="0" priority="2">
      <formula>AD18&gt;0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2026-09-10T12:57:28Z</dcterms:modified>
</cp:coreProperties>
</file>