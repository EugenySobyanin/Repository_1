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7"/>
  </bookViews>
  <sheets>
    <sheet name="Сводная" sheetId="5" r:id="rId1"/>
    <sheet name="Февраль 2026" sheetId="3" r:id="rId2"/>
    <sheet name="Март 2026" sheetId="1" r:id="rId3"/>
    <sheet name="Апрель 2026" sheetId="4" r:id="rId4"/>
    <sheet name="Май 2026" sheetId="6" r:id="rId5"/>
    <sheet name=" Июнь 2026" sheetId="7" r:id="rId6"/>
    <sheet name="Июль 2026" sheetId="8" r:id="rId7"/>
    <sheet name="Август 2026" sheetId="9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10" i="9" l="1"/>
  <c r="F11" i="9"/>
  <c r="U12" i="9"/>
  <c r="W12" i="9"/>
  <c r="I13" i="9"/>
  <c r="W13" i="9"/>
  <c r="W14" i="9"/>
  <c r="Q30" i="8"/>
  <c r="W30" i="8" s="1"/>
  <c r="F35" i="8"/>
  <c r="W35" i="8" s="1"/>
  <c r="N9" i="9"/>
  <c r="N19" i="9" s="1"/>
  <c r="W8" i="9"/>
  <c r="AB8" i="9" s="1"/>
  <c r="I7" i="9"/>
  <c r="AB7" i="9" s="1"/>
  <c r="L5" i="9"/>
  <c r="AB5" i="9" s="1"/>
  <c r="I4" i="9"/>
  <c r="AB4" i="9" s="1"/>
  <c r="AC4" i="9"/>
  <c r="AC19" i="9" s="1"/>
  <c r="AB22" i="9"/>
  <c r="AB23" i="9"/>
  <c r="AB24" i="9"/>
  <c r="AB25" i="9"/>
  <c r="AB26" i="9"/>
  <c r="AB27" i="9"/>
  <c r="AB28" i="9"/>
  <c r="AB29" i="9"/>
  <c r="AB30" i="9"/>
  <c r="AB31" i="9"/>
  <c r="AB32" i="9"/>
  <c r="AB33" i="9"/>
  <c r="AB34" i="9"/>
  <c r="AB35" i="9"/>
  <c r="AB21" i="9"/>
  <c r="AB20" i="9"/>
  <c r="S36" i="9"/>
  <c r="T36" i="9"/>
  <c r="U36" i="9"/>
  <c r="V36" i="9"/>
  <c r="W36" i="9"/>
  <c r="X36" i="9"/>
  <c r="Y36" i="9"/>
  <c r="Z36" i="9"/>
  <c r="AA36" i="9"/>
  <c r="R36" i="9"/>
  <c r="M36" i="9"/>
  <c r="N36" i="9"/>
  <c r="O36" i="9"/>
  <c r="P36" i="9"/>
  <c r="Q36" i="9"/>
  <c r="L36" i="9"/>
  <c r="D36" i="9"/>
  <c r="E36" i="9"/>
  <c r="F36" i="9"/>
  <c r="G36" i="9"/>
  <c r="H36" i="9"/>
  <c r="H37" i="9" s="1"/>
  <c r="I36" i="9"/>
  <c r="J36" i="9"/>
  <c r="K36" i="9"/>
  <c r="C36" i="9"/>
  <c r="AB6" i="9"/>
  <c r="AB9" i="9"/>
  <c r="AB10" i="9"/>
  <c r="AB11" i="9"/>
  <c r="AB12" i="9"/>
  <c r="AB13" i="9"/>
  <c r="AB14" i="9"/>
  <c r="AB15" i="9"/>
  <c r="AB16" i="9"/>
  <c r="AB17" i="9"/>
  <c r="AB18" i="9"/>
  <c r="D19" i="9"/>
  <c r="E19" i="9"/>
  <c r="F19" i="9"/>
  <c r="G19" i="9"/>
  <c r="H19" i="9"/>
  <c r="J19" i="9"/>
  <c r="K19" i="9"/>
  <c r="M19" i="9"/>
  <c r="O19" i="9"/>
  <c r="P19" i="9"/>
  <c r="Q19" i="9"/>
  <c r="R19" i="9"/>
  <c r="S19" i="9"/>
  <c r="T19" i="9"/>
  <c r="U19" i="9"/>
  <c r="V19" i="9"/>
  <c r="X19" i="9"/>
  <c r="Y19" i="9"/>
  <c r="Z19" i="9"/>
  <c r="AA19" i="9"/>
  <c r="C19" i="9"/>
  <c r="R37" i="9"/>
  <c r="AG13" i="8"/>
  <c r="AG12" i="8"/>
  <c r="Y37" i="8"/>
  <c r="X37" i="8"/>
  <c r="X20" i="8"/>
  <c r="X38" i="8" s="1"/>
  <c r="W22" i="8"/>
  <c r="W23" i="8"/>
  <c r="W24" i="8"/>
  <c r="W25" i="8"/>
  <c r="W26" i="8"/>
  <c r="W27" i="8"/>
  <c r="W29" i="8"/>
  <c r="W31" i="8"/>
  <c r="W32" i="8"/>
  <c r="W33" i="8"/>
  <c r="W34" i="8"/>
  <c r="W36" i="8"/>
  <c r="W21" i="8"/>
  <c r="Y3" i="8"/>
  <c r="AG11" i="8" s="1"/>
  <c r="O17" i="8"/>
  <c r="U17" i="8"/>
  <c r="C17" i="8"/>
  <c r="AC36" i="9"/>
  <c r="C22" i="8"/>
  <c r="O24" i="8"/>
  <c r="D25" i="8"/>
  <c r="T28" i="8"/>
  <c r="W28" i="8" s="1"/>
  <c r="Y20" i="8" l="1"/>
  <c r="W37" i="8"/>
  <c r="Z37" i="8" s="1"/>
  <c r="W19" i="9"/>
  <c r="W37" i="9" s="1"/>
  <c r="V37" i="9"/>
  <c r="L19" i="9"/>
  <c r="L37" i="9" s="1"/>
  <c r="I19" i="9"/>
  <c r="I37" i="9" s="1"/>
  <c r="AB36" i="9"/>
  <c r="AD36" i="9" s="1"/>
  <c r="U37" i="9"/>
  <c r="T37" i="9"/>
  <c r="M37" i="9"/>
  <c r="K37" i="9"/>
  <c r="F37" i="9"/>
  <c r="X37" i="9"/>
  <c r="Y37" i="9"/>
  <c r="J37" i="9"/>
  <c r="Z37" i="9"/>
  <c r="AA37" i="9"/>
  <c r="N37" i="9"/>
  <c r="AB19" i="9"/>
  <c r="AC37" i="9"/>
  <c r="C37" i="9"/>
  <c r="V19" i="8"/>
  <c r="Q15" i="8"/>
  <c r="C14" i="8"/>
  <c r="AD19" i="9" l="1"/>
  <c r="AD37" i="9" s="1"/>
  <c r="AB37" i="9"/>
  <c r="C3" i="8"/>
  <c r="L3" i="8"/>
  <c r="Q3" i="8"/>
  <c r="O4" i="8"/>
  <c r="H4" i="8"/>
  <c r="D4" i="8"/>
  <c r="C5" i="8"/>
  <c r="W5" i="8" s="1"/>
  <c r="C7" i="8"/>
  <c r="W7" i="8" s="1"/>
  <c r="Q8" i="8"/>
  <c r="W8" i="8" s="1"/>
  <c r="O10" i="8"/>
  <c r="W10" i="8" s="1"/>
  <c r="C11" i="8"/>
  <c r="W11" i="8" s="1"/>
  <c r="W6" i="8"/>
  <c r="W9" i="8"/>
  <c r="W12" i="8"/>
  <c r="W13" i="8"/>
  <c r="W14" i="8"/>
  <c r="W15" i="8"/>
  <c r="W16" i="8"/>
  <c r="W17" i="8"/>
  <c r="W18" i="8"/>
  <c r="W19" i="8"/>
  <c r="W3" i="8" l="1"/>
  <c r="W4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U20" i="8"/>
  <c r="T20" i="8"/>
  <c r="R20" i="8"/>
  <c r="Q20" i="8"/>
  <c r="O20" i="8"/>
  <c r="N20" i="8"/>
  <c r="M20" i="8"/>
  <c r="L20" i="8"/>
  <c r="K20" i="8"/>
  <c r="J20" i="8"/>
  <c r="I20" i="8"/>
  <c r="H20" i="8"/>
  <c r="G20" i="8"/>
  <c r="G38" i="8" s="1"/>
  <c r="E20" i="8"/>
  <c r="F20" i="8"/>
  <c r="D20" i="8"/>
  <c r="V20" i="8"/>
  <c r="S20" i="8"/>
  <c r="S38" i="8" s="1"/>
  <c r="C20" i="8"/>
  <c r="W20" i="8" l="1"/>
  <c r="Z20" i="8" s="1"/>
  <c r="Z38" i="8" s="1"/>
  <c r="F38" i="8"/>
  <c r="T38" i="8"/>
  <c r="E38" i="8"/>
  <c r="N38" i="8"/>
  <c r="M38" i="8"/>
  <c r="Q38" i="8"/>
  <c r="U38" i="8"/>
  <c r="O38" i="8"/>
  <c r="D38" i="8"/>
  <c r="C38" i="8"/>
  <c r="V38" i="8"/>
  <c r="L38" i="8"/>
  <c r="Y38" i="8"/>
  <c r="K38" i="8"/>
  <c r="I38" i="8"/>
  <c r="H38" i="8"/>
  <c r="J38" i="8"/>
  <c r="R38" i="8"/>
  <c r="P20" i="8"/>
  <c r="P38" i="8" s="1"/>
  <c r="C6" i="7"/>
  <c r="W6" i="7" s="1"/>
  <c r="F6" i="7"/>
  <c r="C5" i="7"/>
  <c r="W5" i="7" s="1"/>
  <c r="D4" i="7"/>
  <c r="D18" i="7" s="1"/>
  <c r="C3" i="7"/>
  <c r="H3" i="7"/>
  <c r="H18" i="7" s="1"/>
  <c r="H36" i="7" s="1"/>
  <c r="P7" i="7"/>
  <c r="W7" i="7" s="1"/>
  <c r="F8" i="7"/>
  <c r="N8" i="7"/>
  <c r="N18" i="7" s="1"/>
  <c r="O9" i="7"/>
  <c r="O18" i="7" s="1"/>
  <c r="C11" i="7"/>
  <c r="W11" i="7" s="1"/>
  <c r="P17" i="7"/>
  <c r="W17" i="7" s="1"/>
  <c r="O24" i="6"/>
  <c r="C24" i="6"/>
  <c r="V25" i="6"/>
  <c r="O25" i="6"/>
  <c r="C25" i="6"/>
  <c r="O27" i="6"/>
  <c r="S27" i="6"/>
  <c r="L28" i="6"/>
  <c r="H28" i="6"/>
  <c r="V28" i="6"/>
  <c r="C29" i="6"/>
  <c r="W29" i="6" s="1"/>
  <c r="C30" i="6"/>
  <c r="W30" i="6" s="1"/>
  <c r="N31" i="6"/>
  <c r="S31" i="6"/>
  <c r="V3" i="7"/>
  <c r="V18" i="7" s="1"/>
  <c r="S3" i="7"/>
  <c r="S18" i="7" s="1"/>
  <c r="X3" i="7"/>
  <c r="X18" i="7" s="1"/>
  <c r="X35" i="7"/>
  <c r="V35" i="7"/>
  <c r="U35" i="7"/>
  <c r="T35" i="7"/>
  <c r="S35" i="7"/>
  <c r="R35" i="7"/>
  <c r="Q35" i="7"/>
  <c r="P35" i="7"/>
  <c r="N35" i="7"/>
  <c r="M35" i="7"/>
  <c r="L35" i="7"/>
  <c r="K35" i="7"/>
  <c r="J35" i="7"/>
  <c r="G35" i="7"/>
  <c r="F35" i="7"/>
  <c r="E35" i="7"/>
  <c r="C35" i="7"/>
  <c r="W34" i="7"/>
  <c r="W33" i="7"/>
  <c r="W32" i="7"/>
  <c r="W31" i="7"/>
  <c r="W30" i="7"/>
  <c r="W29" i="7"/>
  <c r="W28" i="7"/>
  <c r="W27" i="7"/>
  <c r="W26" i="7"/>
  <c r="W25" i="7"/>
  <c r="W24" i="7"/>
  <c r="W23" i="7"/>
  <c r="W22" i="7"/>
  <c r="W21" i="7"/>
  <c r="I35" i="7"/>
  <c r="H35" i="7"/>
  <c r="W20" i="7"/>
  <c r="O35" i="7"/>
  <c r="D35" i="7"/>
  <c r="W19" i="7"/>
  <c r="U18" i="7"/>
  <c r="T18" i="7"/>
  <c r="R18" i="7"/>
  <c r="Q18" i="7"/>
  <c r="M18" i="7"/>
  <c r="L18" i="7"/>
  <c r="K18" i="7"/>
  <c r="J18" i="7"/>
  <c r="I18" i="7"/>
  <c r="G18" i="7"/>
  <c r="E18" i="7"/>
  <c r="W16" i="7"/>
  <c r="W15" i="7"/>
  <c r="W14" i="7"/>
  <c r="W13" i="7"/>
  <c r="W12" i="7"/>
  <c r="W10" i="7"/>
  <c r="T9" i="6"/>
  <c r="D9" i="6"/>
  <c r="C9" i="6"/>
  <c r="Q10" i="6"/>
  <c r="H11" i="6"/>
  <c r="C14" i="6"/>
  <c r="W22" i="6"/>
  <c r="W26" i="6"/>
  <c r="W32" i="6"/>
  <c r="W33" i="6"/>
  <c r="W34" i="6"/>
  <c r="W19" i="6"/>
  <c r="C23" i="6"/>
  <c r="W23" i="6" s="1"/>
  <c r="I21" i="6"/>
  <c r="H21" i="6"/>
  <c r="W21" i="6" s="1"/>
  <c r="O20" i="6"/>
  <c r="D20" i="6"/>
  <c r="W20" i="6" s="1"/>
  <c r="P18" i="7" l="1"/>
  <c r="F18" i="7"/>
  <c r="W9" i="7"/>
  <c r="W8" i="7"/>
  <c r="C18" i="7"/>
  <c r="AG15" i="8"/>
  <c r="W4" i="7"/>
  <c r="J36" i="7"/>
  <c r="K36" i="7"/>
  <c r="U36" i="7"/>
  <c r="N36" i="7"/>
  <c r="W24" i="6"/>
  <c r="W25" i="6"/>
  <c r="W27" i="6"/>
  <c r="W28" i="6"/>
  <c r="W31" i="6"/>
  <c r="V36" i="7"/>
  <c r="W3" i="7"/>
  <c r="W35" i="7"/>
  <c r="Y35" i="7" s="1"/>
  <c r="E36" i="7"/>
  <c r="G36" i="7"/>
  <c r="P36" i="7"/>
  <c r="T36" i="7"/>
  <c r="S36" i="7"/>
  <c r="R36" i="7"/>
  <c r="Q36" i="7"/>
  <c r="F36" i="7"/>
  <c r="C36" i="7"/>
  <c r="M36" i="7"/>
  <c r="I36" i="7"/>
  <c r="L36" i="7"/>
  <c r="O36" i="7"/>
  <c r="D36" i="7"/>
  <c r="X36" i="7"/>
  <c r="O6" i="6"/>
  <c r="C5" i="6"/>
  <c r="F5" i="6"/>
  <c r="F18" i="6" s="1"/>
  <c r="O4" i="6"/>
  <c r="H4" i="6"/>
  <c r="H18" i="6" s="1"/>
  <c r="P3" i="6"/>
  <c r="W7" i="6"/>
  <c r="W8" i="6"/>
  <c r="W9" i="6"/>
  <c r="W10" i="6"/>
  <c r="W11" i="6"/>
  <c r="W12" i="6"/>
  <c r="W13" i="6"/>
  <c r="W14" i="6"/>
  <c r="W15" i="6"/>
  <c r="W16" i="6"/>
  <c r="W17" i="6"/>
  <c r="S3" i="6"/>
  <c r="S18" i="6" s="1"/>
  <c r="S21" i="4"/>
  <c r="S36" i="4" s="1"/>
  <c r="D3" i="6"/>
  <c r="D18" i="6" s="1"/>
  <c r="H8" i="5"/>
  <c r="X35" i="6"/>
  <c r="V35" i="6"/>
  <c r="U35" i="6"/>
  <c r="T35" i="6"/>
  <c r="R35" i="6"/>
  <c r="Q35" i="6"/>
  <c r="P35" i="6"/>
  <c r="N35" i="6"/>
  <c r="M35" i="6"/>
  <c r="L35" i="6"/>
  <c r="K35" i="6"/>
  <c r="J35" i="6"/>
  <c r="I35" i="6"/>
  <c r="G35" i="6"/>
  <c r="F35" i="6"/>
  <c r="E35" i="6"/>
  <c r="D35" i="6"/>
  <c r="S35" i="6"/>
  <c r="X18" i="6"/>
  <c r="V18" i="6"/>
  <c r="U18" i="6"/>
  <c r="T18" i="6"/>
  <c r="R18" i="6"/>
  <c r="M18" i="6"/>
  <c r="L18" i="6"/>
  <c r="K18" i="6"/>
  <c r="J18" i="6"/>
  <c r="I18" i="6"/>
  <c r="G18" i="6"/>
  <c r="E18" i="6"/>
  <c r="N18" i="6"/>
  <c r="Q18" i="6"/>
  <c r="H31" i="4"/>
  <c r="H36" i="4" s="1"/>
  <c r="C31" i="4"/>
  <c r="C32" i="4"/>
  <c r="C33" i="4"/>
  <c r="C35" i="4"/>
  <c r="W35" i="4" s="1"/>
  <c r="H7" i="5"/>
  <c r="H6" i="5"/>
  <c r="O28" i="4"/>
  <c r="O29" i="4"/>
  <c r="X36" i="4"/>
  <c r="D36" i="4"/>
  <c r="E36" i="4"/>
  <c r="F36" i="4"/>
  <c r="G36" i="4"/>
  <c r="I36" i="4"/>
  <c r="J36" i="4"/>
  <c r="K36" i="4"/>
  <c r="L36" i="4"/>
  <c r="M36" i="4"/>
  <c r="N36" i="4"/>
  <c r="P36" i="4"/>
  <c r="Q36" i="4"/>
  <c r="R36" i="4"/>
  <c r="T36" i="4"/>
  <c r="U36" i="4"/>
  <c r="V36" i="4"/>
  <c r="X20" i="4"/>
  <c r="D20" i="4"/>
  <c r="E20" i="4"/>
  <c r="F20" i="4"/>
  <c r="G20" i="4"/>
  <c r="I20" i="4"/>
  <c r="J20" i="4"/>
  <c r="J37" i="4" s="1"/>
  <c r="K20" i="4"/>
  <c r="L20" i="4"/>
  <c r="L37" i="4" s="1"/>
  <c r="M20" i="4"/>
  <c r="R20" i="4"/>
  <c r="T20" i="4"/>
  <c r="U20" i="4"/>
  <c r="C18" i="4"/>
  <c r="C16" i="4"/>
  <c r="P6" i="4"/>
  <c r="P20" i="4" s="1"/>
  <c r="P7" i="4"/>
  <c r="C11" i="4"/>
  <c r="O11" i="4"/>
  <c r="O20" i="4" s="1"/>
  <c r="N11" i="4"/>
  <c r="N20" i="4" s="1"/>
  <c r="C12" i="4"/>
  <c r="W5" i="6" l="1"/>
  <c r="O18" i="6"/>
  <c r="W18" i="7"/>
  <c r="W6" i="6"/>
  <c r="W38" i="8"/>
  <c r="AG14" i="8" s="1"/>
  <c r="E37" i="4"/>
  <c r="M37" i="4"/>
  <c r="W4" i="6"/>
  <c r="W36" i="7"/>
  <c r="Y18" i="7"/>
  <c r="Y36" i="7" s="1"/>
  <c r="X36" i="6"/>
  <c r="W3" i="6"/>
  <c r="D37" i="4"/>
  <c r="X37" i="4"/>
  <c r="M36" i="6"/>
  <c r="Q36" i="6"/>
  <c r="L36" i="6"/>
  <c r="E36" i="6"/>
  <c r="D36" i="6"/>
  <c r="N36" i="6"/>
  <c r="R36" i="6"/>
  <c r="J36" i="6"/>
  <c r="I36" i="6"/>
  <c r="G36" i="6"/>
  <c r="F36" i="6"/>
  <c r="K36" i="6"/>
  <c r="C35" i="6"/>
  <c r="H35" i="6"/>
  <c r="H36" i="6" s="1"/>
  <c r="P18" i="6"/>
  <c r="P36" i="6" s="1"/>
  <c r="V36" i="6"/>
  <c r="C18" i="6"/>
  <c r="U36" i="6"/>
  <c r="T36" i="6"/>
  <c r="S36" i="6"/>
  <c r="O35" i="6"/>
  <c r="O36" i="6" s="1"/>
  <c r="C36" i="4"/>
  <c r="R37" i="4"/>
  <c r="T37" i="4"/>
  <c r="P37" i="4"/>
  <c r="U37" i="4"/>
  <c r="G37" i="4"/>
  <c r="N37" i="4"/>
  <c r="F37" i="4"/>
  <c r="K37" i="4"/>
  <c r="I37" i="4"/>
  <c r="O36" i="4"/>
  <c r="O37" i="4" s="1"/>
  <c r="C5" i="4"/>
  <c r="C4" i="4"/>
  <c r="C20" i="4" s="1"/>
  <c r="H4" i="4"/>
  <c r="H20" i="4" s="1"/>
  <c r="H37" i="4" s="1"/>
  <c r="C37" i="4" l="1"/>
  <c r="W18" i="6"/>
  <c r="W35" i="6"/>
  <c r="Y35" i="6" s="1"/>
  <c r="C36" i="6"/>
  <c r="V4" i="4"/>
  <c r="V20" i="4" s="1"/>
  <c r="V37" i="4" s="1"/>
  <c r="Q3" i="4"/>
  <c r="Q20" i="4" s="1"/>
  <c r="Q37" i="4" s="1"/>
  <c r="S3" i="4"/>
  <c r="S20" i="4" s="1"/>
  <c r="S37" i="4" s="1"/>
  <c r="W36" i="6" l="1"/>
  <c r="Y18" i="6"/>
  <c r="Y36" i="6" s="1"/>
  <c r="W33" i="4"/>
  <c r="W34" i="4"/>
  <c r="W32" i="4"/>
  <c r="W31" i="4"/>
  <c r="W30" i="4"/>
  <c r="W29" i="4"/>
  <c r="W28" i="4"/>
  <c r="W27" i="4"/>
  <c r="W26" i="4"/>
  <c r="W25" i="4"/>
  <c r="W24" i="4"/>
  <c r="W23" i="4"/>
  <c r="W22" i="4"/>
  <c r="W21" i="4"/>
  <c r="W19" i="4"/>
  <c r="W18" i="4"/>
  <c r="W17" i="4"/>
  <c r="W16" i="4"/>
  <c r="W15" i="4"/>
  <c r="W14" i="4"/>
  <c r="W13" i="4"/>
  <c r="W12" i="4"/>
  <c r="W11" i="4"/>
  <c r="W10" i="4"/>
  <c r="W9" i="4"/>
  <c r="W8" i="4"/>
  <c r="W7" i="4"/>
  <c r="W6" i="4"/>
  <c r="W5" i="4"/>
  <c r="W4" i="4"/>
  <c r="W3" i="4"/>
  <c r="F28" i="1"/>
  <c r="N27" i="1"/>
  <c r="C27" i="1"/>
  <c r="N25" i="1"/>
  <c r="N23" i="1"/>
  <c r="F23" i="1"/>
  <c r="C23" i="1"/>
  <c r="C20" i="1"/>
  <c r="C19" i="1"/>
  <c r="R19" i="1"/>
  <c r="C18" i="1"/>
  <c r="N17" i="1"/>
  <c r="F16" i="1"/>
  <c r="F14" i="1"/>
  <c r="C13" i="1"/>
  <c r="N11" i="1"/>
  <c r="F11" i="1"/>
  <c r="G10" i="1"/>
  <c r="S10" i="1"/>
  <c r="F10" i="1"/>
  <c r="F9" i="1"/>
  <c r="C6" i="1"/>
  <c r="D32" i="1"/>
  <c r="E32" i="1"/>
  <c r="I32" i="1"/>
  <c r="J32" i="1"/>
  <c r="K32" i="1"/>
  <c r="L32" i="1"/>
  <c r="M32" i="1"/>
  <c r="O32" i="1"/>
  <c r="P32" i="1"/>
  <c r="Q32" i="1"/>
  <c r="T32" i="1"/>
  <c r="U32" i="1"/>
  <c r="V30" i="1"/>
  <c r="V31" i="1"/>
  <c r="W20" i="4" l="1"/>
  <c r="Y20" i="4" s="1"/>
  <c r="W36" i="4"/>
  <c r="F32" i="1"/>
  <c r="R5" i="1"/>
  <c r="R32" i="1" s="1"/>
  <c r="G5" i="1"/>
  <c r="W37" i="4" l="1"/>
  <c r="Y36" i="4"/>
  <c r="Y37" i="4" s="1"/>
  <c r="N4" i="1"/>
  <c r="N32" i="1" s="1"/>
  <c r="S4" i="1"/>
  <c r="C3" i="1"/>
  <c r="V3" i="1" s="1"/>
  <c r="H32" i="1"/>
  <c r="G32" i="1"/>
  <c r="S27" i="3"/>
  <c r="F28" i="3"/>
  <c r="V5" i="1"/>
  <c r="V6" i="1"/>
  <c r="V7" i="1"/>
  <c r="V8" i="1"/>
  <c r="V9" i="1"/>
  <c r="V10" i="1"/>
  <c r="V11" i="1"/>
  <c r="V12" i="1"/>
  <c r="V13" i="1"/>
  <c r="V14" i="1"/>
  <c r="V15" i="1"/>
  <c r="V16" i="1"/>
  <c r="V18" i="1"/>
  <c r="V19" i="1"/>
  <c r="V20" i="1"/>
  <c r="V21" i="1"/>
  <c r="V22" i="1"/>
  <c r="V23" i="1"/>
  <c r="V24" i="1"/>
  <c r="V25" i="1"/>
  <c r="V26" i="1"/>
  <c r="V27" i="1"/>
  <c r="V28" i="1"/>
  <c r="V29" i="1"/>
  <c r="V4" i="1" l="1"/>
  <c r="S32" i="1"/>
  <c r="C32" i="1"/>
  <c r="W32" i="1"/>
  <c r="F23" i="3"/>
  <c r="S23" i="3"/>
  <c r="N23" i="3"/>
  <c r="N24" i="3"/>
  <c r="U25" i="3"/>
  <c r="N25" i="3"/>
  <c r="N26" i="3"/>
  <c r="L26" i="3"/>
  <c r="F31" i="3"/>
  <c r="C20" i="3"/>
  <c r="G19" i="3"/>
  <c r="V17" i="1" l="1"/>
  <c r="V32" i="1" s="1"/>
  <c r="X32" i="1" s="1"/>
  <c r="V19" i="3"/>
  <c r="V20" i="3"/>
  <c r="V21" i="3"/>
  <c r="V22" i="3"/>
  <c r="V23" i="3"/>
  <c r="V24" i="3"/>
  <c r="V25" i="3"/>
  <c r="V26" i="3"/>
  <c r="V27" i="3"/>
  <c r="V28" i="3"/>
  <c r="V29" i="3"/>
  <c r="V30" i="3"/>
  <c r="V7" i="3"/>
  <c r="V8" i="3"/>
  <c r="V9" i="3"/>
  <c r="V10" i="3"/>
  <c r="V14" i="3"/>
  <c r="V15" i="3"/>
  <c r="V16" i="3"/>
  <c r="V17" i="3"/>
  <c r="E31" i="3"/>
  <c r="H31" i="3"/>
  <c r="I31" i="3"/>
  <c r="J31" i="3"/>
  <c r="K31" i="3"/>
  <c r="L31" i="3"/>
  <c r="M31" i="3"/>
  <c r="O31" i="3"/>
  <c r="Q31" i="3"/>
  <c r="R31" i="3"/>
  <c r="S31" i="3"/>
  <c r="T31" i="3"/>
  <c r="U31" i="3"/>
  <c r="N18" i="3"/>
  <c r="V18" i="3" s="1"/>
  <c r="W18" i="3"/>
  <c r="W31" i="3" s="1"/>
  <c r="C13" i="3"/>
  <c r="V13" i="3" s="1"/>
  <c r="P12" i="3"/>
  <c r="N12" i="3"/>
  <c r="D12" i="3"/>
  <c r="D31" i="3" s="1"/>
  <c r="C12" i="3"/>
  <c r="P11" i="3"/>
  <c r="G11" i="3"/>
  <c r="G31" i="3" s="1"/>
  <c r="C11" i="3"/>
  <c r="N6" i="3"/>
  <c r="V6" i="3" s="1"/>
  <c r="N5" i="3"/>
  <c r="V5" i="3" s="1"/>
  <c r="N4" i="3"/>
  <c r="C3" i="3"/>
  <c r="V3" i="3" s="1"/>
  <c r="V12" i="3" l="1"/>
  <c r="P31" i="3"/>
  <c r="N31" i="3"/>
  <c r="C31" i="3"/>
  <c r="V11" i="3"/>
  <c r="V4" i="3"/>
  <c r="X30" i="3"/>
  <c r="V31" i="3" l="1"/>
  <c r="X31" i="3" s="1"/>
  <c r="X17" i="3"/>
</calcChain>
</file>

<file path=xl/comments1.xml><?xml version="1.0" encoding="utf-8"?>
<comments xmlns="http://schemas.openxmlformats.org/spreadsheetml/2006/main">
  <authors>
    <author>Автор</author>
  </authors>
  <commentList>
    <comment ref="S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Дубликат ключей</t>
        </r>
      </text>
    </comment>
    <comment ref="P2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Левомеколь</t>
        </r>
      </text>
    </comment>
    <comment ref="H2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J2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Газпром</t>
        </r>
      </text>
    </comment>
    <comment ref="J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Росатом Энергосбыт</t>
        </r>
      </text>
    </comment>
    <comment ref="L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Галстук + Брюки</t>
        </r>
      </text>
    </comment>
    <comment ref="P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Торт Мишутка</t>
        </r>
      </text>
    </comment>
    <comment ref="J2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R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S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8 марта</t>
        </r>
      </text>
    </comment>
    <comment ref="G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</t>
        </r>
      </text>
    </comment>
    <comment ref="P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8 марта</t>
        </r>
      </text>
    </comment>
    <comment ref="P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 на 8 марта
</t>
        </r>
      </text>
    </comment>
    <comment ref="S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Лампочки в ванную</t>
        </r>
      </text>
    </comment>
    <comment ref="A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S1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Влажные салфетки</t>
        </r>
      </text>
    </comment>
    <comment ref="R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
</t>
        </r>
      </text>
    </comment>
    <comment ref="S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Постельное белье</t>
        </r>
      </text>
    </comment>
    <comment ref="S2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Подарки Климу и Адольфу на др</t>
        </r>
      </text>
    </comment>
    <comment ref="T2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Наташе на ДР</t>
        </r>
      </text>
    </comment>
    <comment ref="S2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Подарочные пакеты</t>
        </r>
      </text>
    </comment>
    <comment ref="S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
Пальто + Цветы</t>
        </r>
      </text>
    </comment>
    <comment ref="S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 + яндекс плюс
</t>
        </r>
      </text>
    </comment>
    <comment ref="T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 + штрафы за парковку
</t>
        </r>
      </text>
    </comment>
    <comment ref="U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Проиграл маме в теннис</t>
        </r>
      </text>
    </comment>
    <comment ref="H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 и макдак</t>
        </r>
      </text>
    </comment>
    <comment ref="K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УК Эталон</t>
        </r>
      </text>
    </comment>
    <comment ref="N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Уролог</t>
        </r>
      </text>
    </comment>
    <comment ref="Q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Сдек за пальто
</t>
        </r>
      </text>
    </comment>
    <comment ref="S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сотовую связь
</t>
        </r>
      </text>
    </comment>
    <comment ref="U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Плата за 2sub на 3 месяца
</t>
        </r>
      </text>
    </comment>
    <comment ref="V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</t>
        </r>
      </text>
    </comment>
    <comment ref="I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S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K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 и мусор
</t>
        </r>
      </text>
    </comment>
    <comment ref="S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
</t>
        </r>
      </text>
    </comment>
    <comment ref="H8" authorId="0" shapeId="0">
      <text>
        <r>
          <rPr>
            <b/>
            <sz val="9"/>
            <color indexed="81"/>
            <rFont val="Tahoma"/>
            <family val="2"/>
            <charset val="204"/>
          </rPr>
          <t xml:space="preserve">круасан в пекарне
</t>
        </r>
      </text>
    </comment>
    <comment ref="E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
</t>
        </r>
      </text>
    </comment>
    <comment ref="X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
</t>
        </r>
      </text>
    </comment>
    <comment ref="X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</t>
        </r>
      </text>
    </comment>
    <comment ref="H1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  <charset val="204"/>
          </rPr>
          <t xml:space="preserve">ВАФЕЛ
</t>
        </r>
      </text>
    </comment>
    <comment ref="T15" authorId="0" shapeId="0">
      <text>
        <r>
          <rPr>
            <sz val="9"/>
            <color indexed="81"/>
            <rFont val="Tahoma"/>
            <family val="2"/>
            <charset val="204"/>
          </rPr>
          <t xml:space="preserve">Гель для душа и журнал
</t>
        </r>
      </text>
    </comment>
    <comment ref="E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Q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роллы</t>
        </r>
      </text>
    </comment>
    <comment ref="S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S2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
</t>
        </r>
      </text>
    </comment>
    <comment ref="T2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Книга про стиль</t>
        </r>
      </text>
    </comment>
    <comment ref="F2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H2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T2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Журналы Чтиво и Книга про вино</t>
        </r>
      </text>
    </comment>
    <comment ref="E2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
</t>
        </r>
      </text>
    </comment>
    <comment ref="F2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
</t>
        </r>
      </text>
    </comment>
    <comment ref="E2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До-до пицца
</t>
        </r>
      </text>
    </comment>
    <comment ref="H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S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F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X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долг у бати</t>
        </r>
      </text>
    </comment>
    <comment ref="H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Брэкфаст бенд</t>
        </r>
      </text>
    </comment>
    <comment ref="S3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долг у мамы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S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музыка, белье, сотовая связь</t>
        </r>
      </text>
    </comment>
    <comment ref="T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H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гиннес на обед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H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Друзья</t>
        </r>
      </text>
    </comment>
    <comment ref="K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Вода, мусор</t>
        </r>
      </text>
    </comment>
    <comment ref="X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якобы за впн, кинопоиск и бензин</t>
        </r>
      </text>
    </comment>
    <comment ref="K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  <comment ref="K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Электроэнергия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 мясо
</t>
        </r>
      </text>
    </comment>
    <comment ref="H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Чикен хаус</t>
        </r>
      </text>
    </comment>
    <comment ref="H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
</t>
        </r>
      </text>
    </comment>
    <comment ref="Q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Сиги</t>
        </r>
      </text>
    </comment>
    <comment ref="S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T2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
</t>
        </r>
      </text>
    </comment>
    <comment ref="H2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 + Мяуча</t>
        </r>
      </text>
    </comment>
    <comment ref="T2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
</t>
        </r>
      </text>
    </comment>
    <comment ref="X2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бенз</t>
        </r>
      </text>
    </comment>
    <comment ref="J2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Рыбалка</t>
        </r>
      </text>
    </comment>
    <comment ref="S2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Теле 2</t>
        </r>
      </text>
    </comment>
    <comment ref="V2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Журнальчики</t>
        </r>
      </text>
    </comment>
    <comment ref="H2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2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V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
</t>
        </r>
      </text>
    </comment>
    <comment ref="X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E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X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S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 + доля за орнамент</t>
        </r>
      </text>
    </comment>
    <comment ref="S3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на бензин, впн, кинопоиск
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F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H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БК</t>
        </r>
      </text>
    </comment>
    <comment ref="S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T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Чурсанову на шары на др</t>
        </r>
      </text>
    </comment>
    <comment ref="V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</t>
        </r>
      </text>
    </comment>
    <comment ref="H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 и поке</t>
        </r>
      </text>
    </comment>
    <comment ref="N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к Паньшину</t>
        </r>
      </text>
    </comment>
    <comment ref="Q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Снял в банкомате и отдал Ане</t>
        </r>
      </text>
    </comment>
    <comment ref="S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Теле2</t>
        </r>
      </text>
    </comment>
    <comment ref="H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1/2</t>
        </r>
      </text>
    </comment>
    <comment ref="T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помню, что это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</t>
        </r>
      </text>
    </comment>
    <comment ref="H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Вкусно и Точка</t>
        </r>
      </text>
    </comment>
    <comment ref="T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 на что</t>
        </r>
      </text>
    </comment>
    <comment ref="Q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F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 мясо и бабл ти</t>
        </r>
      </text>
    </comment>
    <comment ref="Q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</t>
        </r>
      </text>
    </comment>
    <comment ref="S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ми за журнальчик</t>
        </r>
      </text>
    </comment>
    <comment ref="Q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X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Батя дал на таблетки</t>
        </r>
      </text>
    </comment>
    <comment ref="E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E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I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Игристое для посиделок с Гогой и Владой</t>
        </r>
      </text>
    </comment>
    <comment ref="Q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
</t>
        </r>
      </text>
    </comment>
    <comment ref="Q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</t>
        </r>
      </text>
    </comment>
    <comment ref="S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Долямми за журнальчик</t>
        </r>
      </text>
    </comment>
    <comment ref="X1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X1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Ане (дала в долг)</t>
        </r>
      </text>
    </comment>
    <comment ref="H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
</t>
        </r>
      </text>
    </comment>
    <comment ref="S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T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Кофе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N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Удаление кондиломы</t>
        </r>
      </text>
    </comment>
  </commentList>
</comments>
</file>

<file path=xl/comments6.xml><?xml version="1.0" encoding="utf-8"?>
<comments xmlns="http://schemas.openxmlformats.org/spreadsheetml/2006/main">
  <authors>
    <author>Автор</author>
  </authors>
  <commentList>
    <comment ref="Q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Компенсация за ВПЧ
</t>
        </r>
      </text>
    </comment>
    <comment ref="S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H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Завтрак в 1/2</t>
        </r>
      </text>
    </comment>
    <comment ref="S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V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Покупка ЧТИВО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Q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 + бабл ти
</t>
        </r>
      </text>
    </comment>
    <comment ref="S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за орнамент
</t>
        </r>
      </text>
    </comment>
    <comment ref="S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T2</t>
        </r>
      </text>
    </comment>
    <comment ref="E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S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Q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Ане на таблетки</t>
        </r>
      </text>
    </comment>
    <comment ref="Q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Извинительный букет
</t>
        </r>
      </text>
    </comment>
    <comment ref="S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- за журнальчик орнамент</t>
        </r>
      </text>
    </comment>
    <comment ref="Y1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Премия
</t>
        </r>
      </text>
    </comment>
    <comment ref="Q1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такси + вино</t>
        </r>
      </text>
    </comment>
    <comment ref="S1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t2</t>
        </r>
      </text>
    </comment>
    <comment ref="E1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F1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Обед</t>
        </r>
      </text>
    </comment>
    <comment ref="M1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Отказ на ламоде
</t>
        </r>
      </text>
    </comment>
    <comment ref="T16" authorId="0" shapeId="0">
      <text>
        <r>
          <rPr>
            <b/>
            <sz val="9"/>
            <color indexed="81"/>
            <rFont val="Tahoma"/>
            <family val="2"/>
            <charset val="204"/>
          </rPr>
          <t>Парикмахерская</t>
        </r>
      </text>
    </comment>
    <comment ref="M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Рубашка Henderson</t>
        </r>
      </text>
    </comment>
    <comment ref="S17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Интернет</t>
        </r>
      </text>
    </comment>
    <comment ref="T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Средства для волос</t>
        </r>
      </text>
    </comment>
    <comment ref="U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Простава на работе в связи с уходом из отдела</t>
        </r>
      </text>
    </comment>
    <comment ref="Y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скинула на МСК</t>
        </r>
      </text>
    </comment>
    <comment ref="S18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U18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Подарок Кулику</t>
        </r>
      </text>
    </comment>
    <comment ref="E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V19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Поездка в МСК к Кулику на ДР</t>
        </r>
      </text>
    </comment>
    <comment ref="Y19" authorId="0" shapeId="0">
      <text>
        <r>
          <rPr>
            <b/>
            <sz val="9"/>
            <color indexed="81"/>
            <rFont val="Tahoma"/>
            <family val="2"/>
            <charset val="204"/>
          </rPr>
          <t>Батя скинул, когда были в МСК</t>
        </r>
      </text>
    </comment>
    <comment ref="F2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 и ПОКЕ</t>
        </r>
      </text>
    </comment>
    <comment ref="T2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КНИГИ
</t>
        </r>
      </text>
    </comment>
    <comment ref="F2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</t>
        </r>
      </text>
    </comment>
    <comment ref="S2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за орнамент</t>
        </r>
      </text>
    </comment>
    <comment ref="F2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 и БАБЛ ТИ</t>
        </r>
      </text>
    </comment>
    <comment ref="H2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Вкусно и Точка</t>
        </r>
      </text>
    </comment>
    <comment ref="V2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Пейнтбол</t>
        </r>
      </text>
    </comment>
    <comment ref="E2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V2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Книги по строительству</t>
        </r>
      </text>
    </comment>
    <comment ref="Y2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 на ДР</t>
        </r>
      </text>
    </comment>
    <comment ref="S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Ппюс</t>
        </r>
      </text>
    </comment>
    <comment ref="T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Простава на работе</t>
        </r>
      </text>
    </comment>
    <comment ref="Q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Завтрак для Ани</t>
        </r>
      </text>
    </comment>
    <comment ref="F30" authorId="0" shapeId="0">
      <text>
        <r>
          <rPr>
            <sz val="9"/>
            <color indexed="81"/>
            <rFont val="Tahoma"/>
            <charset val="1"/>
          </rPr>
          <t xml:space="preserve">Промясо
</t>
        </r>
      </text>
    </comment>
    <comment ref="Q30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 такси и еще на что-то</t>
        </r>
      </text>
    </comment>
    <comment ref="Y33" authorId="0" shapeId="0">
      <text>
        <r>
          <rPr>
            <sz val="9"/>
            <color indexed="81"/>
            <rFont val="Tahoma"/>
            <charset val="1"/>
          </rPr>
          <t xml:space="preserve">Взял в долг у мамы.
ЭТОТ ДОЛГ Я ОТДАЛ
</t>
        </r>
      </text>
    </comment>
    <comment ref="S34" authorId="0" shapeId="0">
      <text>
        <r>
          <rPr>
            <b/>
            <sz val="9"/>
            <color indexed="81"/>
            <rFont val="Tahoma"/>
            <charset val="1"/>
          </rPr>
          <t xml:space="preserve">Яндекс Плюс
</t>
        </r>
      </text>
    </comment>
    <comment ref="T34" authorId="0" shapeId="0">
      <text>
        <r>
          <rPr>
            <b/>
            <sz val="9"/>
            <color indexed="81"/>
            <rFont val="Tahoma"/>
            <charset val="1"/>
          </rPr>
          <t>t2</t>
        </r>
      </text>
    </comment>
    <comment ref="E35" authorId="0" shapeId="0">
      <text>
        <r>
          <rPr>
            <b/>
            <sz val="9"/>
            <color indexed="81"/>
            <rFont val="Tahoma"/>
            <charset val="1"/>
          </rPr>
          <t>Яндекс лавка</t>
        </r>
      </text>
    </comment>
    <comment ref="F35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Феличита в обед</t>
        </r>
      </text>
    </comment>
    <comment ref="S35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Литрес
</t>
        </r>
      </text>
    </comment>
    <comment ref="H36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Феличита после работы</t>
        </r>
      </text>
    </comment>
    <comment ref="S36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ВК музыка</t>
        </r>
      </text>
    </comment>
  </commentList>
</comments>
</file>

<file path=xl/comments7.xml><?xml version="1.0" encoding="utf-8"?>
<comments xmlns="http://schemas.openxmlformats.org/spreadsheetml/2006/main">
  <authors>
    <author>Автор</author>
  </authors>
  <commentList>
    <comment ref="I4" authorId="0" shapeId="0">
      <text>
        <r>
          <rPr>
            <b/>
            <sz val="9"/>
            <color indexed="81"/>
            <rFont val="Tahoma"/>
            <family val="2"/>
            <charset val="204"/>
          </rPr>
          <t>Поход в Ла джорджию</t>
        </r>
      </text>
    </comment>
    <comment ref="O4" authorId="0" shapeId="0">
      <text>
        <r>
          <rPr>
            <sz val="9"/>
            <color indexed="81"/>
            <rFont val="Tahoma"/>
            <family val="2"/>
            <charset val="204"/>
          </rPr>
          <t>t2</t>
        </r>
      </text>
    </comment>
    <comment ref="P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Вернул маме долг
</t>
        </r>
      </text>
    </comment>
    <comment ref="X4" authorId="0" shapeId="0">
      <text>
        <r>
          <rPr>
            <sz val="9"/>
            <color indexed="81"/>
            <rFont val="Tahoma"/>
            <family val="2"/>
            <charset val="204"/>
          </rPr>
          <t xml:space="preserve">Купил на озоне 3 двд диска.
</t>
        </r>
      </text>
    </comment>
    <comment ref="L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1. 5 748,49 - УК Эталон
2. 2 803,26 - Росатом (электричество)
3. 2 329,44 - ЕРК (вода)</t>
        </r>
      </text>
    </comment>
    <comment ref="Q5" authorId="0" shapeId="0">
      <text>
        <r>
          <rPr>
            <sz val="9"/>
            <color indexed="81"/>
            <rFont val="Tahoma"/>
            <family val="2"/>
            <charset val="204"/>
          </rPr>
          <t xml:space="preserve">Плата за сантехника
</t>
        </r>
      </text>
    </comment>
    <comment ref="W5" authorId="0" shapeId="0">
      <text>
        <r>
          <rPr>
            <sz val="9"/>
            <color indexed="81"/>
            <rFont val="Tahoma"/>
            <family val="2"/>
            <charset val="204"/>
          </rPr>
          <t xml:space="preserve">Перевел за такси (она сама попросила)
</t>
        </r>
      </text>
    </comment>
    <comment ref="J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I7" authorId="0" shapeId="0">
      <text>
        <r>
          <rPr>
            <b/>
            <sz val="9"/>
            <color indexed="81"/>
            <rFont val="Tahoma"/>
            <family val="2"/>
            <charset val="204"/>
          </rPr>
          <t>Вьет Кук</t>
        </r>
      </text>
    </comment>
    <comment ref="J7" authorId="0" shapeId="0">
      <text>
        <r>
          <rPr>
            <b/>
            <sz val="9"/>
            <color indexed="81"/>
            <rFont val="Tahoma"/>
            <family val="2"/>
            <charset val="204"/>
          </rPr>
          <t>Смузи и лимонад в окошке в боне</t>
        </r>
      </text>
    </comment>
    <comment ref="O7" authorId="0" shapeId="0">
      <text>
        <r>
          <rPr>
            <sz val="9"/>
            <color indexed="81"/>
            <rFont val="Tahoma"/>
            <family val="2"/>
            <charset val="204"/>
          </rPr>
          <t xml:space="preserve">t2
</t>
        </r>
      </text>
    </comment>
    <comment ref="Z7" authorId="0" shapeId="0">
      <text>
        <r>
          <rPr>
            <b/>
            <sz val="9"/>
            <color indexed="81"/>
            <rFont val="Tahoma"/>
            <family val="2"/>
            <charset val="204"/>
          </rPr>
          <t>Билеты в IMAX в химках</t>
        </r>
      </text>
    </comment>
    <comment ref="J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W8" authorId="0" shapeId="0">
      <text>
        <r>
          <rPr>
            <b/>
            <sz val="9"/>
            <color indexed="81"/>
            <rFont val="Tahoma"/>
            <family val="2"/>
            <charset val="204"/>
          </rPr>
          <t>Ане на такси + торт + билеты в театр + вино + цветы</t>
        </r>
      </text>
    </comment>
    <comment ref="N9" authorId="0" shapeId="0">
      <text>
        <r>
          <rPr>
            <sz val="9"/>
            <color indexed="81"/>
            <rFont val="Tahoma"/>
            <family val="2"/>
            <charset val="204"/>
          </rPr>
          <t xml:space="preserve">t2 + впн
</t>
        </r>
      </text>
    </comment>
    <comment ref="P9" authorId="0" shapeId="0">
      <text>
        <r>
          <rPr>
            <sz val="9"/>
            <color indexed="81"/>
            <rFont val="Tahoma"/>
            <family val="2"/>
            <charset val="204"/>
          </rPr>
          <t xml:space="preserve">Илюхе за пейнтбол
</t>
        </r>
      </text>
    </comment>
    <comment ref="Q10" authorId="0" shapeId="0">
      <text>
        <r>
          <rPr>
            <sz val="9"/>
            <color indexed="81"/>
            <rFont val="Tahoma"/>
            <charset val="1"/>
          </rPr>
          <t xml:space="preserve">Сдал на ДР БГ
</t>
        </r>
      </text>
    </comment>
    <comment ref="W10" authorId="0" shapeId="0">
      <text>
        <r>
          <rPr>
            <sz val="9"/>
            <color indexed="81"/>
            <rFont val="Tahoma"/>
            <charset val="1"/>
          </rPr>
          <t xml:space="preserve">поке и бабл ти
</t>
        </r>
      </text>
    </comment>
    <comment ref="X10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Списали на долбанном сайте для редактирования картинок с помощью ИИ</t>
        </r>
      </text>
    </comment>
    <comment ref="W11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 такси
</t>
        </r>
      </text>
    </comment>
    <comment ref="K12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Лапшичка</t>
        </r>
      </text>
    </comment>
    <comment ref="W12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Книга + ягоды во вкусвилле + поке и бабл ти</t>
        </r>
      </text>
    </comment>
    <comment ref="I13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Обед в феличите</t>
        </r>
      </text>
    </comment>
    <comment ref="W13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Цветы + такси</t>
        </r>
      </text>
    </comment>
    <comment ref="W1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Вино для Ани с Фаиной + отказ Ани на ламоде</t>
        </r>
      </text>
    </comment>
  </commentList>
</comments>
</file>

<file path=xl/sharedStrings.xml><?xml version="1.0" encoding="utf-8"?>
<sst xmlns="http://schemas.openxmlformats.org/spreadsheetml/2006/main" count="452" uniqueCount="83">
  <si>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</si>
  <si>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</si>
  <si>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</si>
  <si>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</si>
  <si>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</si>
  <si>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</si>
  <si>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</si>
  <si>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</si>
  <si>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</si>
  <si>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</si>
  <si>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</si>
  <si>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</si>
  <si>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</si>
  <si>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</si>
  <si>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</si>
  <si>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</si>
  <si>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</si>
  <si>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</si>
  <si>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</si>
  <si>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</si>
  <si>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</si>
  <si>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</si>
  <si>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</si>
  <si>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</si>
  <si>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</si>
  <si>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</si>
  <si>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</si>
  <si>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</si>
  <si>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Аня</t>
  </si>
  <si>
    <t>Вкус Вилл</t>
  </si>
  <si>
    <t>Алкоголь</t>
  </si>
  <si>
    <t>Столовая (обед)</t>
  </si>
  <si>
    <t>Доходы - Расходы Март 2026</t>
  </si>
  <si>
    <t>Обед</t>
  </si>
  <si>
    <t>Синабон</t>
  </si>
  <si>
    <t>Итоги по ЗП:</t>
  </si>
  <si>
    <t>Итого по Авансу:</t>
  </si>
  <si>
    <t>ИТОГО по месяцу:</t>
  </si>
  <si>
    <t>Доходы - Расходы Апрель 2026</t>
  </si>
  <si>
    <t>ЗП</t>
  </si>
  <si>
    <t>Занял</t>
  </si>
  <si>
    <t>Расходы</t>
  </si>
  <si>
    <t>Месяц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</si>
  <si>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</si>
  <si>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</si>
  <si>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</si>
  <si>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</si>
  <si>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</si>
  <si>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</si>
  <si>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</si>
  <si>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</si>
  <si>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</si>
  <si>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</si>
  <si>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</si>
  <si>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</si>
  <si>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Подарили</t>
  </si>
  <si>
    <t>-</t>
  </si>
  <si>
    <t>Доходы - Расходы Май 2026</t>
  </si>
  <si>
    <t>Доходы - Расходы Июнь 2026</t>
  </si>
  <si>
    <t>Доходы - Расходы Июль 2026</t>
  </si>
  <si>
    <t>Арестованные средства</t>
  </si>
  <si>
    <t>Сводные итоги за июль 2026 г.</t>
  </si>
  <si>
    <t>Заработал</t>
  </si>
  <si>
    <t>Взял в долг</t>
  </si>
  <si>
    <t>Потратил всего</t>
  </si>
  <si>
    <t>Потратил на еду</t>
  </si>
  <si>
    <r>
      <t xml:space="preserve">Доходы - Расходы </t>
    </r>
    <r>
      <rPr>
        <b/>
        <sz val="20"/>
        <color theme="5" tint="-0.24994659260841701"/>
        <rFont val="Arial"/>
        <family val="2"/>
        <charset val="204"/>
      </rPr>
      <t>Август</t>
    </r>
    <r>
      <rPr>
        <b/>
        <sz val="20"/>
        <color theme="1" tint="4.9989318521683403E-2"/>
        <rFont val="Arial"/>
        <family val="2"/>
        <charset val="204"/>
      </rPr>
      <t xml:space="preserve"> 2026</t>
    </r>
  </si>
  <si>
    <t>ЕДА</t>
  </si>
  <si>
    <t>Ярче</t>
  </si>
  <si>
    <t>Магнит/Пятерочка</t>
  </si>
  <si>
    <t>Перекресток</t>
  </si>
  <si>
    <t>Доставка из ресторанов</t>
  </si>
  <si>
    <t>Поход в ресторан</t>
  </si>
  <si>
    <t>Поход в фаст фуд</t>
  </si>
  <si>
    <t>Обеды</t>
  </si>
  <si>
    <t>Базовые потребности (на которых не сэкономить)</t>
  </si>
  <si>
    <t>Ежемесячные платежи</t>
  </si>
  <si>
    <t>Дргое (форс-мажорное)</t>
  </si>
  <si>
    <t>Отдых, развлечение, быт и излишки (все на чем в теории можно сэкономить)</t>
  </si>
  <si>
    <t>Другое (покупки)</t>
  </si>
  <si>
    <t>Друггое (развлечения)</t>
  </si>
  <si>
    <t>ИТОГИ</t>
  </si>
  <si>
    <t>Яндекс Лавка / Самокат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</si>
</sst>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&quot;₽&quot;"/>
  </numFmts>
  <fonts count="46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11"/>
      <color theme="0" tint="-4.9989318521683403E-2"/>
      <name val="Arial Black"/>
      <family val="2"/>
      <charset val="204"/>
    </font>
    <font>
      <b/>
      <sz val="11"/>
      <color theme="1" tint="4.9989318521683403E-2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color rgb="FFFFC000"/>
      <name val="Impact"/>
      <family val="2"/>
      <charset val="204"/>
    </font>
    <font>
      <sz val="11"/>
      <color theme="1"/>
      <name val="Algerian"/>
      <family val="5"/>
    </font>
    <font>
      <b/>
      <sz val="11"/>
      <color theme="1"/>
      <name val="Antique Olive"/>
      <family val="2"/>
    </font>
    <font>
      <b/>
      <sz val="20"/>
      <color rgb="FFC00000"/>
      <name val="Impact"/>
      <family val="2"/>
      <charset val="204"/>
    </font>
    <font>
      <sz val="11"/>
      <color rgb="FFFFC000"/>
      <name val="Franklin Gothic Demi"/>
      <family val="2"/>
      <charset val="204"/>
    </font>
    <font>
      <b/>
      <sz val="11"/>
      <color rgb="FFC00000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sz val="11"/>
      <color theme="1" tint="4.9989318521683403E-2"/>
      <name val="Antique Olive Compact"/>
      <family val="2"/>
    </font>
    <font>
      <sz val="11"/>
      <color theme="1" tint="4.9989318521683403E-2"/>
      <name val="Algerian"/>
      <family val="5"/>
    </font>
    <font>
      <b/>
      <sz val="20"/>
      <color rgb="FF00B050"/>
      <name val="Impact"/>
      <family val="2"/>
      <charset val="204"/>
    </font>
    <font>
      <b/>
      <sz val="11"/>
      <color rgb="FF00B050"/>
      <name val="Calibri"/>
      <family val="2"/>
      <charset val="204"/>
      <scheme val="minor"/>
    </font>
    <font>
      <sz val="11"/>
      <color theme="0" tint="-4.9989318521683403E-2"/>
      <name val="Franklin Gothic Dem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20"/>
      <color rgb="FFD5DA08"/>
      <name val="Impact"/>
      <family val="2"/>
      <charset val="204"/>
    </font>
    <font>
      <b/>
      <sz val="11"/>
      <color rgb="FFD5DA08"/>
      <name val="Calibri"/>
      <family val="2"/>
      <charset val="204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Franklin Gothic Demi"/>
      <family val="2"/>
      <charset val="204"/>
    </font>
    <font>
      <b/>
      <sz val="11"/>
      <name val="Calibri"/>
      <family val="2"/>
      <charset val="204"/>
      <scheme val="minor"/>
    </font>
    <font>
      <sz val="11"/>
      <color theme="0"/>
      <name val="Franklin Gothic Demi"/>
      <family val="2"/>
      <charset val="204"/>
    </font>
    <font>
      <sz val="12"/>
      <color theme="1"/>
      <name val="Bahnschrift"/>
      <family val="2"/>
      <charset val="204"/>
    </font>
    <font>
      <sz val="14"/>
      <color theme="1"/>
      <name val="Bahnschrift"/>
      <family val="2"/>
      <charset val="204"/>
    </font>
    <font>
      <sz val="11"/>
      <color theme="1" tint="4.9989318521683403E-2"/>
      <name val="Franklin Gothic Demi"/>
      <family val="2"/>
      <charset val="204"/>
    </font>
    <font>
      <b/>
      <sz val="20"/>
      <color theme="1" tint="4.9989318521683403E-2"/>
      <name val="Arial"/>
      <family val="2"/>
      <charset val="204"/>
    </font>
    <font>
      <b/>
      <sz val="20"/>
      <color theme="5" tint="-0.24994659260841701"/>
      <name val="Arial"/>
      <family val="2"/>
      <charset val="204"/>
    </font>
    <font>
      <b/>
      <sz val="16"/>
      <color theme="1" tint="4.9989318521683403E-2"/>
      <name val="Arial"/>
      <family val="2"/>
      <charset val="204"/>
    </font>
    <font>
      <sz val="11"/>
      <color theme="7" tint="-0.499984740745262"/>
      <name val="Franklin Gothic Demi"/>
      <family val="2"/>
      <charset val="204"/>
    </font>
    <font>
      <sz val="11"/>
      <color theme="9" tint="-0.499984740745262"/>
      <name val="Franklin Gothic Demi"/>
      <family val="2"/>
      <charset val="204"/>
    </font>
    <font>
      <b/>
      <sz val="16"/>
      <name val="Arial"/>
      <family val="2"/>
      <charset val="204"/>
    </font>
    <font>
      <b/>
      <sz val="16"/>
      <color theme="0"/>
      <name val="Arial"/>
      <family val="2"/>
      <charset val="204"/>
    </font>
    <font>
      <sz val="11"/>
      <name val="Franklin Gothic Demi"/>
      <family val="2"/>
      <charset val="204"/>
    </font>
  </fonts>
  <fills count="36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A8A8A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DD7D7"/>
        <bgColor indexed="64"/>
      </patternFill>
    </fill>
    <fill>
      <patternFill patternType="solid">
        <fgColor rgb="FFDDF0C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20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rgb="FFEC1606"/>
      </left>
      <right style="medium">
        <color rgb="FFEC1606"/>
      </right>
      <top style="medium">
        <color rgb="FFEC1606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indexed="64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rgb="FF134873"/>
      </left>
      <right/>
      <top style="thin">
        <color rgb="FF134873"/>
      </top>
      <bottom/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9" fillId="5" borderId="3" xfId="0" applyNumberFormat="1" applyFont="1" applyFill="1" applyBorder="1" applyAlignment="1">
      <alignment horizontal="center" vertical="center"/>
    </xf>
    <xf numFmtId="164" fontId="9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1" fillId="10" borderId="4" xfId="0" applyFont="1" applyFill="1" applyBorder="1" applyAlignment="1">
      <alignment horizontal="center" vertical="center"/>
    </xf>
    <xf numFmtId="164" fontId="11" fillId="10" borderId="4" xfId="0" applyNumberFormat="1" applyFont="1" applyFill="1" applyBorder="1" applyAlignment="1">
      <alignment horizontal="center" vertical="center"/>
    </xf>
    <xf numFmtId="164" fontId="11" fillId="10" borderId="4" xfId="0" applyNumberFormat="1" applyFont="1" applyFill="1" applyBorder="1"/>
    <xf numFmtId="164" fontId="11" fillId="10" borderId="4" xfId="0" applyNumberFormat="1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 vertical="center" wrapText="1"/>
    </xf>
    <xf numFmtId="164" fontId="11" fillId="10" borderId="4" xfId="0" applyNumberFormat="1" applyFont="1" applyFill="1" applyBorder="1" applyAlignment="1">
      <alignment vertical="center"/>
    </xf>
    <xf numFmtId="0" fontId="11" fillId="11" borderId="4" xfId="0" applyFont="1" applyFill="1" applyBorder="1" applyAlignment="1">
      <alignment horizontal="center" vertical="center"/>
    </xf>
    <xf numFmtId="164" fontId="11" fillId="11" borderId="4" xfId="0" applyNumberFormat="1" applyFont="1" applyFill="1" applyBorder="1" applyAlignment="1">
      <alignment horizontal="center" vertical="center"/>
    </xf>
    <xf numFmtId="164" fontId="11" fillId="11" borderId="4" xfId="0" applyNumberFormat="1" applyFont="1" applyFill="1" applyBorder="1"/>
    <xf numFmtId="164" fontId="11" fillId="11" borderId="4" xfId="0" applyNumberFormat="1" applyFont="1" applyFill="1" applyBorder="1" applyAlignment="1">
      <alignment vertical="center"/>
    </xf>
    <xf numFmtId="0" fontId="11" fillId="12" borderId="4" xfId="0" applyFont="1" applyFill="1" applyBorder="1" applyAlignment="1">
      <alignment horizontal="center" vertical="center"/>
    </xf>
    <xf numFmtId="164" fontId="11" fillId="12" borderId="4" xfId="0" applyNumberFormat="1" applyFont="1" applyFill="1" applyBorder="1" applyAlignment="1">
      <alignment horizontal="center" vertical="center"/>
    </xf>
    <xf numFmtId="164" fontId="11" fillId="12" borderId="4" xfId="0" applyNumberFormat="1" applyFont="1" applyFill="1" applyBorder="1"/>
    <xf numFmtId="164" fontId="11" fillId="12" borderId="4" xfId="0" applyNumberFormat="1" applyFont="1" applyFill="1" applyBorder="1" applyAlignment="1">
      <alignment vertical="center"/>
    </xf>
    <xf numFmtId="0" fontId="11" fillId="13" borderId="4" xfId="0" applyFont="1" applyFill="1" applyBorder="1" applyAlignment="1">
      <alignment horizontal="center" vertical="center"/>
    </xf>
    <xf numFmtId="164" fontId="11" fillId="13" borderId="4" xfId="0" applyNumberFormat="1" applyFont="1" applyFill="1" applyBorder="1" applyAlignment="1">
      <alignment horizontal="center" vertical="center"/>
    </xf>
    <xf numFmtId="164" fontId="11" fillId="13" borderId="4" xfId="0" applyNumberFormat="1" applyFont="1" applyFill="1" applyBorder="1"/>
    <xf numFmtId="164" fontId="11" fillId="13" borderId="4" xfId="0" applyNumberFormat="1" applyFont="1" applyFill="1" applyBorder="1" applyAlignment="1">
      <alignment vertical="center"/>
    </xf>
    <xf numFmtId="164" fontId="0" fillId="2" borderId="0" xfId="0" applyNumberFormat="1" applyFill="1"/>
    <xf numFmtId="164" fontId="13" fillId="14" borderId="4" xfId="0" applyNumberFormat="1" applyFont="1" applyFill="1" applyBorder="1" applyAlignment="1">
      <alignment horizontal="center" vertical="center"/>
    </xf>
    <xf numFmtId="164" fontId="13" fillId="14" borderId="4" xfId="0" applyNumberFormat="1" applyFont="1" applyFill="1" applyBorder="1"/>
    <xf numFmtId="164" fontId="14" fillId="14" borderId="4" xfId="0" applyNumberFormat="1" applyFont="1" applyFill="1" applyBorder="1" applyAlignment="1">
      <alignment vertical="center"/>
    </xf>
    <xf numFmtId="164" fontId="13" fillId="15" borderId="4" xfId="0" applyNumberFormat="1" applyFont="1" applyFill="1" applyBorder="1" applyAlignment="1">
      <alignment horizontal="center" vertical="center"/>
    </xf>
    <xf numFmtId="0" fontId="0" fillId="16" borderId="0" xfId="0" applyFill="1"/>
    <xf numFmtId="0" fontId="15" fillId="5" borderId="8" xfId="0" applyFont="1" applyFill="1" applyBorder="1" applyAlignment="1">
      <alignment horizontal="center" vertical="center"/>
    </xf>
    <xf numFmtId="164" fontId="16" fillId="0" borderId="7" xfId="0" applyNumberFormat="1" applyFont="1" applyBorder="1"/>
    <xf numFmtId="0" fontId="17" fillId="0" borderId="7" xfId="0" applyFont="1" applyBorder="1"/>
    <xf numFmtId="0" fontId="17" fillId="0" borderId="9" xfId="0" applyFont="1" applyBorder="1"/>
    <xf numFmtId="164" fontId="16" fillId="0" borderId="9" xfId="0" applyNumberFormat="1" applyFont="1" applyBorder="1"/>
    <xf numFmtId="0" fontId="17" fillId="15" borderId="10" xfId="0" applyFont="1" applyFill="1" applyBorder="1"/>
    <xf numFmtId="164" fontId="16" fillId="15" borderId="11" xfId="0" applyNumberFormat="1" applyFont="1" applyFill="1" applyBorder="1"/>
    <xf numFmtId="164" fontId="16" fillId="15" borderId="12" xfId="0" applyNumberFormat="1" applyFont="1" applyFill="1" applyBorder="1"/>
    <xf numFmtId="164" fontId="16" fillId="0" borderId="7" xfId="0" applyNumberFormat="1" applyFont="1" applyBorder="1" applyAlignment="1">
      <alignment horizontal="center"/>
    </xf>
    <xf numFmtId="0" fontId="19" fillId="5" borderId="1" xfId="0" applyFont="1" applyFill="1" applyBorder="1" applyAlignment="1">
      <alignment horizontal="center" vertical="center" wrapText="1"/>
    </xf>
    <xf numFmtId="164" fontId="21" fillId="6" borderId="7" xfId="0" applyNumberFormat="1" applyFont="1" applyFill="1" applyBorder="1"/>
    <xf numFmtId="164" fontId="21" fillId="6" borderId="7" xfId="0" applyNumberFormat="1" applyFont="1" applyFill="1" applyBorder="1" applyAlignment="1">
      <alignment vertical="center"/>
    </xf>
    <xf numFmtId="0" fontId="22" fillId="7" borderId="7" xfId="0" applyFont="1" applyFill="1" applyBorder="1" applyAlignment="1">
      <alignment horizontal="center" vertical="center"/>
    </xf>
    <xf numFmtId="0" fontId="23" fillId="7" borderId="7" xfId="0" applyFont="1" applyFill="1" applyBorder="1" applyAlignment="1">
      <alignment horizontal="center" vertical="center"/>
    </xf>
    <xf numFmtId="164" fontId="23" fillId="7" borderId="7" xfId="0" applyNumberFormat="1" applyFont="1" applyFill="1" applyBorder="1"/>
    <xf numFmtId="164" fontId="23" fillId="7" borderId="7" xfId="0" applyNumberFormat="1" applyFont="1" applyFill="1" applyBorder="1" applyAlignment="1">
      <alignment vertical="center"/>
    </xf>
    <xf numFmtId="0" fontId="22" fillId="17" borderId="7" xfId="0" applyFont="1" applyFill="1" applyBorder="1" applyAlignment="1">
      <alignment horizontal="center" vertical="center"/>
    </xf>
    <xf numFmtId="0" fontId="23" fillId="17" borderId="7" xfId="0" applyFont="1" applyFill="1" applyBorder="1" applyAlignment="1">
      <alignment horizontal="center" vertical="center"/>
    </xf>
    <xf numFmtId="164" fontId="23" fillId="17" borderId="7" xfId="0" applyNumberFormat="1" applyFont="1" applyFill="1" applyBorder="1"/>
    <xf numFmtId="164" fontId="23" fillId="17" borderId="7" xfId="0" applyNumberFormat="1" applyFont="1" applyFill="1" applyBorder="1" applyAlignment="1">
      <alignment vertical="center"/>
    </xf>
    <xf numFmtId="164" fontId="20" fillId="6" borderId="7" xfId="0" applyNumberFormat="1" applyFont="1" applyFill="1" applyBorder="1" applyAlignment="1">
      <alignment horizontal="right" vertical="center"/>
    </xf>
    <xf numFmtId="164" fontId="23" fillId="7" borderId="7" xfId="0" applyNumberFormat="1" applyFont="1" applyFill="1" applyBorder="1" applyAlignment="1">
      <alignment horizontal="right" vertical="center"/>
    </xf>
    <xf numFmtId="164" fontId="23" fillId="17" borderId="7" xfId="0" applyNumberFormat="1" applyFont="1" applyFill="1" applyBorder="1" applyAlignment="1">
      <alignment horizontal="right" vertical="center"/>
    </xf>
    <xf numFmtId="164" fontId="21" fillId="6" borderId="7" xfId="0" applyNumberFormat="1" applyFont="1" applyFill="1" applyBorder="1" applyAlignment="1">
      <alignment horizontal="right" vertical="center"/>
    </xf>
    <xf numFmtId="164" fontId="25" fillId="6" borderId="7" xfId="0" applyNumberFormat="1" applyFont="1" applyFill="1" applyBorder="1" applyAlignment="1">
      <alignment horizontal="right" vertical="center"/>
    </xf>
    <xf numFmtId="164" fontId="23" fillId="18" borderId="7" xfId="0" applyNumberFormat="1" applyFont="1" applyFill="1" applyBorder="1"/>
    <xf numFmtId="0" fontId="26" fillId="5" borderId="1" xfId="0" applyFont="1" applyFill="1" applyBorder="1" applyAlignment="1">
      <alignment horizontal="center" vertical="center" wrapText="1"/>
    </xf>
    <xf numFmtId="164" fontId="11" fillId="18" borderId="4" xfId="0" applyNumberFormat="1" applyFont="1" applyFill="1" applyBorder="1"/>
    <xf numFmtId="164" fontId="29" fillId="6" borderId="7" xfId="0" applyNumberFormat="1" applyFont="1" applyFill="1" applyBorder="1" applyAlignment="1">
      <alignment horizontal="right" vertical="center"/>
    </xf>
    <xf numFmtId="164" fontId="27" fillId="6" borderId="7" xfId="0" applyNumberFormat="1" applyFont="1" applyFill="1" applyBorder="1" applyAlignment="1">
      <alignment horizontal="right" vertical="center"/>
    </xf>
    <xf numFmtId="164" fontId="27" fillId="6" borderId="7" xfId="0" applyNumberFormat="1" applyFont="1" applyFill="1" applyBorder="1"/>
    <xf numFmtId="164" fontId="23" fillId="19" borderId="7" xfId="0" applyNumberFormat="1" applyFont="1" applyFill="1" applyBorder="1" applyAlignment="1">
      <alignment horizontal="right" vertical="center"/>
    </xf>
    <xf numFmtId="164" fontId="23" fillId="7" borderId="15" xfId="0" applyNumberFormat="1" applyFont="1" applyFill="1" applyBorder="1" applyAlignment="1">
      <alignment horizontal="right" vertical="center"/>
    </xf>
    <xf numFmtId="164" fontId="23" fillId="17" borderId="15" xfId="0" applyNumberFormat="1" applyFont="1" applyFill="1" applyBorder="1" applyAlignment="1">
      <alignment horizontal="right" vertical="center"/>
    </xf>
    <xf numFmtId="0" fontId="26" fillId="6" borderId="1" xfId="0" applyFont="1" applyFill="1" applyBorder="1" applyAlignment="1">
      <alignment horizontal="center" vertical="center" wrapText="1"/>
    </xf>
    <xf numFmtId="0" fontId="26" fillId="5" borderId="16" xfId="0" applyFont="1" applyFill="1" applyBorder="1" applyAlignment="1">
      <alignment horizontal="center" vertical="center" wrapText="1"/>
    </xf>
    <xf numFmtId="164" fontId="27" fillId="6" borderId="15" xfId="0" applyNumberFormat="1" applyFont="1" applyFill="1" applyBorder="1" applyAlignment="1">
      <alignment horizontal="right" vertical="center"/>
    </xf>
    <xf numFmtId="164" fontId="29" fillId="6" borderId="15" xfId="0" applyNumberFormat="1" applyFont="1" applyFill="1" applyBorder="1" applyAlignment="1">
      <alignment horizontal="right" vertical="center"/>
    </xf>
    <xf numFmtId="0" fontId="26" fillId="24" borderId="7" xfId="0" applyFont="1" applyFill="1" applyBorder="1" applyAlignment="1">
      <alignment horizontal="center" vertical="center" wrapText="1"/>
    </xf>
    <xf numFmtId="164" fontId="23" fillId="14" borderId="7" xfId="0" applyNumberFormat="1" applyFont="1" applyFill="1" applyBorder="1" applyAlignment="1">
      <alignment horizontal="right" vertical="center"/>
    </xf>
    <xf numFmtId="164" fontId="23" fillId="25" borderId="7" xfId="0" applyNumberFormat="1" applyFont="1" applyFill="1" applyBorder="1" applyAlignment="1">
      <alignment horizontal="right" vertical="center"/>
    </xf>
    <xf numFmtId="0" fontId="32" fillId="22" borderId="7" xfId="0" applyFont="1" applyFill="1" applyBorder="1" applyAlignment="1">
      <alignment horizontal="center" vertical="center" wrapText="1"/>
    </xf>
    <xf numFmtId="0" fontId="26" fillId="20" borderId="7" xfId="0" applyFont="1" applyFill="1" applyBorder="1" applyAlignment="1">
      <alignment horizontal="center" vertical="center" wrapText="1"/>
    </xf>
    <xf numFmtId="164" fontId="23" fillId="26" borderId="7" xfId="0" applyNumberFormat="1" applyFont="1" applyFill="1" applyBorder="1" applyAlignment="1"/>
    <xf numFmtId="164" fontId="33" fillId="23" borderId="7" xfId="0" applyNumberFormat="1" applyFont="1" applyFill="1" applyBorder="1" applyAlignment="1">
      <alignment horizontal="right" vertical="center"/>
    </xf>
    <xf numFmtId="164" fontId="33" fillId="22" borderId="7" xfId="0" applyNumberFormat="1" applyFont="1" applyFill="1" applyBorder="1" applyAlignment="1">
      <alignment horizontal="right" vertical="center"/>
    </xf>
    <xf numFmtId="164" fontId="33" fillId="6" borderId="7" xfId="0" applyNumberFormat="1" applyFont="1" applyFill="1" applyBorder="1" applyAlignment="1">
      <alignment vertical="center"/>
    </xf>
    <xf numFmtId="164" fontId="29" fillId="6" borderId="7" xfId="0" applyNumberFormat="1" applyFont="1" applyFill="1" applyBorder="1" applyAlignment="1">
      <alignment vertical="center"/>
    </xf>
    <xf numFmtId="0" fontId="34" fillId="6" borderId="7" xfId="0" applyFont="1" applyFill="1" applyBorder="1" applyAlignment="1">
      <alignment horizontal="center" vertical="center" wrapText="1"/>
    </xf>
    <xf numFmtId="164" fontId="23" fillId="26" borderId="7" xfId="0" applyNumberFormat="1" applyFont="1" applyFill="1" applyBorder="1"/>
    <xf numFmtId="164" fontId="23" fillId="21" borderId="7" xfId="0" applyNumberFormat="1" applyFont="1" applyFill="1" applyBorder="1" applyAlignment="1"/>
    <xf numFmtId="164" fontId="33" fillId="11" borderId="7" xfId="0" applyNumberFormat="1" applyFont="1" applyFill="1" applyBorder="1"/>
    <xf numFmtId="164" fontId="33" fillId="11" borderId="7" xfId="0" applyNumberFormat="1" applyFont="1" applyFill="1" applyBorder="1" applyAlignment="1">
      <alignment horizontal="right" vertical="center"/>
    </xf>
    <xf numFmtId="164" fontId="23" fillId="27" borderId="7" xfId="0" applyNumberFormat="1" applyFont="1" applyFill="1" applyBorder="1"/>
    <xf numFmtId="164" fontId="35" fillId="28" borderId="7" xfId="0" applyNumberFormat="1" applyFont="1" applyFill="1" applyBorder="1"/>
    <xf numFmtId="0" fontId="22" fillId="29" borderId="7" xfId="0" applyFont="1" applyFill="1" applyBorder="1" applyAlignment="1">
      <alignment horizontal="center" vertical="center"/>
    </xf>
    <xf numFmtId="0" fontId="23" fillId="29" borderId="7" xfId="0" applyFont="1" applyFill="1" applyBorder="1" applyAlignment="1">
      <alignment horizontal="center" vertical="center"/>
    </xf>
    <xf numFmtId="164" fontId="23" fillId="29" borderId="7" xfId="0" applyNumberFormat="1" applyFont="1" applyFill="1" applyBorder="1" applyAlignment="1">
      <alignment horizontal="right" vertical="center"/>
    </xf>
    <xf numFmtId="164" fontId="23" fillId="29" borderId="15" xfId="0" applyNumberFormat="1" applyFont="1" applyFill="1" applyBorder="1" applyAlignment="1">
      <alignment horizontal="right" vertical="center"/>
    </xf>
    <xf numFmtId="0" fontId="22" fillId="17" borderId="13" xfId="0" applyFont="1" applyFill="1" applyBorder="1" applyAlignment="1">
      <alignment horizontal="center" vertical="center"/>
    </xf>
    <xf numFmtId="0" fontId="23" fillId="17" borderId="13" xfId="0" applyFont="1" applyFill="1" applyBorder="1" applyAlignment="1">
      <alignment horizontal="center" vertical="center"/>
    </xf>
    <xf numFmtId="164" fontId="23" fillId="17" borderId="13" xfId="0" applyNumberFormat="1" applyFont="1" applyFill="1" applyBorder="1" applyAlignment="1">
      <alignment horizontal="right" vertical="center"/>
    </xf>
    <xf numFmtId="164" fontId="23" fillId="17" borderId="17" xfId="0" applyNumberFormat="1" applyFont="1" applyFill="1" applyBorder="1" applyAlignment="1">
      <alignment horizontal="right" vertical="center"/>
    </xf>
    <xf numFmtId="164" fontId="33" fillId="30" borderId="7" xfId="0" applyNumberFormat="1" applyFont="1" applyFill="1" applyBorder="1" applyAlignment="1">
      <alignment horizontal="right" vertical="center"/>
    </xf>
    <xf numFmtId="164" fontId="33" fillId="31" borderId="7" xfId="0" applyNumberFormat="1" applyFont="1" applyFill="1" applyBorder="1" applyAlignment="1">
      <alignment horizontal="right" vertical="center"/>
    </xf>
    <xf numFmtId="164" fontId="27" fillId="34" borderId="7" xfId="0" applyNumberFormat="1" applyFont="1" applyFill="1" applyBorder="1" applyAlignment="1">
      <alignment horizontal="right" vertical="center"/>
    </xf>
    <xf numFmtId="164" fontId="33" fillId="33" borderId="7" xfId="0" applyNumberFormat="1" applyFont="1" applyFill="1" applyBorder="1" applyAlignment="1">
      <alignment horizontal="right" vertical="center"/>
    </xf>
    <xf numFmtId="164" fontId="23" fillId="13" borderId="14" xfId="0" applyNumberFormat="1" applyFont="1" applyFill="1" applyBorder="1" applyAlignment="1"/>
    <xf numFmtId="164" fontId="23" fillId="13" borderId="14" xfId="0" applyNumberFormat="1" applyFont="1" applyFill="1" applyBorder="1"/>
    <xf numFmtId="0" fontId="37" fillId="29" borderId="13" xfId="0" applyFont="1" applyFill="1" applyBorder="1" applyAlignment="1">
      <alignment horizontal="center" vertical="center" wrapText="1"/>
    </xf>
    <xf numFmtId="0" fontId="42" fillId="30" borderId="13" xfId="0" applyFont="1" applyFill="1" applyBorder="1" applyAlignment="1">
      <alignment horizontal="center" vertical="center" wrapText="1"/>
    </xf>
    <xf numFmtId="0" fontId="41" fillId="31" borderId="13" xfId="0" applyFont="1" applyFill="1" applyBorder="1" applyAlignment="1">
      <alignment horizontal="center" vertical="center" wrapText="1"/>
    </xf>
    <xf numFmtId="0" fontId="26" fillId="34" borderId="13" xfId="0" applyFont="1" applyFill="1" applyBorder="1" applyAlignment="1">
      <alignment horizontal="center" vertical="center" wrapText="1"/>
    </xf>
    <xf numFmtId="0" fontId="26" fillId="34" borderId="17" xfId="0" applyFont="1" applyFill="1" applyBorder="1" applyAlignment="1">
      <alignment horizontal="center" vertical="center" wrapText="1"/>
    </xf>
    <xf numFmtId="164" fontId="27" fillId="34" borderId="15" xfId="0" applyNumberFormat="1" applyFont="1" applyFill="1" applyBorder="1" applyAlignment="1">
      <alignment horizontal="right" vertical="center"/>
    </xf>
    <xf numFmtId="164" fontId="33" fillId="33" borderId="15" xfId="0" applyNumberFormat="1" applyFont="1" applyFill="1" applyBorder="1" applyAlignment="1">
      <alignment horizontal="right" vertical="center"/>
    </xf>
    <xf numFmtId="0" fontId="26" fillId="35" borderId="14" xfId="0" applyFont="1" applyFill="1" applyBorder="1" applyAlignment="1">
      <alignment horizontal="center" vertical="center" wrapText="1"/>
    </xf>
    <xf numFmtId="0" fontId="26" fillId="20" borderId="14" xfId="0" applyFont="1" applyFill="1" applyBorder="1" applyAlignment="1">
      <alignment horizontal="center" vertical="center" wrapText="1"/>
    </xf>
    <xf numFmtId="164" fontId="23" fillId="32" borderId="14" xfId="0" applyNumberFormat="1" applyFont="1" applyFill="1" applyBorder="1" applyAlignment="1">
      <alignment horizontal="right" vertical="center"/>
    </xf>
    <xf numFmtId="164" fontId="27" fillId="35" borderId="14" xfId="0" applyNumberFormat="1" applyFont="1" applyFill="1" applyBorder="1" applyAlignment="1">
      <alignment horizontal="right" vertical="center"/>
    </xf>
    <xf numFmtId="164" fontId="27" fillId="20" borderId="14" xfId="0" applyNumberFormat="1" applyFont="1" applyFill="1" applyBorder="1"/>
    <xf numFmtId="164" fontId="33" fillId="35" borderId="14" xfId="0" applyNumberFormat="1" applyFont="1" applyFill="1" applyBorder="1" applyAlignment="1">
      <alignment horizontal="right" vertical="center"/>
    </xf>
    <xf numFmtId="164" fontId="33" fillId="20" borderId="14" xfId="0" applyNumberFormat="1" applyFont="1" applyFill="1" applyBorder="1" applyAlignment="1">
      <alignment horizontal="right" vertical="center"/>
    </xf>
    <xf numFmtId="164" fontId="21" fillId="2" borderId="14" xfId="0" applyNumberFormat="1" applyFont="1" applyFill="1" applyBorder="1" applyAlignment="1">
      <alignment vertical="center"/>
    </xf>
    <xf numFmtId="164" fontId="20" fillId="2" borderId="14" xfId="0" applyNumberFormat="1" applyFont="1" applyFill="1" applyBorder="1" applyAlignment="1">
      <alignment horizontal="right" vertical="center"/>
    </xf>
    <xf numFmtId="0" fontId="45" fillId="2" borderId="14" xfId="0" applyFont="1" applyFill="1" applyBorder="1" applyAlignment="1">
      <alignment horizontal="center" vertical="center" wrapText="1"/>
    </xf>
    <xf numFmtId="164" fontId="23" fillId="20" borderId="7" xfId="0" applyNumberFormat="1" applyFont="1" applyFill="1" applyBorder="1" applyAlignment="1"/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1" fillId="10" borderId="4" xfId="0" applyFont="1" applyFill="1" applyBorder="1" applyAlignment="1">
      <alignment horizontal="right"/>
    </xf>
    <xf numFmtId="0" fontId="10" fillId="8" borderId="0" xfId="0" applyFont="1" applyFill="1" applyAlignment="1">
      <alignment horizontal="center" vertical="center"/>
    </xf>
    <xf numFmtId="0" fontId="13" fillId="15" borderId="4" xfId="0" applyFont="1" applyFill="1" applyBorder="1" applyAlignment="1">
      <alignment horizontal="right" vertical="center"/>
    </xf>
    <xf numFmtId="0" fontId="13" fillId="14" borderId="5" xfId="0" applyFont="1" applyFill="1" applyBorder="1" applyAlignment="1">
      <alignment horizontal="right" vertical="center"/>
    </xf>
    <xf numFmtId="0" fontId="13" fillId="14" borderId="6" xfId="0" applyFont="1" applyFill="1" applyBorder="1" applyAlignment="1">
      <alignment horizontal="right" vertical="center"/>
    </xf>
    <xf numFmtId="0" fontId="18" fillId="5" borderId="0" xfId="0" applyFont="1" applyFill="1" applyAlignment="1">
      <alignment horizontal="center" vertical="center"/>
    </xf>
    <xf numFmtId="0" fontId="21" fillId="6" borderId="7" xfId="0" applyFont="1" applyFill="1" applyBorder="1" applyAlignment="1">
      <alignment horizontal="right" vertical="center"/>
    </xf>
    <xf numFmtId="0" fontId="20" fillId="6" borderId="7" xfId="0" applyFont="1" applyFill="1" applyBorder="1" applyAlignment="1">
      <alignment horizontal="right" vertical="center"/>
    </xf>
    <xf numFmtId="0" fontId="24" fillId="5" borderId="0" xfId="0" applyFont="1" applyFill="1" applyAlignment="1">
      <alignment horizontal="center" vertical="center"/>
    </xf>
    <xf numFmtId="0" fontId="27" fillId="6" borderId="7" xfId="0" applyFont="1" applyFill="1" applyBorder="1" applyAlignment="1">
      <alignment horizontal="right" vertical="center"/>
    </xf>
    <xf numFmtId="0" fontId="25" fillId="6" borderId="7" xfId="0" applyFont="1" applyFill="1" applyBorder="1" applyAlignment="1">
      <alignment horizontal="right" vertical="center"/>
    </xf>
    <xf numFmtId="0" fontId="28" fillId="5" borderId="0" xfId="0" applyFont="1" applyFill="1" applyAlignment="1">
      <alignment horizontal="center" vertical="center"/>
    </xf>
    <xf numFmtId="0" fontId="29" fillId="6" borderId="7" xfId="0" applyFont="1" applyFill="1" applyBorder="1" applyAlignment="1">
      <alignment horizontal="right" vertical="center"/>
    </xf>
    <xf numFmtId="164" fontId="23" fillId="2" borderId="7" xfId="0" applyNumberFormat="1" applyFont="1" applyFill="1" applyBorder="1" applyAlignment="1">
      <alignment horizontal="center" vertical="center"/>
    </xf>
    <xf numFmtId="0" fontId="35" fillId="28" borderId="7" xfId="0" applyFont="1" applyFill="1" applyBorder="1" applyAlignment="1">
      <alignment horizontal="center"/>
    </xf>
    <xf numFmtId="0" fontId="36" fillId="17" borderId="7" xfId="0" applyFont="1" applyFill="1" applyBorder="1" applyAlignment="1">
      <alignment horizontal="center" vertical="center"/>
    </xf>
    <xf numFmtId="0" fontId="33" fillId="33" borderId="7" xfId="0" applyFont="1" applyFill="1" applyBorder="1" applyAlignment="1">
      <alignment horizontal="right" vertical="center"/>
    </xf>
    <xf numFmtId="0" fontId="38" fillId="28" borderId="0" xfId="0" applyFont="1" applyFill="1" applyAlignment="1">
      <alignment horizontal="center" vertical="center"/>
    </xf>
    <xf numFmtId="164" fontId="23" fillId="2" borderId="14" xfId="0" applyNumberFormat="1" applyFont="1" applyFill="1" applyBorder="1" applyAlignment="1">
      <alignment horizontal="center" vertical="center"/>
    </xf>
    <xf numFmtId="0" fontId="33" fillId="29" borderId="7" xfId="0" applyFont="1" applyFill="1" applyBorder="1" applyAlignment="1">
      <alignment horizontal="right" vertical="center"/>
    </xf>
    <xf numFmtId="0" fontId="40" fillId="30" borderId="14" xfId="0" applyFont="1" applyFill="1" applyBorder="1" applyAlignment="1">
      <alignment horizontal="center" vertical="center"/>
    </xf>
    <xf numFmtId="0" fontId="43" fillId="31" borderId="14" xfId="0" applyFont="1" applyFill="1" applyBorder="1" applyAlignment="1">
      <alignment horizontal="center" vertical="center"/>
    </xf>
    <xf numFmtId="0" fontId="44" fillId="34" borderId="14" xfId="0" applyFont="1" applyFill="1" applyBorder="1" applyAlignment="1">
      <alignment horizontal="center" vertical="center"/>
    </xf>
    <xf numFmtId="0" fontId="38" fillId="33" borderId="14" xfId="0" applyFont="1" applyFill="1" applyBorder="1" applyAlignment="1">
      <alignment horizontal="center" vertical="center"/>
    </xf>
    <xf numFmtId="0" fontId="38" fillId="28" borderId="18" xfId="0" applyFont="1" applyFill="1" applyBorder="1" applyAlignment="1">
      <alignment horizontal="center" vertical="center"/>
    </xf>
    <xf numFmtId="0" fontId="38" fillId="28" borderId="19" xfId="0" applyFont="1" applyFill="1" applyBorder="1" applyAlignment="1">
      <alignment horizontal="center" vertical="center"/>
    </xf>
  </cellXfs>
  <cellStyles count="1">
    <cellStyle name="Обычный" xfId="0" builtinId="0"/>
  </cellStyles>
  <dxfs count="12"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EC1606"/>
      </font>
    </dxf>
    <dxf>
      <font>
        <color rgb="FF57B418"/>
      </font>
    </dxf>
    <dxf>
      <font>
        <color rgb="FFEC1606"/>
      </font>
    </dxf>
  </dxfs>
  <tableStyles count="0" defaultTableStyle="TableStyleMedium2" defaultPivotStyle="PivotStyleLight16"/>
  <colors>
    <mruColors>
      <color rgb="FFFA8A8A"/>
      <color rgb="FFFDD7D7"/>
      <color rgb="FFDDF0C8"/>
      <color rgb="FF273C18"/>
      <color rgb="FFC09200"/>
      <color rgb="FF2E471D"/>
      <color rgb="FFEC1606"/>
      <color rgb="FF062D4E"/>
      <color rgb="FFD5DA08"/>
      <color rgb="FF57B4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H17"/>
  <sheetViews>
    <sheetView workbookViewId="0">
      <selection activeCell="G9" sqref="G9"/>
    </sheetView>
  </sheetViews>
  <sheetFormatPr defaultRowHeight="15"/>
  <cols>
    <col min="1" max="2" width="9.140625" style="49"/>
    <col min="3" max="3" width="11.7109375" style="49" customWidth="1"/>
    <col min="4" max="4" width="17.85546875" style="49" customWidth="1"/>
    <col min="5" max="5" width="19.28515625" style="49" customWidth="1"/>
    <col min="6" max="6" width="20" style="49" customWidth="1"/>
    <col min="7" max="8" width="21.7109375" style="49" customWidth="1"/>
    <col min="9" max="16384" width="9.140625" style="49"/>
  </cols>
  <sheetData>
    <row r="3" spans="3:8" ht="15.75" thickBot="1"/>
    <row r="4" spans="3:8" ht="45" customHeight="1">
      <c r="C4" s="50" t="s">
        <v>42</v>
      </c>
      <c r="D4" s="50" t="s">
        <v>39</v>
      </c>
      <c r="E4" s="50" t="s">
        <v>55</v>
      </c>
      <c r="F4" s="50" t="s">
        <v>40</v>
      </c>
      <c r="G4" s="50" t="s">
        <v>41</v>
      </c>
      <c r="H4" s="50" t="s">
        <v>21</v>
      </c>
    </row>
    <row r="5" spans="3:8" ht="15.75">
      <c r="C5" s="52" t="s">
        <v>43</v>
      </c>
      <c r="D5" s="58" t="s">
        <v>56</v>
      </c>
      <c r="E5" s="58" t="s">
        <v>56</v>
      </c>
      <c r="F5" s="58" t="s">
        <v>56</v>
      </c>
      <c r="G5" s="58" t="s">
        <v>56</v>
      </c>
      <c r="H5" s="58" t="s">
        <v>56</v>
      </c>
    </row>
    <row r="6" spans="3:8" ht="15.75">
      <c r="C6" s="52" t="s">
        <v>44</v>
      </c>
      <c r="D6" s="51">
        <v>100494.39999999999</v>
      </c>
      <c r="E6" s="51">
        <v>10000</v>
      </c>
      <c r="F6" s="51">
        <v>0</v>
      </c>
      <c r="G6" s="51">
        <v>109233.84</v>
      </c>
      <c r="H6" s="51">
        <f>SUM(D6:F6)-G6</f>
        <v>1260.5599999999977</v>
      </c>
    </row>
    <row r="7" spans="3:8" ht="15.75">
      <c r="C7" s="52" t="s">
        <v>45</v>
      </c>
      <c r="D7" s="51">
        <v>68400</v>
      </c>
      <c r="E7" s="51">
        <v>0</v>
      </c>
      <c r="F7" s="51">
        <v>0</v>
      </c>
      <c r="G7" s="51">
        <v>80331.3</v>
      </c>
      <c r="H7" s="51">
        <f t="shared" ref="H7:H8" si="0">SUM(D7:F7)-G7</f>
        <v>-11931.300000000003</v>
      </c>
    </row>
    <row r="8" spans="3:8" ht="15.75">
      <c r="C8" s="52" t="s">
        <v>46</v>
      </c>
      <c r="D8" s="51">
        <v>136698</v>
      </c>
      <c r="E8" s="51">
        <v>10000</v>
      </c>
      <c r="F8" s="51">
        <v>17000</v>
      </c>
      <c r="G8" s="51">
        <v>163638.94</v>
      </c>
      <c r="H8" s="51">
        <f t="shared" si="0"/>
        <v>59.059999999997672</v>
      </c>
    </row>
    <row r="9" spans="3:8" ht="15.75">
      <c r="C9" s="52" t="s">
        <v>47</v>
      </c>
      <c r="D9" s="51"/>
      <c r="E9" s="51"/>
      <c r="F9" s="51"/>
      <c r="G9" s="51"/>
      <c r="H9" s="51"/>
    </row>
    <row r="10" spans="3:8" ht="15.75">
      <c r="C10" s="52" t="s">
        <v>48</v>
      </c>
      <c r="D10" s="51"/>
      <c r="E10" s="51"/>
      <c r="F10" s="51"/>
      <c r="G10" s="51"/>
      <c r="H10" s="51"/>
    </row>
    <row r="11" spans="3:8" ht="15.75">
      <c r="C11" s="52" t="s">
        <v>49</v>
      </c>
      <c r="D11" s="51"/>
      <c r="E11" s="51"/>
      <c r="F11" s="51"/>
      <c r="G11" s="51"/>
      <c r="H11" s="51"/>
    </row>
    <row r="12" spans="3:8" ht="15.75">
      <c r="C12" s="52" t="s">
        <v>50</v>
      </c>
      <c r="D12" s="51"/>
      <c r="E12" s="51"/>
      <c r="F12" s="51"/>
      <c r="G12" s="51"/>
      <c r="H12" s="51"/>
    </row>
    <row r="13" spans="3:8" ht="15.75">
      <c r="C13" s="52" t="s">
        <v>51</v>
      </c>
      <c r="D13" s="51"/>
      <c r="E13" s="51"/>
      <c r="F13" s="51"/>
      <c r="G13" s="51"/>
      <c r="H13" s="51"/>
    </row>
    <row r="14" spans="3:8" ht="15.75">
      <c r="C14" s="52" t="s">
        <v>52</v>
      </c>
      <c r="D14" s="51"/>
      <c r="E14" s="51"/>
      <c r="F14" s="51"/>
      <c r="G14" s="51"/>
      <c r="H14" s="51"/>
    </row>
    <row r="15" spans="3:8" ht="15.75">
      <c r="C15" s="52" t="s">
        <v>53</v>
      </c>
      <c r="D15" s="51"/>
      <c r="E15" s="51"/>
      <c r="F15" s="51"/>
      <c r="G15" s="51"/>
      <c r="H15" s="51"/>
    </row>
    <row r="16" spans="3:8" ht="16.5" thickBot="1">
      <c r="C16" s="53" t="s">
        <v>54</v>
      </c>
      <c r="D16" s="54"/>
      <c r="E16" s="54"/>
      <c r="F16" s="54"/>
      <c r="G16" s="54"/>
      <c r="H16" s="54"/>
    </row>
    <row r="17" spans="3:8" ht="16.5" thickBot="1">
      <c r="C17" s="55" t="s">
        <v>20</v>
      </c>
      <c r="D17" s="56"/>
      <c r="E17" s="56"/>
      <c r="F17" s="56"/>
      <c r="G17" s="56"/>
      <c r="H17" s="57"/>
    </row>
  </sheetData>
  <conditionalFormatting sqref="H5:H16">
    <cfRule type="expression" dxfId="11" priority="3">
      <formula>H5&lt;0</formula>
    </cfRule>
    <cfRule type="expression" dxfId="10" priority="4">
      <formula>H5&gt;0</formula>
    </cfRule>
  </conditionalFormatting>
  <conditionalFormatting sqref="H17">
    <cfRule type="expression" dxfId="9" priority="1">
      <formula>H17&lt;0</formula>
    </cfRule>
    <cfRule type="expression" dxfId="8" priority="2">
      <formula>H17&gt;0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X37" sqref="X37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137" t="s">
        <v>27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29</v>
      </c>
      <c r="F2" s="3" t="s">
        <v>31</v>
      </c>
      <c r="G2" s="3" t="s">
        <v>11</v>
      </c>
      <c r="H2" s="3" t="s">
        <v>30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28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20">
        <v>5</v>
      </c>
      <c r="B3" s="20" t="s">
        <v>3</v>
      </c>
      <c r="C3" s="22">
        <f>183+2168</f>
        <v>2351</v>
      </c>
      <c r="D3" s="22">
        <v>3131</v>
      </c>
      <c r="E3" s="22"/>
      <c r="F3" s="22"/>
      <c r="G3" s="21"/>
      <c r="H3" s="21"/>
      <c r="I3" s="22"/>
      <c r="J3" s="22">
        <v>450</v>
      </c>
      <c r="K3" s="22"/>
      <c r="L3" s="22"/>
      <c r="M3" s="22"/>
      <c r="N3" s="22">
        <v>40</v>
      </c>
      <c r="O3" s="22"/>
      <c r="P3" s="22"/>
      <c r="Q3" s="22">
        <v>14418</v>
      </c>
      <c r="R3" s="22"/>
      <c r="S3" s="22">
        <v>5000</v>
      </c>
      <c r="T3" s="22"/>
      <c r="U3" s="22"/>
      <c r="V3" s="23">
        <f>SUM(C3:U3)</f>
        <v>25390</v>
      </c>
      <c r="W3" s="24">
        <v>53739.4</v>
      </c>
      <c r="X3" s="18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16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18"/>
    </row>
    <row r="5" spans="1:46">
      <c r="A5" s="4">
        <v>7</v>
      </c>
      <c r="B5" s="4" t="s">
        <v>5</v>
      </c>
      <c r="C5" s="15"/>
      <c r="D5" s="17">
        <v>1110</v>
      </c>
      <c r="E5" s="17"/>
      <c r="F5" s="17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18"/>
    </row>
    <row r="6" spans="1:46">
      <c r="A6" s="5">
        <v>8</v>
      </c>
      <c r="B6" s="5" t="s">
        <v>6</v>
      </c>
      <c r="C6" s="16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16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18"/>
    </row>
    <row r="7" spans="1:46">
      <c r="A7" s="4">
        <v>9</v>
      </c>
      <c r="B7" s="4" t="s">
        <v>7</v>
      </c>
      <c r="C7" s="17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18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18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18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18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18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18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18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18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18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18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18">
        <f>W3-SUM(V3:V16)</f>
        <v>-6655.0499999999956</v>
      </c>
    </row>
    <row r="18" spans="1:24" ht="14.25" customHeight="1">
      <c r="A18" s="20">
        <v>20</v>
      </c>
      <c r="B18" s="20" t="s">
        <v>4</v>
      </c>
      <c r="C18" s="22"/>
      <c r="D18" s="21"/>
      <c r="E18" s="21"/>
      <c r="F18" s="21"/>
      <c r="G18" s="21"/>
      <c r="H18" s="21"/>
      <c r="I18" s="22">
        <v>1300</v>
      </c>
      <c r="J18" s="22"/>
      <c r="K18" s="22"/>
      <c r="L18" s="22"/>
      <c r="M18" s="22"/>
      <c r="N18" s="22">
        <f>1587+618</f>
        <v>2205</v>
      </c>
      <c r="O18" s="22"/>
      <c r="P18" s="22"/>
      <c r="Q18" s="22"/>
      <c r="R18" s="22"/>
      <c r="S18" s="22"/>
      <c r="T18" s="22"/>
      <c r="U18" s="22"/>
      <c r="V18" s="23">
        <f>SUM(C18:U18)</f>
        <v>3505</v>
      </c>
      <c r="W18" s="24">
        <f>30304+16451</f>
        <v>46755</v>
      </c>
      <c r="X18" s="25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18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18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18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18"/>
    </row>
    <row r="23" spans="1:24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18"/>
    </row>
    <row r="24" spans="1:24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18"/>
    </row>
    <row r="25" spans="1:24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18"/>
    </row>
    <row r="26" spans="1:24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18"/>
    </row>
    <row r="27" spans="1:24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18"/>
    </row>
    <row r="28" spans="1:24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18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18"/>
    </row>
    <row r="30" spans="1:24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18">
        <f>W18+W21-SUM(V18:V30)</f>
        <v>278.36000000000058</v>
      </c>
    </row>
    <row r="31" spans="1:24">
      <c r="A31" s="138" t="s">
        <v>20</v>
      </c>
      <c r="B31" s="138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19">
        <f>W31-V31</f>
        <v>1260.5600000000122</v>
      </c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T36"/>
  <sheetViews>
    <sheetView zoomScale="86" zoomScaleNormal="86" workbookViewId="0">
      <pane xSplit="2" ySplit="32" topLeftCell="E33" activePane="bottomRight" state="frozen"/>
      <selection pane="topRight" activeCell="C1" sqref="C1"/>
      <selection pane="bottomLeft" activeCell="A28" sqref="A28"/>
      <selection pane="bottomRight" activeCell="S19" sqref="S19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140" t="s">
        <v>32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</row>
    <row r="2" spans="1:46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11</v>
      </c>
      <c r="H2" s="30" t="s">
        <v>30</v>
      </c>
      <c r="I2" s="30" t="s">
        <v>12</v>
      </c>
      <c r="J2" s="30" t="s">
        <v>24</v>
      </c>
      <c r="K2" s="30" t="s">
        <v>23</v>
      </c>
      <c r="L2" s="30" t="s">
        <v>13</v>
      </c>
      <c r="M2" s="30" t="s">
        <v>14</v>
      </c>
      <c r="N2" s="30" t="s">
        <v>15</v>
      </c>
      <c r="O2" s="30" t="s">
        <v>16</v>
      </c>
      <c r="P2" s="30" t="s">
        <v>28</v>
      </c>
      <c r="Q2" s="30" t="s">
        <v>17</v>
      </c>
      <c r="R2" s="30" t="s">
        <v>18</v>
      </c>
      <c r="S2" s="30" t="s">
        <v>25</v>
      </c>
      <c r="T2" s="30" t="s">
        <v>25</v>
      </c>
      <c r="U2" s="30" t="s">
        <v>26</v>
      </c>
      <c r="V2" s="30" t="s">
        <v>22</v>
      </c>
      <c r="W2" s="30" t="s">
        <v>19</v>
      </c>
      <c r="X2" s="30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32">
        <v>5</v>
      </c>
      <c r="B3" s="32" t="s">
        <v>3</v>
      </c>
      <c r="C3" s="33">
        <f>2497.35+200</f>
        <v>2697.35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3">
        <v>312</v>
      </c>
      <c r="O3" s="33"/>
      <c r="P3" s="33"/>
      <c r="Q3" s="33"/>
      <c r="R3" s="33">
        <v>990</v>
      </c>
      <c r="S3" s="33"/>
      <c r="T3" s="33"/>
      <c r="U3" s="33"/>
      <c r="V3" s="33">
        <f>SUM(C3:U3)</f>
        <v>3999.35</v>
      </c>
      <c r="W3" s="34">
        <v>43724</v>
      </c>
      <c r="X3" s="35"/>
    </row>
    <row r="4" spans="1:46">
      <c r="A4" s="26">
        <v>6</v>
      </c>
      <c r="B4" s="26" t="s">
        <v>4</v>
      </c>
      <c r="C4" s="27"/>
      <c r="D4" s="27"/>
      <c r="E4" s="27"/>
      <c r="F4" s="27">
        <v>1610</v>
      </c>
      <c r="G4" s="27"/>
      <c r="H4" s="27"/>
      <c r="I4" s="27"/>
      <c r="J4" s="27"/>
      <c r="K4" s="27"/>
      <c r="L4" s="27"/>
      <c r="M4" s="27"/>
      <c r="N4" s="27">
        <f>387+364</f>
        <v>751</v>
      </c>
      <c r="O4" s="27"/>
      <c r="P4" s="27"/>
      <c r="Q4" s="27"/>
      <c r="R4" s="27">
        <v>199</v>
      </c>
      <c r="S4" s="27">
        <f>2411.96/2+116.97+2148/2+729</f>
        <v>3125.95</v>
      </c>
      <c r="T4" s="27">
        <v>6000</v>
      </c>
      <c r="U4" s="27"/>
      <c r="V4" s="27">
        <f t="shared" ref="V4:V31" si="0">SUM(C4:U4)</f>
        <v>11685.95</v>
      </c>
      <c r="W4" s="28"/>
      <c r="X4" s="31"/>
    </row>
    <row r="5" spans="1:46">
      <c r="A5" s="26">
        <v>7</v>
      </c>
      <c r="B5" s="26" t="s">
        <v>5</v>
      </c>
      <c r="C5" s="27"/>
      <c r="D5" s="27"/>
      <c r="E5" s="27"/>
      <c r="F5" s="27"/>
      <c r="G5" s="27">
        <f>3080+328</f>
        <v>3408</v>
      </c>
      <c r="H5" s="27"/>
      <c r="I5" s="27"/>
      <c r="J5" s="27"/>
      <c r="K5" s="27"/>
      <c r="L5" s="27"/>
      <c r="M5" s="27"/>
      <c r="N5" s="27">
        <v>268</v>
      </c>
      <c r="O5" s="27"/>
      <c r="P5" s="27">
        <v>8428</v>
      </c>
      <c r="Q5" s="27"/>
      <c r="R5" s="27">
        <f>255+547</f>
        <v>802</v>
      </c>
      <c r="S5" s="27"/>
      <c r="T5" s="27"/>
      <c r="U5" s="27"/>
      <c r="V5" s="27">
        <f t="shared" si="0"/>
        <v>12906</v>
      </c>
      <c r="W5" s="28"/>
      <c r="X5" s="31"/>
    </row>
    <row r="6" spans="1:46">
      <c r="A6" s="26">
        <v>8</v>
      </c>
      <c r="B6" s="26" t="s">
        <v>6</v>
      </c>
      <c r="C6" s="27">
        <f>284+995</f>
        <v>1279</v>
      </c>
      <c r="D6" s="27"/>
      <c r="E6" s="27"/>
      <c r="F6" s="27"/>
      <c r="G6" s="27"/>
      <c r="H6" s="27">
        <v>1117</v>
      </c>
      <c r="I6" s="27"/>
      <c r="J6" s="27"/>
      <c r="K6" s="27"/>
      <c r="L6" s="27"/>
      <c r="M6" s="27"/>
      <c r="N6" s="27">
        <v>400</v>
      </c>
      <c r="O6" s="27"/>
      <c r="P6" s="27">
        <v>1330</v>
      </c>
      <c r="Q6" s="27"/>
      <c r="R6" s="27"/>
      <c r="S6" s="27"/>
      <c r="T6" s="27"/>
      <c r="U6" s="27"/>
      <c r="V6" s="27">
        <f t="shared" si="0"/>
        <v>4126</v>
      </c>
      <c r="W6" s="28"/>
      <c r="X6" s="31"/>
    </row>
    <row r="7" spans="1:46">
      <c r="A7" s="26">
        <v>9</v>
      </c>
      <c r="B7" s="26" t="s">
        <v>7</v>
      </c>
      <c r="C7" s="27">
        <v>769</v>
      </c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>
        <f t="shared" si="0"/>
        <v>769</v>
      </c>
      <c r="W7" s="28"/>
      <c r="X7" s="31"/>
    </row>
    <row r="8" spans="1:46">
      <c r="A8" s="26">
        <v>10</v>
      </c>
      <c r="B8" s="26" t="s">
        <v>8</v>
      </c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>
        <v>302</v>
      </c>
      <c r="P8" s="27"/>
      <c r="Q8" s="27"/>
      <c r="R8" s="27"/>
      <c r="S8" s="27"/>
      <c r="T8" s="27"/>
      <c r="U8" s="27"/>
      <c r="V8" s="27">
        <f t="shared" si="0"/>
        <v>302</v>
      </c>
      <c r="W8" s="28"/>
      <c r="X8" s="31"/>
    </row>
    <row r="9" spans="1:46">
      <c r="A9" s="26">
        <v>11</v>
      </c>
      <c r="B9" s="26" t="s">
        <v>2</v>
      </c>
      <c r="C9" s="27"/>
      <c r="D9" s="27">
        <v>1191</v>
      </c>
      <c r="E9" s="27"/>
      <c r="F9" s="27">
        <f>1070+109</f>
        <v>1179</v>
      </c>
      <c r="G9" s="27"/>
      <c r="H9" s="27"/>
      <c r="I9" s="27"/>
      <c r="J9" s="27"/>
      <c r="K9" s="27"/>
      <c r="L9" s="27"/>
      <c r="M9" s="27"/>
      <c r="N9" s="27">
        <v>400</v>
      </c>
      <c r="O9" s="27">
        <v>277</v>
      </c>
      <c r="P9" s="27"/>
      <c r="Q9" s="27"/>
      <c r="R9" s="27"/>
      <c r="S9" s="27"/>
      <c r="T9" s="27"/>
      <c r="U9" s="27"/>
      <c r="V9" s="27">
        <f t="shared" si="0"/>
        <v>3047</v>
      </c>
      <c r="W9" s="28"/>
      <c r="X9" s="31"/>
    </row>
    <row r="10" spans="1:46">
      <c r="A10" s="26">
        <v>12</v>
      </c>
      <c r="B10" s="26" t="s">
        <v>3</v>
      </c>
      <c r="C10" s="27"/>
      <c r="D10" s="27"/>
      <c r="E10" s="27"/>
      <c r="F10" s="27">
        <f>420+700</f>
        <v>1120</v>
      </c>
      <c r="G10" s="27">
        <f>1421+331</f>
        <v>1752</v>
      </c>
      <c r="H10" s="27"/>
      <c r="I10" s="27"/>
      <c r="J10" s="27"/>
      <c r="K10" s="27"/>
      <c r="L10" s="27"/>
      <c r="M10" s="27"/>
      <c r="N10" s="27">
        <v>294</v>
      </c>
      <c r="O10" s="27"/>
      <c r="P10" s="27"/>
      <c r="Q10" s="27"/>
      <c r="R10" s="27"/>
      <c r="S10" s="27">
        <f>387+864</f>
        <v>1251</v>
      </c>
      <c r="T10" s="27"/>
      <c r="U10" s="27"/>
      <c r="V10" s="27">
        <f t="shared" si="0"/>
        <v>4417</v>
      </c>
      <c r="W10" s="28"/>
      <c r="X10" s="31"/>
    </row>
    <row r="11" spans="1:46">
      <c r="A11" s="36">
        <v>13</v>
      </c>
      <c r="B11" s="36" t="s">
        <v>4</v>
      </c>
      <c r="C11" s="37"/>
      <c r="D11" s="37"/>
      <c r="E11" s="37"/>
      <c r="F11" s="37">
        <f>1070+60</f>
        <v>1130</v>
      </c>
      <c r="G11" s="37"/>
      <c r="H11" s="37"/>
      <c r="I11" s="37"/>
      <c r="J11" s="37"/>
      <c r="K11" s="37"/>
      <c r="L11" s="37"/>
      <c r="M11" s="37"/>
      <c r="N11" s="37">
        <f>251+328+262</f>
        <v>841</v>
      </c>
      <c r="O11" s="37"/>
      <c r="P11" s="37"/>
      <c r="Q11" s="37"/>
      <c r="R11" s="37"/>
      <c r="S11" s="37"/>
      <c r="T11" s="37"/>
      <c r="U11" s="37"/>
      <c r="V11" s="37">
        <f t="shared" si="0"/>
        <v>1971</v>
      </c>
      <c r="W11" s="38"/>
      <c r="X11" s="39"/>
    </row>
    <row r="12" spans="1:46">
      <c r="A12" s="26">
        <v>14</v>
      </c>
      <c r="B12" s="26" t="s">
        <v>5</v>
      </c>
      <c r="C12" s="27"/>
      <c r="D12" s="27"/>
      <c r="E12" s="27"/>
      <c r="F12" s="27"/>
      <c r="G12" s="37">
        <v>3605</v>
      </c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>
        <f t="shared" si="0"/>
        <v>3605</v>
      </c>
      <c r="W12" s="28"/>
      <c r="X12" s="31"/>
    </row>
    <row r="13" spans="1:46">
      <c r="A13" s="26">
        <v>15</v>
      </c>
      <c r="B13" s="26" t="s">
        <v>6</v>
      </c>
      <c r="C13" s="37">
        <f>318+2115</f>
        <v>2433</v>
      </c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>
        <f t="shared" si="0"/>
        <v>2433</v>
      </c>
      <c r="W13" s="28"/>
      <c r="X13" s="31"/>
    </row>
    <row r="14" spans="1:46">
      <c r="A14" s="26">
        <v>16</v>
      </c>
      <c r="B14" s="26" t="s">
        <v>7</v>
      </c>
      <c r="C14" s="27"/>
      <c r="D14" s="27"/>
      <c r="E14" s="27"/>
      <c r="F14" s="37">
        <f>350</f>
        <v>350</v>
      </c>
      <c r="G14" s="27"/>
      <c r="H14" s="27"/>
      <c r="I14" s="27"/>
      <c r="J14" s="27"/>
      <c r="K14" s="27"/>
      <c r="L14" s="27"/>
      <c r="M14" s="27"/>
      <c r="N14" s="27"/>
      <c r="O14" s="37">
        <v>291</v>
      </c>
      <c r="P14" s="27"/>
      <c r="Q14" s="27"/>
      <c r="R14" s="27"/>
      <c r="S14" s="27"/>
      <c r="T14" s="27"/>
      <c r="U14" s="27"/>
      <c r="V14" s="27">
        <f t="shared" si="0"/>
        <v>641</v>
      </c>
      <c r="W14" s="28"/>
      <c r="X14" s="31"/>
    </row>
    <row r="15" spans="1:46">
      <c r="A15" s="26">
        <v>17</v>
      </c>
      <c r="B15" s="26" t="s">
        <v>8</v>
      </c>
      <c r="C15" s="27"/>
      <c r="D15" s="27"/>
      <c r="E15" s="27"/>
      <c r="F15" s="37">
        <v>350</v>
      </c>
      <c r="G15" s="27"/>
      <c r="H15" s="27"/>
      <c r="I15" s="27"/>
      <c r="J15" s="27"/>
      <c r="K15" s="27"/>
      <c r="L15" s="27"/>
      <c r="M15" s="27"/>
      <c r="N15" s="27"/>
      <c r="O15" s="37">
        <v>1000</v>
      </c>
      <c r="P15" s="27"/>
      <c r="Q15" s="27"/>
      <c r="R15" s="27"/>
      <c r="S15" s="27"/>
      <c r="T15" s="27"/>
      <c r="U15" s="27"/>
      <c r="V15" s="27">
        <f t="shared" si="0"/>
        <v>1350</v>
      </c>
      <c r="W15" s="28"/>
      <c r="X15" s="31"/>
    </row>
    <row r="16" spans="1:46">
      <c r="A16" s="26">
        <v>18</v>
      </c>
      <c r="B16" s="26" t="s">
        <v>2</v>
      </c>
      <c r="C16" s="27"/>
      <c r="D16" s="27"/>
      <c r="E16" s="27"/>
      <c r="F16" s="37">
        <f>1080+109+350</f>
        <v>1539</v>
      </c>
      <c r="G16" s="27"/>
      <c r="H16" s="27"/>
      <c r="I16" s="27"/>
      <c r="J16" s="27"/>
      <c r="K16" s="27"/>
      <c r="L16" s="27"/>
      <c r="M16" s="27"/>
      <c r="N16" s="37">
        <v>400</v>
      </c>
      <c r="O16" s="27"/>
      <c r="P16" s="27"/>
      <c r="Q16" s="27"/>
      <c r="R16" s="27"/>
      <c r="S16" s="27"/>
      <c r="T16" s="27"/>
      <c r="U16" s="27"/>
      <c r="V16" s="27">
        <f t="shared" si="0"/>
        <v>1939</v>
      </c>
      <c r="W16" s="28"/>
      <c r="X16" s="31"/>
    </row>
    <row r="17" spans="1:24">
      <c r="A17" s="26">
        <v>19</v>
      </c>
      <c r="B17" s="26" t="s">
        <v>3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37">
        <f>159+358</f>
        <v>517</v>
      </c>
      <c r="O17" s="27"/>
      <c r="P17" s="27"/>
      <c r="Q17" s="27"/>
      <c r="R17" s="27"/>
      <c r="S17" s="27"/>
      <c r="T17" s="27"/>
      <c r="U17" s="27"/>
      <c r="V17" s="27">
        <f t="shared" si="0"/>
        <v>517</v>
      </c>
      <c r="W17" s="28"/>
      <c r="X17" s="31"/>
    </row>
    <row r="18" spans="1:24">
      <c r="A18" s="32">
        <v>20</v>
      </c>
      <c r="B18" s="32" t="s">
        <v>4</v>
      </c>
      <c r="C18" s="33">
        <f>220+2225+135</f>
        <v>2580</v>
      </c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>
        <v>499</v>
      </c>
      <c r="S18" s="33">
        <v>130</v>
      </c>
      <c r="T18" s="33"/>
      <c r="U18" s="33"/>
      <c r="V18" s="33">
        <f t="shared" si="0"/>
        <v>3209</v>
      </c>
      <c r="W18" s="34">
        <v>24676</v>
      </c>
      <c r="X18" s="35"/>
    </row>
    <row r="19" spans="1:24">
      <c r="A19" s="26">
        <v>21</v>
      </c>
      <c r="B19" s="26" t="s">
        <v>5</v>
      </c>
      <c r="C19" s="27">
        <f>780+65</f>
        <v>845</v>
      </c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>
        <f>570+120</f>
        <v>690</v>
      </c>
      <c r="S19" s="27">
        <v>4661</v>
      </c>
      <c r="T19" s="27">
        <v>1200</v>
      </c>
      <c r="U19" s="27"/>
      <c r="V19" s="27">
        <f t="shared" si="0"/>
        <v>7396</v>
      </c>
      <c r="W19" s="28"/>
      <c r="X19" s="31"/>
    </row>
    <row r="20" spans="1:24">
      <c r="A20" s="26">
        <v>22</v>
      </c>
      <c r="B20" s="26" t="s">
        <v>6</v>
      </c>
      <c r="C20" s="27">
        <f>5500-2600</f>
        <v>2900</v>
      </c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>
        <v>2600</v>
      </c>
      <c r="T20" s="27">
        <v>600</v>
      </c>
      <c r="U20" s="27"/>
      <c r="V20" s="27">
        <f t="shared" si="0"/>
        <v>6100</v>
      </c>
      <c r="W20" s="28"/>
      <c r="X20" s="31"/>
    </row>
    <row r="21" spans="1:24">
      <c r="A21" s="26">
        <v>23</v>
      </c>
      <c r="B21" s="26" t="s">
        <v>7</v>
      </c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>
        <v>311</v>
      </c>
      <c r="P21" s="27"/>
      <c r="Q21" s="27"/>
      <c r="R21" s="27"/>
      <c r="S21" s="27"/>
      <c r="T21" s="27"/>
      <c r="U21" s="27"/>
      <c r="V21" s="27">
        <f t="shared" si="0"/>
        <v>311</v>
      </c>
      <c r="W21" s="28"/>
      <c r="X21" s="31"/>
    </row>
    <row r="22" spans="1:24">
      <c r="A22" s="26">
        <v>24</v>
      </c>
      <c r="B22" s="26" t="s">
        <v>8</v>
      </c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>
        <v>295</v>
      </c>
      <c r="P22" s="27"/>
      <c r="Q22" s="27"/>
      <c r="R22" s="27"/>
      <c r="S22" s="27">
        <v>900</v>
      </c>
      <c r="T22" s="27"/>
      <c r="U22" s="27"/>
      <c r="V22" s="27">
        <f t="shared" si="0"/>
        <v>1195</v>
      </c>
      <c r="W22" s="28"/>
      <c r="X22" s="31"/>
    </row>
    <row r="23" spans="1:24">
      <c r="A23" s="26">
        <v>25</v>
      </c>
      <c r="B23" s="26" t="s">
        <v>2</v>
      </c>
      <c r="C23" s="27">
        <f>633</f>
        <v>633</v>
      </c>
      <c r="D23" s="27"/>
      <c r="E23" s="27"/>
      <c r="F23" s="27">
        <f>392+352</f>
        <v>744</v>
      </c>
      <c r="G23" s="27"/>
      <c r="H23" s="27"/>
      <c r="I23" s="27"/>
      <c r="J23" s="27"/>
      <c r="K23" s="27"/>
      <c r="L23" s="27"/>
      <c r="M23" s="27"/>
      <c r="N23" s="27">
        <f>204+188+400</f>
        <v>792</v>
      </c>
      <c r="O23" s="27"/>
      <c r="P23" s="27"/>
      <c r="Q23" s="27"/>
      <c r="R23" s="27"/>
      <c r="S23" s="27"/>
      <c r="T23" s="27"/>
      <c r="U23" s="27"/>
      <c r="V23" s="27">
        <f t="shared" si="0"/>
        <v>2169</v>
      </c>
      <c r="W23" s="28"/>
      <c r="X23" s="31"/>
    </row>
    <row r="24" spans="1:24">
      <c r="A24" s="26">
        <v>26</v>
      </c>
      <c r="B24" s="26" t="s">
        <v>3</v>
      </c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>
        <f t="shared" si="0"/>
        <v>0</v>
      </c>
      <c r="W24" s="28"/>
      <c r="X24" s="31"/>
    </row>
    <row r="25" spans="1:24">
      <c r="A25" s="26">
        <v>27</v>
      </c>
      <c r="B25" s="26" t="s">
        <v>4</v>
      </c>
      <c r="C25" s="27">
        <v>1104</v>
      </c>
      <c r="D25" s="27">
        <v>856</v>
      </c>
      <c r="E25" s="27"/>
      <c r="F25" s="27"/>
      <c r="G25" s="27"/>
      <c r="H25" s="27"/>
      <c r="I25" s="27"/>
      <c r="J25" s="27"/>
      <c r="K25" s="27"/>
      <c r="L25" s="27"/>
      <c r="M25" s="27"/>
      <c r="N25" s="27">
        <f>201+182</f>
        <v>383</v>
      </c>
      <c r="O25" s="27"/>
      <c r="P25" s="27"/>
      <c r="Q25" s="27"/>
      <c r="R25" s="27"/>
      <c r="S25" s="27"/>
      <c r="T25" s="27"/>
      <c r="U25" s="27"/>
      <c r="V25" s="27">
        <f t="shared" si="0"/>
        <v>2343</v>
      </c>
      <c r="W25" s="28"/>
      <c r="X25" s="31"/>
    </row>
    <row r="26" spans="1:24">
      <c r="A26" s="26">
        <v>28</v>
      </c>
      <c r="B26" s="26" t="s">
        <v>5</v>
      </c>
      <c r="C26" s="27"/>
      <c r="D26" s="27">
        <v>1067</v>
      </c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>
        <v>132</v>
      </c>
      <c r="T26" s="27"/>
      <c r="U26" s="27"/>
      <c r="V26" s="27">
        <f t="shared" si="0"/>
        <v>1199</v>
      </c>
      <c r="W26" s="28"/>
      <c r="X26" s="31"/>
    </row>
    <row r="27" spans="1:24">
      <c r="A27" s="26">
        <v>29</v>
      </c>
      <c r="B27" s="26" t="s">
        <v>6</v>
      </c>
      <c r="C27" s="37">
        <f>735+868</f>
        <v>1603</v>
      </c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>
        <f>322+198</f>
        <v>520</v>
      </c>
      <c r="O27" s="27"/>
      <c r="P27" s="27"/>
      <c r="Q27" s="27"/>
      <c r="R27" s="27"/>
      <c r="S27" s="27"/>
      <c r="T27" s="27"/>
      <c r="U27" s="27"/>
      <c r="V27" s="27">
        <f t="shared" si="0"/>
        <v>2123</v>
      </c>
      <c r="W27" s="28"/>
      <c r="X27" s="31"/>
    </row>
    <row r="28" spans="1:24">
      <c r="A28" s="26">
        <v>30</v>
      </c>
      <c r="B28" s="26" t="s">
        <v>7</v>
      </c>
      <c r="C28" s="27"/>
      <c r="D28" s="27"/>
      <c r="E28" s="27"/>
      <c r="F28" s="37">
        <f>350</f>
        <v>350</v>
      </c>
      <c r="G28" s="27"/>
      <c r="H28" s="27"/>
      <c r="I28" s="27"/>
      <c r="J28" s="27"/>
      <c r="K28" s="27"/>
      <c r="L28" s="27"/>
      <c r="M28" s="27"/>
      <c r="N28" s="37">
        <v>228</v>
      </c>
      <c r="O28" s="27"/>
      <c r="P28" s="27"/>
      <c r="Q28" s="27"/>
      <c r="R28" s="27"/>
      <c r="S28" s="27"/>
      <c r="T28" s="27"/>
      <c r="U28" s="27"/>
      <c r="V28" s="27">
        <f t="shared" si="0"/>
        <v>578</v>
      </c>
      <c r="W28" s="28"/>
      <c r="X28" s="31"/>
    </row>
    <row r="29" spans="1:24">
      <c r="A29" s="26">
        <v>31</v>
      </c>
      <c r="B29" s="26" t="s">
        <v>8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>
        <f t="shared" si="0"/>
        <v>0</v>
      </c>
      <c r="W29" s="28"/>
      <c r="X29" s="31"/>
    </row>
    <row r="30" spans="1:24">
      <c r="A30" s="26">
        <v>1</v>
      </c>
      <c r="B30" s="26" t="s">
        <v>2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>
        <f t="shared" si="0"/>
        <v>0</v>
      </c>
      <c r="W30" s="28"/>
      <c r="X30" s="31"/>
    </row>
    <row r="31" spans="1:24">
      <c r="A31" s="26">
        <v>2</v>
      </c>
      <c r="B31" s="26" t="s">
        <v>3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>
        <f t="shared" si="0"/>
        <v>0</v>
      </c>
      <c r="W31" s="28"/>
      <c r="X31" s="31"/>
    </row>
    <row r="32" spans="1:24">
      <c r="A32" s="139" t="s">
        <v>20</v>
      </c>
      <c r="B32" s="139"/>
      <c r="C32" s="28">
        <f>SUM(C3:C31)</f>
        <v>16843.349999999999</v>
      </c>
      <c r="D32" s="28">
        <f t="shared" ref="D32:U32" si="1">SUM(D3:D31)</f>
        <v>3114</v>
      </c>
      <c r="E32" s="28">
        <f t="shared" si="1"/>
        <v>0</v>
      </c>
      <c r="F32" s="28">
        <f t="shared" si="1"/>
        <v>8372</v>
      </c>
      <c r="G32" s="28">
        <f t="shared" si="1"/>
        <v>8765</v>
      </c>
      <c r="H32" s="28">
        <f t="shared" si="1"/>
        <v>1117</v>
      </c>
      <c r="I32" s="28">
        <f t="shared" si="1"/>
        <v>0</v>
      </c>
      <c r="J32" s="28">
        <f t="shared" si="1"/>
        <v>0</v>
      </c>
      <c r="K32" s="28">
        <f t="shared" si="1"/>
        <v>0</v>
      </c>
      <c r="L32" s="28">
        <f t="shared" si="1"/>
        <v>0</v>
      </c>
      <c r="M32" s="28">
        <f t="shared" si="1"/>
        <v>0</v>
      </c>
      <c r="N32" s="28">
        <f t="shared" si="1"/>
        <v>6106</v>
      </c>
      <c r="O32" s="28">
        <f t="shared" si="1"/>
        <v>2476</v>
      </c>
      <c r="P32" s="28">
        <f t="shared" si="1"/>
        <v>9758</v>
      </c>
      <c r="Q32" s="28">
        <f t="shared" si="1"/>
        <v>0</v>
      </c>
      <c r="R32" s="28">
        <f t="shared" si="1"/>
        <v>3180</v>
      </c>
      <c r="S32" s="28">
        <f t="shared" si="1"/>
        <v>12799.95</v>
      </c>
      <c r="T32" s="28">
        <f t="shared" si="1"/>
        <v>7800</v>
      </c>
      <c r="U32" s="28">
        <f t="shared" si="1"/>
        <v>0</v>
      </c>
      <c r="V32" s="29">
        <f>SUM(V3:V31)</f>
        <v>80331.3</v>
      </c>
      <c r="W32" s="28">
        <f>SUM(W3:W29)</f>
        <v>68400</v>
      </c>
      <c r="X32" s="31">
        <f>W32-V32</f>
        <v>-11931.300000000003</v>
      </c>
    </row>
    <row r="36" spans="2:10">
      <c r="B36" s="6"/>
      <c r="C36" s="6"/>
      <c r="D36" s="6"/>
      <c r="E36" s="6"/>
      <c r="F36" s="6"/>
      <c r="G36" s="6"/>
      <c r="H36" s="6"/>
      <c r="I36" s="6"/>
      <c r="J36" s="6"/>
    </row>
  </sheetData>
  <mergeCells count="2">
    <mergeCell ref="A32:B32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41"/>
  <sheetViews>
    <sheetView zoomScale="85" zoomScaleNormal="85" workbookViewId="0">
      <pane xSplit="2" ySplit="37" topLeftCell="P38" activePane="bottomRight" state="frozen"/>
      <selection pane="topRight" activeCell="C1" sqref="C1"/>
      <selection pane="bottomLeft" activeCell="A28" sqref="A28"/>
      <selection pane="bottomRight" activeCell="X30" sqref="X30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140" t="s">
        <v>38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</row>
    <row r="2" spans="1:47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34</v>
      </c>
      <c r="H2" s="30" t="s">
        <v>11</v>
      </c>
      <c r="I2" s="30" t="s">
        <v>30</v>
      </c>
      <c r="J2" s="30" t="s">
        <v>12</v>
      </c>
      <c r="K2" s="30" t="s">
        <v>24</v>
      </c>
      <c r="L2" s="30" t="s">
        <v>23</v>
      </c>
      <c r="M2" s="30" t="s">
        <v>13</v>
      </c>
      <c r="N2" s="30" t="s">
        <v>14</v>
      </c>
      <c r="O2" s="30" t="s">
        <v>15</v>
      </c>
      <c r="P2" s="30" t="s">
        <v>16</v>
      </c>
      <c r="Q2" s="30" t="s">
        <v>28</v>
      </c>
      <c r="R2" s="30" t="s">
        <v>17</v>
      </c>
      <c r="S2" s="30" t="s">
        <v>18</v>
      </c>
      <c r="T2" s="30" t="s">
        <v>25</v>
      </c>
      <c r="U2" s="30" t="s">
        <v>25</v>
      </c>
      <c r="V2" s="30" t="s">
        <v>26</v>
      </c>
      <c r="W2" s="30" t="s">
        <v>22</v>
      </c>
      <c r="X2" s="30" t="s">
        <v>19</v>
      </c>
      <c r="Y2" s="30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>
      <c r="A3" s="32">
        <v>3</v>
      </c>
      <c r="B3" s="32" t="s">
        <v>4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>
        <f>22000+3500</f>
        <v>25500</v>
      </c>
      <c r="R3" s="33"/>
      <c r="S3" s="33">
        <f>4660+702+799</f>
        <v>6161</v>
      </c>
      <c r="T3" s="33">
        <v>7000</v>
      </c>
      <c r="U3" s="33">
        <v>750</v>
      </c>
      <c r="V3" s="33"/>
      <c r="W3" s="33">
        <f>SUM(C3:V3)</f>
        <v>39411</v>
      </c>
      <c r="X3" s="34">
        <v>100688</v>
      </c>
      <c r="Y3" s="35"/>
    </row>
    <row r="4" spans="1:47">
      <c r="A4" s="40">
        <v>4</v>
      </c>
      <c r="B4" s="40" t="s">
        <v>5</v>
      </c>
      <c r="C4" s="41">
        <f>100+422+585</f>
        <v>1107</v>
      </c>
      <c r="D4" s="41">
        <v>3679</v>
      </c>
      <c r="E4" s="41"/>
      <c r="F4" s="41"/>
      <c r="G4" s="41"/>
      <c r="H4" s="41">
        <f>2320+1728</f>
        <v>4048</v>
      </c>
      <c r="I4" s="41"/>
      <c r="J4" s="41"/>
      <c r="K4" s="41">
        <v>3663.22</v>
      </c>
      <c r="L4" s="41"/>
      <c r="M4" s="41"/>
      <c r="N4" s="41">
        <v>5350</v>
      </c>
      <c r="O4" s="41"/>
      <c r="P4" s="41"/>
      <c r="Q4" s="41">
        <v>1025</v>
      </c>
      <c r="R4" s="41"/>
      <c r="S4" s="41">
        <v>100</v>
      </c>
      <c r="T4" s="41"/>
      <c r="U4" s="41">
        <v>990</v>
      </c>
      <c r="V4" s="41">
        <f>1320+1330+210</f>
        <v>2860</v>
      </c>
      <c r="W4" s="41">
        <f t="shared" ref="W4:W34" si="0">SUM(C4:V4)</f>
        <v>22822.22</v>
      </c>
      <c r="X4" s="42"/>
      <c r="Y4" s="43"/>
    </row>
    <row r="5" spans="1:47">
      <c r="A5" s="40">
        <v>5</v>
      </c>
      <c r="B5" s="40" t="s">
        <v>6</v>
      </c>
      <c r="C5" s="41">
        <f>3116+382</f>
        <v>3498</v>
      </c>
      <c r="D5" s="41"/>
      <c r="E5" s="41"/>
      <c r="F5" s="41"/>
      <c r="G5" s="41"/>
      <c r="H5" s="41"/>
      <c r="I5" s="41">
        <v>1500</v>
      </c>
      <c r="J5" s="41"/>
      <c r="K5" s="41"/>
      <c r="L5" s="41"/>
      <c r="M5" s="41"/>
      <c r="N5" s="41"/>
      <c r="O5" s="41"/>
      <c r="P5" s="41"/>
      <c r="Q5" s="41"/>
      <c r="R5" s="41">
        <v>9373</v>
      </c>
      <c r="S5" s="41">
        <v>199</v>
      </c>
      <c r="T5" s="41"/>
      <c r="U5" s="41"/>
      <c r="V5" s="41"/>
      <c r="W5" s="41">
        <f t="shared" si="0"/>
        <v>14570</v>
      </c>
      <c r="X5" s="42"/>
      <c r="Y5" s="43"/>
    </row>
    <row r="6" spans="1:47">
      <c r="A6" s="40">
        <v>6</v>
      </c>
      <c r="B6" s="40" t="s">
        <v>7</v>
      </c>
      <c r="C6" s="41">
        <v>918</v>
      </c>
      <c r="D6" s="41">
        <v>994</v>
      </c>
      <c r="E6" s="41"/>
      <c r="F6" s="41"/>
      <c r="G6" s="41"/>
      <c r="H6" s="41"/>
      <c r="I6" s="41"/>
      <c r="J6" s="41"/>
      <c r="K6" s="41">
        <v>3464</v>
      </c>
      <c r="L6" s="41"/>
      <c r="M6" s="41"/>
      <c r="N6" s="41"/>
      <c r="O6" s="41"/>
      <c r="P6" s="41">
        <f>500+288</f>
        <v>788</v>
      </c>
      <c r="Q6" s="41"/>
      <c r="R6" s="41"/>
      <c r="S6" s="41">
        <v>990</v>
      </c>
      <c r="T6" s="41"/>
      <c r="U6" s="41"/>
      <c r="V6" s="41"/>
      <c r="W6" s="41">
        <f t="shared" si="0"/>
        <v>7154</v>
      </c>
      <c r="X6" s="42"/>
      <c r="Y6" s="43"/>
    </row>
    <row r="7" spans="1:47">
      <c r="A7" s="40">
        <v>7</v>
      </c>
      <c r="B7" s="40" t="s">
        <v>8</v>
      </c>
      <c r="C7" s="41"/>
      <c r="D7" s="41">
        <v>714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>
        <f>500+280</f>
        <v>780</v>
      </c>
      <c r="Q7" s="41"/>
      <c r="R7" s="41"/>
      <c r="S7" s="41"/>
      <c r="T7" s="41"/>
      <c r="U7" s="41"/>
      <c r="V7" s="41"/>
      <c r="W7" s="41">
        <f t="shared" si="0"/>
        <v>1494</v>
      </c>
      <c r="X7" s="42"/>
      <c r="Y7" s="43"/>
    </row>
    <row r="8" spans="1:47">
      <c r="A8" s="40">
        <v>8</v>
      </c>
      <c r="B8" s="40" t="s">
        <v>2</v>
      </c>
      <c r="C8" s="41"/>
      <c r="D8" s="41"/>
      <c r="E8" s="41"/>
      <c r="F8" s="41">
        <v>420</v>
      </c>
      <c r="G8" s="41">
        <v>835</v>
      </c>
      <c r="H8" s="41">
        <v>285</v>
      </c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>
        <f t="shared" si="0"/>
        <v>1540</v>
      </c>
      <c r="X8" s="42"/>
      <c r="Y8" s="43"/>
    </row>
    <row r="9" spans="1:47">
      <c r="A9" s="40">
        <v>9</v>
      </c>
      <c r="B9" s="40" t="s">
        <v>3</v>
      </c>
      <c r="C9" s="41">
        <v>863</v>
      </c>
      <c r="D9" s="41">
        <v>710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>
        <v>409</v>
      </c>
      <c r="P9" s="41"/>
      <c r="Q9" s="41"/>
      <c r="R9" s="41"/>
      <c r="S9" s="41"/>
      <c r="T9" s="41"/>
      <c r="U9" s="41"/>
      <c r="V9" s="41"/>
      <c r="W9" s="41">
        <f t="shared" si="0"/>
        <v>1982</v>
      </c>
      <c r="X9" s="42"/>
      <c r="Y9" s="43"/>
    </row>
    <row r="10" spans="1:47">
      <c r="A10" s="40">
        <v>10</v>
      </c>
      <c r="B10" s="40" t="s">
        <v>4</v>
      </c>
      <c r="C10" s="41">
        <v>319</v>
      </c>
      <c r="D10" s="41">
        <v>940</v>
      </c>
      <c r="E10" s="41">
        <v>1895</v>
      </c>
      <c r="F10" s="41"/>
      <c r="G10" s="41">
        <v>835</v>
      </c>
      <c r="H10" s="41"/>
      <c r="I10" s="41">
        <v>1034</v>
      </c>
      <c r="J10" s="41"/>
      <c r="K10" s="41"/>
      <c r="L10" s="41"/>
      <c r="M10" s="41"/>
      <c r="N10" s="41"/>
      <c r="O10" s="41">
        <v>275</v>
      </c>
      <c r="P10" s="41"/>
      <c r="Q10" s="41"/>
      <c r="R10" s="41"/>
      <c r="S10" s="41"/>
      <c r="T10" s="41"/>
      <c r="U10" s="41"/>
      <c r="V10" s="41"/>
      <c r="W10" s="41">
        <f t="shared" si="0"/>
        <v>5298</v>
      </c>
      <c r="X10" s="42"/>
      <c r="Y10" s="43"/>
    </row>
    <row r="11" spans="1:47">
      <c r="A11" s="40">
        <v>11</v>
      </c>
      <c r="B11" s="40" t="s">
        <v>5</v>
      </c>
      <c r="C11" s="41">
        <f>790+282</f>
        <v>1072</v>
      </c>
      <c r="D11" s="41">
        <v>1311</v>
      </c>
      <c r="E11" s="41"/>
      <c r="F11" s="41"/>
      <c r="G11" s="41"/>
      <c r="H11" s="41"/>
      <c r="I11" s="41"/>
      <c r="J11" s="41"/>
      <c r="K11" s="41"/>
      <c r="L11" s="41"/>
      <c r="M11" s="41"/>
      <c r="N11" s="41">
        <f>1500+1900</f>
        <v>3400</v>
      </c>
      <c r="O11" s="41">
        <f>302+243</f>
        <v>545</v>
      </c>
      <c r="P11" s="41"/>
      <c r="Q11" s="41"/>
      <c r="R11" s="41"/>
      <c r="S11" s="41"/>
      <c r="T11" s="41"/>
      <c r="U11" s="41"/>
      <c r="V11" s="41"/>
      <c r="W11" s="41">
        <f t="shared" si="0"/>
        <v>6328</v>
      </c>
      <c r="X11" s="42">
        <v>5000</v>
      </c>
      <c r="Y11" s="43"/>
    </row>
    <row r="12" spans="1:47">
      <c r="A12" s="40">
        <v>12</v>
      </c>
      <c r="B12" s="40" t="s">
        <v>6</v>
      </c>
      <c r="C12" s="41">
        <f>69+603</f>
        <v>672</v>
      </c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>
        <f t="shared" si="0"/>
        <v>672</v>
      </c>
      <c r="X12" s="42">
        <v>10000</v>
      </c>
      <c r="Y12" s="43"/>
    </row>
    <row r="13" spans="1:47">
      <c r="A13" s="40">
        <v>13</v>
      </c>
      <c r="B13" s="40" t="s">
        <v>7</v>
      </c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>
        <f t="shared" si="0"/>
        <v>0</v>
      </c>
      <c r="X13" s="42"/>
      <c r="Y13" s="43"/>
    </row>
    <row r="14" spans="1:47">
      <c r="A14" s="40">
        <v>14</v>
      </c>
      <c r="B14" s="40" t="s">
        <v>8</v>
      </c>
      <c r="C14" s="41">
        <v>879</v>
      </c>
      <c r="D14" s="41"/>
      <c r="E14" s="41"/>
      <c r="F14" s="41">
        <v>1080</v>
      </c>
      <c r="G14" s="41">
        <v>580</v>
      </c>
      <c r="H14" s="41">
        <v>1261</v>
      </c>
      <c r="I14" s="41"/>
      <c r="J14" s="41"/>
      <c r="K14" s="41"/>
      <c r="L14" s="41"/>
      <c r="M14" s="41"/>
      <c r="N14" s="41"/>
      <c r="O14" s="41">
        <v>305</v>
      </c>
      <c r="P14" s="41"/>
      <c r="Q14" s="41"/>
      <c r="R14" s="41"/>
      <c r="S14" s="41"/>
      <c r="T14" s="41"/>
      <c r="U14" s="41"/>
      <c r="V14" s="41"/>
      <c r="W14" s="41">
        <f t="shared" si="0"/>
        <v>4105</v>
      </c>
      <c r="X14" s="42"/>
      <c r="Y14" s="43"/>
    </row>
    <row r="15" spans="1:47">
      <c r="A15" s="40">
        <v>15</v>
      </c>
      <c r="B15" s="40" t="s">
        <v>2</v>
      </c>
      <c r="C15" s="41">
        <v>700</v>
      </c>
      <c r="D15" s="41"/>
      <c r="E15" s="41"/>
      <c r="F15" s="41">
        <v>990</v>
      </c>
      <c r="G15" s="41"/>
      <c r="H15" s="41">
        <v>2200</v>
      </c>
      <c r="I15" s="41"/>
      <c r="J15" s="41"/>
      <c r="K15" s="41"/>
      <c r="L15" s="41"/>
      <c r="M15" s="41"/>
      <c r="N15" s="41"/>
      <c r="O15" s="41">
        <v>369</v>
      </c>
      <c r="P15" s="41"/>
      <c r="Q15" s="41"/>
      <c r="R15" s="41"/>
      <c r="S15" s="41"/>
      <c r="T15" s="41">
        <v>1400</v>
      </c>
      <c r="U15" s="41"/>
      <c r="V15" s="41"/>
      <c r="W15" s="41">
        <f t="shared" si="0"/>
        <v>5659</v>
      </c>
      <c r="X15" s="42"/>
      <c r="Y15" s="43"/>
    </row>
    <row r="16" spans="1:47">
      <c r="A16" s="40">
        <v>16</v>
      </c>
      <c r="B16" s="40" t="s">
        <v>3</v>
      </c>
      <c r="C16" s="41">
        <f>160+263</f>
        <v>423</v>
      </c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>
        <v>450</v>
      </c>
      <c r="U16" s="41"/>
      <c r="V16" s="41"/>
      <c r="W16" s="41">
        <f t="shared" si="0"/>
        <v>873</v>
      </c>
      <c r="X16" s="42"/>
      <c r="Y16" s="43"/>
    </row>
    <row r="17" spans="1:27">
      <c r="A17" s="40">
        <v>17</v>
      </c>
      <c r="B17" s="40" t="s">
        <v>4</v>
      </c>
      <c r="C17" s="41"/>
      <c r="D17" s="41"/>
      <c r="E17" s="41">
        <v>1116</v>
      </c>
      <c r="F17" s="41"/>
      <c r="G17" s="41"/>
      <c r="H17" s="41"/>
      <c r="I17" s="41"/>
      <c r="J17" s="41"/>
      <c r="K17" s="41"/>
      <c r="L17" s="41"/>
      <c r="M17" s="41"/>
      <c r="N17" s="41"/>
      <c r="O17" s="41">
        <v>307</v>
      </c>
      <c r="P17" s="41"/>
      <c r="Q17" s="41">
        <v>800</v>
      </c>
      <c r="R17" s="41"/>
      <c r="S17" s="41"/>
      <c r="T17" s="41"/>
      <c r="U17" s="41"/>
      <c r="V17" s="41"/>
      <c r="W17" s="41">
        <f t="shared" si="0"/>
        <v>2223</v>
      </c>
      <c r="X17" s="42"/>
      <c r="Y17" s="43"/>
    </row>
    <row r="18" spans="1:27">
      <c r="A18" s="40">
        <v>18</v>
      </c>
      <c r="B18" s="40" t="s">
        <v>5</v>
      </c>
      <c r="C18" s="41">
        <f>1357.83+470</f>
        <v>1827.83</v>
      </c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>
        <v>187</v>
      </c>
      <c r="P18" s="41"/>
      <c r="Q18" s="41"/>
      <c r="R18" s="41"/>
      <c r="S18" s="41"/>
      <c r="T18" s="41"/>
      <c r="U18" s="41"/>
      <c r="V18" s="41"/>
      <c r="W18" s="41">
        <f t="shared" si="0"/>
        <v>2014.83</v>
      </c>
      <c r="X18" s="42"/>
      <c r="Y18" s="43"/>
    </row>
    <row r="19" spans="1:27">
      <c r="A19" s="40">
        <v>19</v>
      </c>
      <c r="B19" s="40" t="s">
        <v>6</v>
      </c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>
        <v>700</v>
      </c>
      <c r="T19" s="41"/>
      <c r="U19" s="41"/>
      <c r="V19" s="41"/>
      <c r="W19" s="41">
        <f t="shared" si="0"/>
        <v>700</v>
      </c>
      <c r="X19" s="42"/>
      <c r="Y19" s="43"/>
    </row>
    <row r="20" spans="1:27">
      <c r="A20" s="142" t="s">
        <v>35</v>
      </c>
      <c r="B20" s="143"/>
      <c r="C20" s="45">
        <f>SUM(C3:C19)</f>
        <v>12278.83</v>
      </c>
      <c r="D20" s="45">
        <f t="shared" ref="D20:V20" si="1">SUM(D3:D19)</f>
        <v>8348</v>
      </c>
      <c r="E20" s="45">
        <f t="shared" si="1"/>
        <v>3011</v>
      </c>
      <c r="F20" s="45">
        <f t="shared" si="1"/>
        <v>2490</v>
      </c>
      <c r="G20" s="45">
        <f t="shared" si="1"/>
        <v>2250</v>
      </c>
      <c r="H20" s="45">
        <f t="shared" si="1"/>
        <v>7794</v>
      </c>
      <c r="I20" s="45">
        <f t="shared" si="1"/>
        <v>2534</v>
      </c>
      <c r="J20" s="45">
        <f t="shared" si="1"/>
        <v>0</v>
      </c>
      <c r="K20" s="45">
        <f t="shared" si="1"/>
        <v>7127.2199999999993</v>
      </c>
      <c r="L20" s="45">
        <f t="shared" si="1"/>
        <v>0</v>
      </c>
      <c r="M20" s="45">
        <f t="shared" si="1"/>
        <v>0</v>
      </c>
      <c r="N20" s="45">
        <f t="shared" si="1"/>
        <v>8750</v>
      </c>
      <c r="O20" s="45">
        <f t="shared" si="1"/>
        <v>2397</v>
      </c>
      <c r="P20" s="45">
        <f t="shared" si="1"/>
        <v>1568</v>
      </c>
      <c r="Q20" s="45">
        <f t="shared" si="1"/>
        <v>27325</v>
      </c>
      <c r="R20" s="45">
        <f t="shared" si="1"/>
        <v>9373</v>
      </c>
      <c r="S20" s="45">
        <f t="shared" si="1"/>
        <v>8150</v>
      </c>
      <c r="T20" s="45">
        <f t="shared" si="1"/>
        <v>8850</v>
      </c>
      <c r="U20" s="45">
        <f t="shared" si="1"/>
        <v>1740</v>
      </c>
      <c r="V20" s="45">
        <f t="shared" si="1"/>
        <v>2860</v>
      </c>
      <c r="W20" s="45">
        <f>SUM(W3:W19)</f>
        <v>116846.05</v>
      </c>
      <c r="X20" s="46">
        <f>SUM(X3:X19)</f>
        <v>115688</v>
      </c>
      <c r="Y20" s="47">
        <f>X20-W20</f>
        <v>-1158.0500000000029</v>
      </c>
    </row>
    <row r="21" spans="1:27">
      <c r="A21" s="32">
        <v>20</v>
      </c>
      <c r="B21" s="32" t="s">
        <v>7</v>
      </c>
      <c r="C21" s="33">
        <v>2409</v>
      </c>
      <c r="D21" s="33">
        <v>299</v>
      </c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>
        <v>187</v>
      </c>
      <c r="P21" s="33"/>
      <c r="Q21" s="33"/>
      <c r="R21" s="33"/>
      <c r="S21" s="33">
        <f>4660+700</f>
        <v>5360</v>
      </c>
      <c r="T21" s="33">
        <v>1634</v>
      </c>
      <c r="U21" s="33"/>
      <c r="V21" s="33"/>
      <c r="W21" s="33">
        <f t="shared" si="0"/>
        <v>9889</v>
      </c>
      <c r="X21" s="34">
        <v>36010</v>
      </c>
      <c r="Y21" s="35"/>
    </row>
    <row r="22" spans="1:27">
      <c r="A22" s="40">
        <v>21</v>
      </c>
      <c r="B22" s="40" t="s">
        <v>8</v>
      </c>
      <c r="C22" s="41">
        <v>374</v>
      </c>
      <c r="D22" s="41"/>
      <c r="E22" s="41"/>
      <c r="F22" s="41">
        <v>1080</v>
      </c>
      <c r="G22" s="41"/>
      <c r="H22" s="41">
        <v>572</v>
      </c>
      <c r="I22" s="41"/>
      <c r="J22" s="41"/>
      <c r="K22" s="41"/>
      <c r="L22" s="41"/>
      <c r="M22" s="41"/>
      <c r="N22" s="41"/>
      <c r="O22" s="41">
        <v>215</v>
      </c>
      <c r="P22" s="41"/>
      <c r="Q22" s="41"/>
      <c r="R22" s="41"/>
      <c r="S22" s="41"/>
      <c r="T22" s="41">
        <v>3700</v>
      </c>
      <c r="U22" s="41"/>
      <c r="V22" s="41"/>
      <c r="W22" s="41">
        <f t="shared" si="0"/>
        <v>5941</v>
      </c>
      <c r="X22" s="42"/>
      <c r="Y22" s="43"/>
      <c r="AA22" s="44"/>
    </row>
    <row r="23" spans="1:27">
      <c r="A23" s="40">
        <v>22</v>
      </c>
      <c r="B23" s="40" t="s">
        <v>2</v>
      </c>
      <c r="C23" s="41">
        <v>1027.8900000000001</v>
      </c>
      <c r="D23" s="41"/>
      <c r="E23" s="41"/>
      <c r="F23" s="41"/>
      <c r="G23" s="41">
        <v>835</v>
      </c>
      <c r="H23" s="41"/>
      <c r="I23" s="41"/>
      <c r="J23" s="41"/>
      <c r="K23" s="41"/>
      <c r="L23" s="41"/>
      <c r="M23" s="41"/>
      <c r="N23" s="41"/>
      <c r="O23" s="41">
        <v>265</v>
      </c>
      <c r="P23" s="41"/>
      <c r="Q23" s="41"/>
      <c r="R23" s="41"/>
      <c r="S23" s="41"/>
      <c r="T23" s="41"/>
      <c r="U23" s="41"/>
      <c r="V23" s="41"/>
      <c r="W23" s="41">
        <f t="shared" si="0"/>
        <v>2127.8900000000003</v>
      </c>
      <c r="X23" s="42"/>
      <c r="Y23" s="43"/>
    </row>
    <row r="24" spans="1:27">
      <c r="A24" s="40">
        <v>23</v>
      </c>
      <c r="B24" s="40" t="s">
        <v>3</v>
      </c>
      <c r="C24" s="41"/>
      <c r="D24" s="41"/>
      <c r="E24" s="41">
        <v>1344</v>
      </c>
      <c r="F24" s="41"/>
      <c r="G24" s="41"/>
      <c r="H24" s="41"/>
      <c r="I24" s="41"/>
      <c r="J24" s="41"/>
      <c r="K24" s="41"/>
      <c r="L24" s="41"/>
      <c r="M24" s="41"/>
      <c r="N24" s="41"/>
      <c r="O24" s="41">
        <v>349</v>
      </c>
      <c r="P24" s="41"/>
      <c r="Q24" s="41">
        <v>1000</v>
      </c>
      <c r="R24" s="41"/>
      <c r="S24" s="41"/>
      <c r="T24" s="41"/>
      <c r="U24" s="41"/>
      <c r="V24" s="41"/>
      <c r="W24" s="41">
        <f t="shared" si="0"/>
        <v>2693</v>
      </c>
      <c r="X24" s="42"/>
      <c r="Y24" s="43"/>
    </row>
    <row r="25" spans="1:27">
      <c r="A25" s="40">
        <v>24</v>
      </c>
      <c r="B25" s="40" t="s">
        <v>4</v>
      </c>
      <c r="C25" s="41">
        <v>1755</v>
      </c>
      <c r="D25" s="41"/>
      <c r="E25" s="41"/>
      <c r="F25" s="41">
        <v>1331</v>
      </c>
      <c r="G25" s="41"/>
      <c r="H25" s="41"/>
      <c r="I25" s="41"/>
      <c r="J25" s="41"/>
      <c r="K25" s="41"/>
      <c r="L25" s="41"/>
      <c r="M25" s="41"/>
      <c r="N25" s="41"/>
      <c r="O25" s="41">
        <v>180</v>
      </c>
      <c r="P25" s="41"/>
      <c r="Q25" s="41">
        <v>500</v>
      </c>
      <c r="R25" s="41"/>
      <c r="S25" s="41"/>
      <c r="T25" s="41"/>
      <c r="U25" s="41"/>
      <c r="V25" s="41"/>
      <c r="W25" s="41">
        <f t="shared" si="0"/>
        <v>3766</v>
      </c>
      <c r="X25" s="42"/>
      <c r="Y25" s="43"/>
    </row>
    <row r="26" spans="1:27">
      <c r="A26" s="40">
        <v>25</v>
      </c>
      <c r="B26" s="40" t="s">
        <v>5</v>
      </c>
      <c r="C26" s="41">
        <v>525</v>
      </c>
      <c r="D26" s="41">
        <v>1326</v>
      </c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>
        <v>251</v>
      </c>
      <c r="P26" s="41"/>
      <c r="Q26" s="41">
        <v>300</v>
      </c>
      <c r="R26" s="41"/>
      <c r="S26" s="41"/>
      <c r="T26" s="41"/>
      <c r="U26" s="41"/>
      <c r="V26" s="41"/>
      <c r="W26" s="41">
        <f t="shared" si="0"/>
        <v>2402</v>
      </c>
      <c r="X26" s="42"/>
      <c r="Y26" s="43"/>
    </row>
    <row r="27" spans="1:27">
      <c r="A27" s="40">
        <v>26</v>
      </c>
      <c r="B27" s="40" t="s">
        <v>6</v>
      </c>
      <c r="C27" s="41"/>
      <c r="D27" s="41">
        <v>2161</v>
      </c>
      <c r="E27" s="41">
        <v>1336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>
        <v>151</v>
      </c>
      <c r="R27" s="41"/>
      <c r="S27" s="41"/>
      <c r="T27" s="41"/>
      <c r="U27" s="41"/>
      <c r="V27" s="41"/>
      <c r="W27" s="41">
        <f t="shared" si="0"/>
        <v>3648</v>
      </c>
      <c r="X27" s="42"/>
      <c r="Y27" s="43"/>
    </row>
    <row r="28" spans="1:27">
      <c r="A28" s="40">
        <v>27</v>
      </c>
      <c r="B28" s="40" t="s">
        <v>7</v>
      </c>
      <c r="C28" s="41"/>
      <c r="D28" s="41">
        <v>1417</v>
      </c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>
        <f>677+345</f>
        <v>1022</v>
      </c>
      <c r="P28" s="41"/>
      <c r="Q28" s="41"/>
      <c r="R28" s="41"/>
      <c r="S28" s="41"/>
      <c r="T28" s="41"/>
      <c r="U28" s="41"/>
      <c r="V28" s="41"/>
      <c r="W28" s="41">
        <f t="shared" si="0"/>
        <v>2439</v>
      </c>
      <c r="X28" s="42"/>
      <c r="Y28" s="43"/>
    </row>
    <row r="29" spans="1:27">
      <c r="A29" s="40">
        <v>28</v>
      </c>
      <c r="B29" s="40" t="s">
        <v>8</v>
      </c>
      <c r="C29" s="41"/>
      <c r="D29" s="41">
        <v>1796</v>
      </c>
      <c r="E29" s="41"/>
      <c r="F29" s="41"/>
      <c r="G29" s="41">
        <v>485</v>
      </c>
      <c r="H29" s="41">
        <v>1360</v>
      </c>
      <c r="I29" s="41"/>
      <c r="J29" s="41"/>
      <c r="K29" s="41"/>
      <c r="L29" s="41"/>
      <c r="M29" s="41"/>
      <c r="N29" s="41"/>
      <c r="O29" s="41">
        <f>319+442</f>
        <v>761</v>
      </c>
      <c r="P29" s="41"/>
      <c r="Q29" s="41"/>
      <c r="R29" s="41"/>
      <c r="S29" s="41">
        <v>249</v>
      </c>
      <c r="T29" s="41"/>
      <c r="U29" s="41"/>
      <c r="V29" s="41"/>
      <c r="W29" s="41">
        <f t="shared" si="0"/>
        <v>4651</v>
      </c>
      <c r="X29" s="42"/>
      <c r="Y29" s="43"/>
    </row>
    <row r="30" spans="1:27">
      <c r="A30" s="40">
        <v>29</v>
      </c>
      <c r="B30" s="40" t="s">
        <v>2</v>
      </c>
      <c r="C30" s="41"/>
      <c r="D30" s="41"/>
      <c r="E30" s="41"/>
      <c r="F30" s="41">
        <v>614</v>
      </c>
      <c r="G30" s="41"/>
      <c r="H30" s="41"/>
      <c r="I30" s="41"/>
      <c r="J30" s="41"/>
      <c r="K30" s="41"/>
      <c r="L30" s="41"/>
      <c r="M30" s="41"/>
      <c r="N30" s="41"/>
      <c r="O30" s="41">
        <v>207</v>
      </c>
      <c r="P30" s="41"/>
      <c r="Q30" s="41"/>
      <c r="R30" s="41"/>
      <c r="S30" s="41"/>
      <c r="T30" s="41"/>
      <c r="U30" s="41"/>
      <c r="V30" s="41"/>
      <c r="W30" s="41">
        <f t="shared" si="0"/>
        <v>821</v>
      </c>
      <c r="X30" s="77">
        <v>10000</v>
      </c>
      <c r="Y30" s="43"/>
    </row>
    <row r="31" spans="1:27">
      <c r="A31" s="40">
        <v>30</v>
      </c>
      <c r="B31" s="40" t="s">
        <v>3</v>
      </c>
      <c r="C31" s="41">
        <f>90</f>
        <v>90</v>
      </c>
      <c r="D31" s="41"/>
      <c r="E31" s="41"/>
      <c r="F31" s="41"/>
      <c r="G31" s="41"/>
      <c r="H31" s="41">
        <f>1150+165</f>
        <v>1315</v>
      </c>
      <c r="I31" s="41"/>
      <c r="J31" s="41"/>
      <c r="K31" s="41"/>
      <c r="L31" s="41"/>
      <c r="M31" s="41"/>
      <c r="N31" s="41"/>
      <c r="O31" s="41"/>
      <c r="P31" s="41">
        <v>227</v>
      </c>
      <c r="Q31" s="41"/>
      <c r="R31" s="41"/>
      <c r="S31" s="41"/>
      <c r="T31" s="41"/>
      <c r="U31" s="41"/>
      <c r="V31" s="41"/>
      <c r="W31" s="41">
        <f t="shared" si="0"/>
        <v>1632</v>
      </c>
      <c r="X31" s="42"/>
      <c r="Y31" s="43"/>
    </row>
    <row r="32" spans="1:27">
      <c r="A32" s="40">
        <v>1</v>
      </c>
      <c r="B32" s="40" t="s">
        <v>4</v>
      </c>
      <c r="C32" s="41">
        <f>1695+809</f>
        <v>2504</v>
      </c>
      <c r="D32" s="41">
        <v>464</v>
      </c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>
        <v>145</v>
      </c>
      <c r="U32" s="41"/>
      <c r="V32" s="41"/>
      <c r="W32" s="41">
        <f t="shared" si="0"/>
        <v>3113</v>
      </c>
      <c r="X32" s="42"/>
      <c r="Y32" s="43"/>
    </row>
    <row r="33" spans="1:25">
      <c r="A33" s="40">
        <v>2</v>
      </c>
      <c r="B33" s="40" t="s">
        <v>5</v>
      </c>
      <c r="C33" s="41">
        <f>85+547</f>
        <v>632</v>
      </c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>
        <v>799</v>
      </c>
      <c r="T33" s="41">
        <v>62</v>
      </c>
      <c r="U33" s="41"/>
      <c r="V33" s="41"/>
      <c r="W33" s="41">
        <f t="shared" si="0"/>
        <v>1493</v>
      </c>
      <c r="X33" s="42"/>
      <c r="Y33" s="43"/>
    </row>
    <row r="34" spans="1:25">
      <c r="A34" s="40">
        <v>3</v>
      </c>
      <c r="B34" s="40" t="s">
        <v>6</v>
      </c>
      <c r="C34" s="41">
        <v>363</v>
      </c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>
        <v>20</v>
      </c>
      <c r="U34" s="41"/>
      <c r="V34" s="41"/>
      <c r="W34" s="41">
        <f t="shared" si="0"/>
        <v>383</v>
      </c>
      <c r="X34" s="42"/>
      <c r="Y34" s="43"/>
    </row>
    <row r="35" spans="1:25">
      <c r="A35" s="40">
        <v>4</v>
      </c>
      <c r="B35" s="40" t="s">
        <v>7</v>
      </c>
      <c r="C35" s="41">
        <f>47+1331</f>
        <v>1378</v>
      </c>
      <c r="D35" s="41">
        <v>89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>
        <v>327</v>
      </c>
      <c r="Q35" s="41"/>
      <c r="R35" s="41"/>
      <c r="S35" s="41"/>
      <c r="T35" s="41"/>
      <c r="U35" s="41"/>
      <c r="V35" s="41"/>
      <c r="W35" s="41">
        <f>SUM(C35:V35)</f>
        <v>1794</v>
      </c>
      <c r="X35" s="42">
        <v>2000</v>
      </c>
      <c r="Y35" s="43"/>
    </row>
    <row r="36" spans="1:25">
      <c r="A36" s="142" t="s">
        <v>36</v>
      </c>
      <c r="B36" s="143"/>
      <c r="C36" s="45">
        <f>SUM(C21:C35)</f>
        <v>11057.89</v>
      </c>
      <c r="D36" s="45">
        <f t="shared" ref="D36:V36" si="2">SUM(D21:D35)</f>
        <v>7552</v>
      </c>
      <c r="E36" s="45">
        <f t="shared" si="2"/>
        <v>2680</v>
      </c>
      <c r="F36" s="45">
        <f t="shared" si="2"/>
        <v>3025</v>
      </c>
      <c r="G36" s="45">
        <f t="shared" si="2"/>
        <v>1320</v>
      </c>
      <c r="H36" s="45">
        <f t="shared" si="2"/>
        <v>3247</v>
      </c>
      <c r="I36" s="45">
        <f t="shared" si="2"/>
        <v>0</v>
      </c>
      <c r="J36" s="45">
        <f t="shared" si="2"/>
        <v>0</v>
      </c>
      <c r="K36" s="45">
        <f t="shared" si="2"/>
        <v>0</v>
      </c>
      <c r="L36" s="45">
        <f t="shared" si="2"/>
        <v>0</v>
      </c>
      <c r="M36" s="45">
        <f t="shared" si="2"/>
        <v>0</v>
      </c>
      <c r="N36" s="45">
        <f t="shared" si="2"/>
        <v>0</v>
      </c>
      <c r="O36" s="45">
        <f t="shared" si="2"/>
        <v>3437</v>
      </c>
      <c r="P36" s="45">
        <f t="shared" si="2"/>
        <v>554</v>
      </c>
      <c r="Q36" s="45">
        <f t="shared" si="2"/>
        <v>1951</v>
      </c>
      <c r="R36" s="45">
        <f t="shared" si="2"/>
        <v>0</v>
      </c>
      <c r="S36" s="45">
        <f t="shared" si="2"/>
        <v>6408</v>
      </c>
      <c r="T36" s="45">
        <f>SUM(T21:T35)</f>
        <v>5561</v>
      </c>
      <c r="U36" s="45">
        <f t="shared" si="2"/>
        <v>0</v>
      </c>
      <c r="V36" s="45">
        <f t="shared" si="2"/>
        <v>0</v>
      </c>
      <c r="W36" s="45">
        <f>SUM(W21:W35)</f>
        <v>46792.89</v>
      </c>
      <c r="X36" s="46">
        <f>SUM(X21:X35)</f>
        <v>48010</v>
      </c>
      <c r="Y36" s="47">
        <f>X36-W36</f>
        <v>1217.1100000000006</v>
      </c>
    </row>
    <row r="37" spans="1:25" ht="31.5" customHeight="1">
      <c r="A37" s="141" t="s">
        <v>37</v>
      </c>
      <c r="B37" s="141"/>
      <c r="C37" s="48">
        <f>SUM(C20,C36)</f>
        <v>23336.720000000001</v>
      </c>
      <c r="D37" s="48">
        <f t="shared" ref="D37:V37" si="3">SUM(D20,D36)</f>
        <v>15900</v>
      </c>
      <c r="E37" s="48">
        <f t="shared" si="3"/>
        <v>5691</v>
      </c>
      <c r="F37" s="48">
        <f t="shared" si="3"/>
        <v>5515</v>
      </c>
      <c r="G37" s="48">
        <f t="shared" si="3"/>
        <v>3570</v>
      </c>
      <c r="H37" s="48">
        <f t="shared" si="3"/>
        <v>11041</v>
      </c>
      <c r="I37" s="48">
        <f t="shared" si="3"/>
        <v>2534</v>
      </c>
      <c r="J37" s="48">
        <f t="shared" si="3"/>
        <v>0</v>
      </c>
      <c r="K37" s="48">
        <f t="shared" si="3"/>
        <v>7127.2199999999993</v>
      </c>
      <c r="L37" s="48">
        <f t="shared" si="3"/>
        <v>0</v>
      </c>
      <c r="M37" s="48">
        <f t="shared" si="3"/>
        <v>0</v>
      </c>
      <c r="N37" s="48">
        <f t="shared" si="3"/>
        <v>8750</v>
      </c>
      <c r="O37" s="48">
        <f t="shared" si="3"/>
        <v>5834</v>
      </c>
      <c r="P37" s="48">
        <f t="shared" si="3"/>
        <v>2122</v>
      </c>
      <c r="Q37" s="48">
        <f t="shared" si="3"/>
        <v>29276</v>
      </c>
      <c r="R37" s="48">
        <f t="shared" si="3"/>
        <v>9373</v>
      </c>
      <c r="S37" s="48">
        <f>SUM(S20,S36)</f>
        <v>14558</v>
      </c>
      <c r="T37" s="48">
        <f t="shared" si="3"/>
        <v>14411</v>
      </c>
      <c r="U37" s="48">
        <f t="shared" si="3"/>
        <v>1740</v>
      </c>
      <c r="V37" s="48">
        <f t="shared" si="3"/>
        <v>2860</v>
      </c>
      <c r="W37" s="48">
        <f t="shared" ref="W37" si="4">SUM(W20,W36)</f>
        <v>163638.94</v>
      </c>
      <c r="X37" s="48">
        <f>SUM(X20,X36)</f>
        <v>163698</v>
      </c>
      <c r="Y37" s="48">
        <f>SUM(Y20,Y36)</f>
        <v>59.059999999997672</v>
      </c>
    </row>
    <row r="41" spans="1:25">
      <c r="B41" s="6"/>
      <c r="C41" s="6"/>
      <c r="D41" s="6"/>
      <c r="E41" s="6"/>
      <c r="F41" s="6"/>
      <c r="G41" s="6"/>
      <c r="H41" s="6"/>
      <c r="I41" s="6"/>
      <c r="J41" s="6"/>
      <c r="K41" s="6"/>
    </row>
  </sheetData>
  <mergeCells count="4">
    <mergeCell ref="A1:Y1"/>
    <mergeCell ref="A37:B37"/>
    <mergeCell ref="A20:B20"/>
    <mergeCell ref="A36:B36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40"/>
  <sheetViews>
    <sheetView zoomScale="85" zoomScaleNormal="85" workbookViewId="0">
      <pane xSplit="2" ySplit="36" topLeftCell="C37" activePane="bottomRight" state="frozen"/>
      <selection pane="topRight" activeCell="C1" sqref="C1"/>
      <selection pane="bottomLeft" activeCell="A28" sqref="A28"/>
      <selection pane="bottomRight" activeCell="AA28" sqref="AA28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144" t="s">
        <v>57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144"/>
      <c r="X1" s="144"/>
      <c r="Y1" s="144"/>
    </row>
    <row r="2" spans="1:47" ht="45" customHeight="1">
      <c r="A2" s="59" t="s">
        <v>0</v>
      </c>
      <c r="B2" s="59" t="s">
        <v>1</v>
      </c>
      <c r="C2" s="59" t="s">
        <v>9</v>
      </c>
      <c r="D2" s="59" t="s">
        <v>29</v>
      </c>
      <c r="E2" s="59" t="s">
        <v>10</v>
      </c>
      <c r="F2" s="59" t="s">
        <v>33</v>
      </c>
      <c r="G2" s="59" t="s">
        <v>34</v>
      </c>
      <c r="H2" s="59" t="s">
        <v>11</v>
      </c>
      <c r="I2" s="59" t="s">
        <v>30</v>
      </c>
      <c r="J2" s="59" t="s">
        <v>12</v>
      </c>
      <c r="K2" s="59" t="s">
        <v>24</v>
      </c>
      <c r="L2" s="59" t="s">
        <v>23</v>
      </c>
      <c r="M2" s="59" t="s">
        <v>13</v>
      </c>
      <c r="N2" s="59" t="s">
        <v>14</v>
      </c>
      <c r="O2" s="59" t="s">
        <v>15</v>
      </c>
      <c r="P2" s="59" t="s">
        <v>16</v>
      </c>
      <c r="Q2" s="59" t="s">
        <v>28</v>
      </c>
      <c r="R2" s="59" t="s">
        <v>17</v>
      </c>
      <c r="S2" s="59" t="s">
        <v>18</v>
      </c>
      <c r="T2" s="59" t="s">
        <v>25</v>
      </c>
      <c r="U2" s="59" t="s">
        <v>25</v>
      </c>
      <c r="V2" s="59" t="s">
        <v>26</v>
      </c>
      <c r="W2" s="59" t="s">
        <v>22</v>
      </c>
      <c r="X2" s="59" t="s">
        <v>19</v>
      </c>
      <c r="Y2" s="59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8</v>
      </c>
      <c r="C3" s="71"/>
      <c r="D3" s="71">
        <f>178+110</f>
        <v>288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>
        <f>1000+281</f>
        <v>1281</v>
      </c>
      <c r="Q3" s="71"/>
      <c r="R3" s="71"/>
      <c r="S3" s="71">
        <f>199+4660+700</f>
        <v>5559</v>
      </c>
      <c r="T3" s="71">
        <v>7000</v>
      </c>
      <c r="U3" s="71"/>
      <c r="V3" s="71"/>
      <c r="W3" s="71">
        <f>SUM(C3:V3)</f>
        <v>14128</v>
      </c>
      <c r="X3" s="64">
        <v>53970.91</v>
      </c>
      <c r="Y3" s="65"/>
    </row>
    <row r="4" spans="1:47" ht="15.75">
      <c r="A4" s="66">
        <v>6</v>
      </c>
      <c r="B4" s="67" t="s">
        <v>2</v>
      </c>
      <c r="C4" s="72"/>
      <c r="D4" s="72">
        <v>110</v>
      </c>
      <c r="E4" s="72"/>
      <c r="F4" s="72"/>
      <c r="G4" s="72"/>
      <c r="H4" s="72">
        <f>2500+270</f>
        <v>2770</v>
      </c>
      <c r="I4" s="72"/>
      <c r="J4" s="72"/>
      <c r="K4" s="72"/>
      <c r="L4" s="72"/>
      <c r="M4" s="72"/>
      <c r="N4" s="72"/>
      <c r="O4" s="72">
        <f>363+350</f>
        <v>713</v>
      </c>
      <c r="P4" s="72"/>
      <c r="Q4" s="72"/>
      <c r="R4" s="72"/>
      <c r="S4" s="72"/>
      <c r="T4" s="72"/>
      <c r="U4" s="72"/>
      <c r="V4" s="72"/>
      <c r="W4" s="72">
        <f>SUM(C4:V4)</f>
        <v>3593</v>
      </c>
      <c r="X4" s="68"/>
      <c r="Y4" s="69"/>
    </row>
    <row r="5" spans="1:47" ht="15.75">
      <c r="A5" s="62">
        <v>7</v>
      </c>
      <c r="B5" s="63" t="s">
        <v>3</v>
      </c>
      <c r="C5" s="71">
        <f>1497+707</f>
        <v>2204</v>
      </c>
      <c r="D5" s="71">
        <v>520</v>
      </c>
      <c r="E5" s="71"/>
      <c r="F5" s="71">
        <f>189</f>
        <v>189</v>
      </c>
      <c r="G5" s="71"/>
      <c r="H5" s="71"/>
      <c r="I5" s="71">
        <v>750</v>
      </c>
      <c r="J5" s="71"/>
      <c r="K5" s="71"/>
      <c r="L5" s="71"/>
      <c r="M5" s="71"/>
      <c r="N5" s="71"/>
      <c r="O5" s="71">
        <v>245</v>
      </c>
      <c r="P5" s="71"/>
      <c r="Q5" s="71"/>
      <c r="R5" s="71"/>
      <c r="S5" s="71">
        <v>990</v>
      </c>
      <c r="T5" s="71"/>
      <c r="U5" s="71"/>
      <c r="V5" s="71"/>
      <c r="W5" s="71">
        <f t="shared" ref="W5:W17" si="0">SUM(C5:V5)</f>
        <v>4898</v>
      </c>
      <c r="X5" s="64"/>
      <c r="Y5" s="65"/>
    </row>
    <row r="6" spans="1:47" ht="15.75">
      <c r="A6" s="66">
        <v>8</v>
      </c>
      <c r="B6" s="67" t="s">
        <v>4</v>
      </c>
      <c r="C6" s="72"/>
      <c r="D6" s="72">
        <v>2122</v>
      </c>
      <c r="E6" s="72"/>
      <c r="F6" s="72"/>
      <c r="G6" s="72"/>
      <c r="H6" s="72">
        <v>3695</v>
      </c>
      <c r="I6" s="72"/>
      <c r="J6" s="72"/>
      <c r="K6" s="72"/>
      <c r="L6" s="72"/>
      <c r="M6" s="72"/>
      <c r="N6" s="72"/>
      <c r="O6" s="72">
        <f>350+407+249</f>
        <v>1006</v>
      </c>
      <c r="P6" s="72"/>
      <c r="Q6" s="72"/>
      <c r="R6" s="72"/>
      <c r="S6" s="72"/>
      <c r="T6" s="72"/>
      <c r="U6" s="72"/>
      <c r="V6" s="72"/>
      <c r="W6" s="72">
        <f t="shared" si="0"/>
        <v>6823</v>
      </c>
      <c r="X6" s="68"/>
      <c r="Y6" s="69"/>
    </row>
    <row r="7" spans="1:47" ht="15.75">
      <c r="A7" s="62">
        <v>9</v>
      </c>
      <c r="B7" s="63" t="s">
        <v>5</v>
      </c>
      <c r="C7" s="71"/>
      <c r="D7" s="71"/>
      <c r="E7" s="71"/>
      <c r="F7" s="71"/>
      <c r="G7" s="71"/>
      <c r="H7" s="71"/>
      <c r="I7" s="71"/>
      <c r="J7" s="71"/>
      <c r="K7" s="71">
        <v>1008.31</v>
      </c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>
        <f t="shared" si="0"/>
        <v>1008.31</v>
      </c>
      <c r="X7" s="64">
        <v>3000</v>
      </c>
      <c r="Y7" s="65"/>
    </row>
    <row r="8" spans="1:47" ht="15.75">
      <c r="A8" s="66">
        <v>10</v>
      </c>
      <c r="B8" s="67" t="s">
        <v>6</v>
      </c>
      <c r="C8" s="72"/>
      <c r="D8" s="72">
        <v>2550.04</v>
      </c>
      <c r="E8" s="72"/>
      <c r="F8" s="72"/>
      <c r="G8" s="72"/>
      <c r="H8" s="72"/>
      <c r="I8" s="72"/>
      <c r="J8" s="72"/>
      <c r="K8" s="72">
        <v>1763.15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>
        <f t="shared" si="0"/>
        <v>4313.1900000000005</v>
      </c>
      <c r="X8" s="68"/>
      <c r="Y8" s="69"/>
    </row>
    <row r="9" spans="1:47" ht="15.75">
      <c r="A9" s="62">
        <v>11</v>
      </c>
      <c r="B9" s="63" t="s">
        <v>7</v>
      </c>
      <c r="C9" s="71">
        <f>3150.35+125</f>
        <v>3275.35</v>
      </c>
      <c r="D9" s="71">
        <f>264+1506</f>
        <v>1770</v>
      </c>
      <c r="E9" s="71"/>
      <c r="F9" s="71"/>
      <c r="G9" s="71"/>
      <c r="H9" s="71"/>
      <c r="I9" s="71"/>
      <c r="J9" s="71"/>
      <c r="K9" s="71">
        <v>2244.06</v>
      </c>
      <c r="L9" s="71"/>
      <c r="M9" s="71"/>
      <c r="N9" s="71"/>
      <c r="O9" s="71"/>
      <c r="P9" s="71">
        <v>1000</v>
      </c>
      <c r="Q9" s="71"/>
      <c r="R9" s="71"/>
      <c r="S9" s="71"/>
      <c r="T9" s="71">
        <f>100+100+400</f>
        <v>600</v>
      </c>
      <c r="U9" s="71"/>
      <c r="V9" s="71"/>
      <c r="W9" s="71">
        <f t="shared" si="0"/>
        <v>8889.41</v>
      </c>
      <c r="X9" s="64"/>
      <c r="Y9" s="65"/>
    </row>
    <row r="10" spans="1:47" ht="15.75">
      <c r="A10" s="66">
        <v>12</v>
      </c>
      <c r="B10" s="67" t="s">
        <v>8</v>
      </c>
      <c r="C10" s="72"/>
      <c r="D10" s="72"/>
      <c r="E10" s="72"/>
      <c r="F10" s="72">
        <v>1245</v>
      </c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>
        <f>1000+1000</f>
        <v>2000</v>
      </c>
      <c r="R10" s="72"/>
      <c r="S10" s="72"/>
      <c r="T10" s="72"/>
      <c r="U10" s="72"/>
      <c r="V10" s="72"/>
      <c r="W10" s="72">
        <f t="shared" si="0"/>
        <v>3245</v>
      </c>
      <c r="X10" s="68"/>
      <c r="Y10" s="69"/>
    </row>
    <row r="11" spans="1:47" ht="15.75">
      <c r="A11" s="62">
        <v>13</v>
      </c>
      <c r="B11" s="63" t="s">
        <v>2</v>
      </c>
      <c r="C11" s="71"/>
      <c r="D11" s="71"/>
      <c r="E11" s="71"/>
      <c r="F11" s="71"/>
      <c r="G11" s="71"/>
      <c r="H11" s="71">
        <f>210+1009</f>
        <v>1219</v>
      </c>
      <c r="I11" s="71"/>
      <c r="J11" s="71"/>
      <c r="K11" s="71"/>
      <c r="L11" s="71"/>
      <c r="M11" s="71"/>
      <c r="N11" s="71"/>
      <c r="O11" s="71"/>
      <c r="P11" s="71">
        <v>340</v>
      </c>
      <c r="Q11" s="71"/>
      <c r="R11" s="71"/>
      <c r="S11" s="71"/>
      <c r="T11" s="71">
        <v>1479</v>
      </c>
      <c r="U11" s="71"/>
      <c r="V11" s="71"/>
      <c r="W11" s="71">
        <f t="shared" si="0"/>
        <v>3038</v>
      </c>
      <c r="X11" s="64"/>
      <c r="Y11" s="65"/>
    </row>
    <row r="12" spans="1:47" ht="15.75">
      <c r="A12" s="66">
        <v>14</v>
      </c>
      <c r="B12" s="67" t="s">
        <v>3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367</v>
      </c>
      <c r="P12" s="72">
        <v>285</v>
      </c>
      <c r="Q12" s="72"/>
      <c r="R12" s="72"/>
      <c r="S12" s="72"/>
      <c r="T12" s="72">
        <v>220</v>
      </c>
      <c r="U12" s="72"/>
      <c r="V12" s="72"/>
      <c r="W12" s="72">
        <f t="shared" si="0"/>
        <v>872</v>
      </c>
      <c r="X12" s="68"/>
      <c r="Y12" s="69"/>
    </row>
    <row r="13" spans="1:47" ht="15.75">
      <c r="A13" s="62">
        <v>15</v>
      </c>
      <c r="B13" s="63" t="s">
        <v>4</v>
      </c>
      <c r="C13" s="71"/>
      <c r="D13" s="71"/>
      <c r="E13" s="71"/>
      <c r="F13" s="71"/>
      <c r="G13" s="71"/>
      <c r="H13" s="71">
        <v>1220</v>
      </c>
      <c r="I13" s="71"/>
      <c r="J13" s="71"/>
      <c r="K13" s="71"/>
      <c r="L13" s="71"/>
      <c r="M13" s="71"/>
      <c r="N13" s="71"/>
      <c r="O13" s="71"/>
      <c r="P13" s="71">
        <v>131</v>
      </c>
      <c r="Q13" s="71">
        <v>1012</v>
      </c>
      <c r="R13" s="71"/>
      <c r="S13" s="71"/>
      <c r="T13" s="71"/>
      <c r="U13" s="71"/>
      <c r="V13" s="71"/>
      <c r="W13" s="71">
        <f t="shared" si="0"/>
        <v>2363</v>
      </c>
      <c r="X13" s="64"/>
      <c r="Y13" s="65"/>
    </row>
    <row r="14" spans="1:47" ht="15.75">
      <c r="A14" s="66">
        <v>16</v>
      </c>
      <c r="B14" s="67" t="s">
        <v>5</v>
      </c>
      <c r="C14" s="72">
        <f>384+1318+1214</f>
        <v>2916</v>
      </c>
      <c r="D14" s="72">
        <v>1351.32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>
        <v>450</v>
      </c>
      <c r="R14" s="72"/>
      <c r="S14" s="72"/>
      <c r="T14" s="72"/>
      <c r="U14" s="72"/>
      <c r="V14" s="72"/>
      <c r="W14" s="72">
        <f t="shared" si="0"/>
        <v>4717.32</v>
      </c>
      <c r="X14" s="68"/>
      <c r="Y14" s="69"/>
    </row>
    <row r="15" spans="1:47" ht="15.75">
      <c r="A15" s="62">
        <v>17</v>
      </c>
      <c r="B15" s="63" t="s">
        <v>6</v>
      </c>
      <c r="C15" s="71">
        <v>33</v>
      </c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33</v>
      </c>
      <c r="X15" s="64"/>
      <c r="Y15" s="65"/>
    </row>
    <row r="16" spans="1:47" ht="15.75">
      <c r="A16" s="66">
        <v>18</v>
      </c>
      <c r="B16" s="67" t="s">
        <v>7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>
        <v>280</v>
      </c>
      <c r="Q16" s="72"/>
      <c r="R16" s="72"/>
      <c r="S16" s="72"/>
      <c r="T16" s="72"/>
      <c r="U16" s="72"/>
      <c r="V16" s="72"/>
      <c r="W16" s="72">
        <f t="shared" si="0"/>
        <v>280</v>
      </c>
      <c r="X16" s="68"/>
      <c r="Y16" s="69"/>
    </row>
    <row r="17" spans="1:27" ht="15.75">
      <c r="A17" s="62">
        <v>19</v>
      </c>
      <c r="B17" s="63" t="s">
        <v>8</v>
      </c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>
        <f t="shared" si="0"/>
        <v>0</v>
      </c>
      <c r="X17" s="64"/>
      <c r="Y17" s="65"/>
    </row>
    <row r="18" spans="1:27">
      <c r="A18" s="145" t="s">
        <v>35</v>
      </c>
      <c r="B18" s="145"/>
      <c r="C18" s="73">
        <f t="shared" ref="C18:X18" si="1">SUM(C3:C17)</f>
        <v>8428.35</v>
      </c>
      <c r="D18" s="73">
        <f t="shared" si="1"/>
        <v>8711.36</v>
      </c>
      <c r="E18" s="73">
        <f t="shared" si="1"/>
        <v>0</v>
      </c>
      <c r="F18" s="73">
        <f t="shared" si="1"/>
        <v>1434</v>
      </c>
      <c r="G18" s="73">
        <f t="shared" si="1"/>
        <v>0</v>
      </c>
      <c r="H18" s="73">
        <f t="shared" si="1"/>
        <v>8904</v>
      </c>
      <c r="I18" s="73">
        <f t="shared" si="1"/>
        <v>750</v>
      </c>
      <c r="J18" s="73">
        <f t="shared" si="1"/>
        <v>0</v>
      </c>
      <c r="K18" s="73">
        <f t="shared" si="1"/>
        <v>5015.5200000000004</v>
      </c>
      <c r="L18" s="73">
        <f t="shared" si="1"/>
        <v>0</v>
      </c>
      <c r="M18" s="73">
        <f t="shared" si="1"/>
        <v>0</v>
      </c>
      <c r="N18" s="73">
        <f t="shared" si="1"/>
        <v>0</v>
      </c>
      <c r="O18" s="73">
        <f t="shared" si="1"/>
        <v>2331</v>
      </c>
      <c r="P18" s="73">
        <f t="shared" si="1"/>
        <v>3317</v>
      </c>
      <c r="Q18" s="73">
        <f t="shared" si="1"/>
        <v>3462</v>
      </c>
      <c r="R18" s="73">
        <f t="shared" si="1"/>
        <v>0</v>
      </c>
      <c r="S18" s="73">
        <f t="shared" si="1"/>
        <v>6549</v>
      </c>
      <c r="T18" s="73">
        <f t="shared" si="1"/>
        <v>9299</v>
      </c>
      <c r="U18" s="73">
        <f t="shared" si="1"/>
        <v>0</v>
      </c>
      <c r="V18" s="73">
        <f t="shared" si="1"/>
        <v>0</v>
      </c>
      <c r="W18" s="73">
        <f t="shared" si="1"/>
        <v>58201.23</v>
      </c>
      <c r="X18" s="60">
        <f t="shared" si="1"/>
        <v>56970.91</v>
      </c>
      <c r="Y18" s="61">
        <f>X18-W18</f>
        <v>-1230.3199999999997</v>
      </c>
    </row>
    <row r="19" spans="1:27" ht="15.75">
      <c r="A19" s="62">
        <v>20</v>
      </c>
      <c r="B19" s="63" t="s">
        <v>2</v>
      </c>
      <c r="C19" s="71">
        <v>953</v>
      </c>
      <c r="D19" s="71">
        <v>1805.6</v>
      </c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>
        <v>285</v>
      </c>
      <c r="R19" s="71"/>
      <c r="S19" s="71">
        <v>700</v>
      </c>
      <c r="T19" s="71"/>
      <c r="U19" s="71"/>
      <c r="V19" s="71"/>
      <c r="W19" s="71">
        <f>SUM(C19:V19)</f>
        <v>3743.6</v>
      </c>
      <c r="X19" s="64">
        <v>32088.14</v>
      </c>
      <c r="Y19" s="65"/>
    </row>
    <row r="20" spans="1:27" ht="15.75">
      <c r="A20" s="66">
        <v>21</v>
      </c>
      <c r="B20" s="67" t="s">
        <v>3</v>
      </c>
      <c r="C20" s="72"/>
      <c r="D20" s="72">
        <f>1303+346+262</f>
        <v>1911</v>
      </c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>
        <f>553+689</f>
        <v>1242</v>
      </c>
      <c r="P20" s="72"/>
      <c r="Q20" s="72"/>
      <c r="R20" s="72"/>
      <c r="S20" s="72"/>
      <c r="T20" s="72">
        <v>849</v>
      </c>
      <c r="U20" s="72">
        <v>2000</v>
      </c>
      <c r="V20" s="72"/>
      <c r="W20" s="72">
        <f t="shared" ref="W20:W34" si="2">SUM(C20:V20)</f>
        <v>6002</v>
      </c>
      <c r="X20" s="68"/>
      <c r="Y20" s="69"/>
      <c r="AA20" s="44"/>
    </row>
    <row r="21" spans="1:27" ht="15.75">
      <c r="A21" s="62">
        <v>22</v>
      </c>
      <c r="B21" s="63" t="s">
        <v>4</v>
      </c>
      <c r="C21" s="71">
        <v>500</v>
      </c>
      <c r="D21" s="71"/>
      <c r="E21" s="71"/>
      <c r="F21" s="71"/>
      <c r="G21" s="71"/>
      <c r="H21" s="71">
        <f>1556+2900</f>
        <v>4456</v>
      </c>
      <c r="I21" s="71">
        <f>2101.91-500</f>
        <v>1601.9099999999999</v>
      </c>
      <c r="J21" s="71"/>
      <c r="K21" s="71"/>
      <c r="L21" s="71"/>
      <c r="M21" s="71"/>
      <c r="N21" s="71"/>
      <c r="O21" s="71"/>
      <c r="P21" s="71">
        <v>25.18</v>
      </c>
      <c r="Q21" s="71"/>
      <c r="R21" s="71"/>
      <c r="S21" s="71"/>
      <c r="T21" s="71">
        <v>800</v>
      </c>
      <c r="U21" s="71">
        <v>316</v>
      </c>
      <c r="V21" s="71"/>
      <c r="W21" s="71">
        <f t="shared" si="2"/>
        <v>7699.09</v>
      </c>
      <c r="X21" s="64">
        <v>1000</v>
      </c>
      <c r="Y21" s="65"/>
    </row>
    <row r="22" spans="1:27" ht="15.75">
      <c r="A22" s="66">
        <v>23</v>
      </c>
      <c r="B22" s="67" t="s">
        <v>5</v>
      </c>
      <c r="C22" s="72">
        <v>833</v>
      </c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>
        <v>332</v>
      </c>
      <c r="P22" s="72"/>
      <c r="Q22" s="72"/>
      <c r="R22" s="72"/>
      <c r="S22" s="72"/>
      <c r="T22" s="72"/>
      <c r="U22" s="72"/>
      <c r="V22" s="72"/>
      <c r="W22" s="72">
        <f t="shared" si="2"/>
        <v>1165</v>
      </c>
      <c r="X22" s="68"/>
      <c r="Y22" s="69"/>
    </row>
    <row r="23" spans="1:27" ht="15.75">
      <c r="A23" s="62">
        <v>24</v>
      </c>
      <c r="B23" s="63" t="s">
        <v>6</v>
      </c>
      <c r="C23" s="71">
        <f>119+1463</f>
        <v>1582</v>
      </c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1582</v>
      </c>
      <c r="X23" s="64"/>
      <c r="Y23" s="65"/>
    </row>
    <row r="24" spans="1:27" ht="15.75">
      <c r="A24" s="66">
        <v>25</v>
      </c>
      <c r="B24" s="67" t="s">
        <v>7</v>
      </c>
      <c r="C24" s="72">
        <f>440</f>
        <v>440</v>
      </c>
      <c r="D24" s="72"/>
      <c r="E24" s="72"/>
      <c r="F24" s="72"/>
      <c r="G24" s="72"/>
      <c r="H24" s="72"/>
      <c r="I24" s="72"/>
      <c r="J24" s="72">
        <v>3600</v>
      </c>
      <c r="K24" s="72"/>
      <c r="L24" s="72"/>
      <c r="M24" s="72"/>
      <c r="N24" s="72"/>
      <c r="O24" s="72">
        <f>397+401</f>
        <v>798</v>
      </c>
      <c r="P24" s="72"/>
      <c r="Q24" s="72"/>
      <c r="R24" s="72"/>
      <c r="S24" s="72">
        <v>700</v>
      </c>
      <c r="T24" s="72">
        <v>200</v>
      </c>
      <c r="U24" s="72"/>
      <c r="V24" s="72"/>
      <c r="W24" s="72">
        <f t="shared" si="2"/>
        <v>5738</v>
      </c>
      <c r="X24" s="68"/>
      <c r="Y24" s="69"/>
    </row>
    <row r="25" spans="1:27" ht="15.75">
      <c r="A25" s="62">
        <v>26</v>
      </c>
      <c r="B25" s="63" t="s">
        <v>8</v>
      </c>
      <c r="C25" s="71">
        <f>637</f>
        <v>637</v>
      </c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>
        <f>249+309</f>
        <v>558</v>
      </c>
      <c r="P25" s="71"/>
      <c r="Q25" s="71"/>
      <c r="R25" s="71"/>
      <c r="S25" s="71"/>
      <c r="T25" s="71">
        <v>598</v>
      </c>
      <c r="U25" s="71"/>
      <c r="V25" s="71">
        <f>1555+50</f>
        <v>1605</v>
      </c>
      <c r="W25" s="71">
        <f t="shared" si="2"/>
        <v>3398</v>
      </c>
      <c r="X25" s="64"/>
      <c r="Y25" s="65"/>
    </row>
    <row r="26" spans="1:27" ht="15.75">
      <c r="A26" s="66">
        <v>27</v>
      </c>
      <c r="B26" s="67" t="s">
        <v>2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3</v>
      </c>
      <c r="C27" s="71"/>
      <c r="D27" s="71"/>
      <c r="E27" s="71"/>
      <c r="F27" s="71"/>
      <c r="G27" s="71"/>
      <c r="H27" s="71">
        <v>158</v>
      </c>
      <c r="I27" s="71"/>
      <c r="J27" s="71"/>
      <c r="K27" s="71"/>
      <c r="L27" s="71"/>
      <c r="M27" s="71"/>
      <c r="N27" s="71"/>
      <c r="O27" s="71">
        <f>273+500</f>
        <v>773</v>
      </c>
      <c r="P27" s="71"/>
      <c r="Q27" s="71"/>
      <c r="R27" s="71"/>
      <c r="S27" s="71">
        <f>249</f>
        <v>249</v>
      </c>
      <c r="T27" s="71"/>
      <c r="U27" s="71"/>
      <c r="V27" s="71"/>
      <c r="W27" s="71">
        <f t="shared" si="2"/>
        <v>1180</v>
      </c>
      <c r="X27" s="64"/>
      <c r="Y27" s="65"/>
    </row>
    <row r="28" spans="1:27" ht="15.75">
      <c r="A28" s="66">
        <v>29</v>
      </c>
      <c r="B28" s="67" t="s">
        <v>4</v>
      </c>
      <c r="C28" s="72">
        <v>1121</v>
      </c>
      <c r="D28" s="72">
        <v>661</v>
      </c>
      <c r="E28" s="72"/>
      <c r="F28" s="72"/>
      <c r="G28" s="72"/>
      <c r="H28" s="72">
        <f>220+726</f>
        <v>946</v>
      </c>
      <c r="I28" s="72"/>
      <c r="J28" s="72"/>
      <c r="K28" s="72"/>
      <c r="L28" s="72">
        <f>204+233</f>
        <v>437</v>
      </c>
      <c r="M28" s="72"/>
      <c r="N28" s="72"/>
      <c r="O28" s="72"/>
      <c r="P28" s="72"/>
      <c r="Q28" s="72"/>
      <c r="R28" s="72"/>
      <c r="S28" s="72"/>
      <c r="T28" s="72"/>
      <c r="U28" s="72"/>
      <c r="V28" s="72">
        <f>390+1100</f>
        <v>1490</v>
      </c>
      <c r="W28" s="72">
        <f t="shared" si="2"/>
        <v>4655</v>
      </c>
      <c r="X28" s="75">
        <v>5000</v>
      </c>
      <c r="Y28" s="69"/>
    </row>
    <row r="29" spans="1:27" ht="15.75">
      <c r="A29" s="62">
        <v>30</v>
      </c>
      <c r="B29" s="63" t="s">
        <v>5</v>
      </c>
      <c r="C29" s="71">
        <f>2136</f>
        <v>2136</v>
      </c>
      <c r="D29" s="71">
        <v>1318.68</v>
      </c>
      <c r="E29" s="71">
        <v>1330</v>
      </c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4784.68</v>
      </c>
      <c r="X29" s="75">
        <v>5000</v>
      </c>
      <c r="Y29" s="65"/>
    </row>
    <row r="30" spans="1:27" ht="15.75">
      <c r="A30" s="66">
        <v>31</v>
      </c>
      <c r="B30" s="67" t="s">
        <v>6</v>
      </c>
      <c r="C30" s="72">
        <f>493.95+190+90+150+1613.51</f>
        <v>2537.46</v>
      </c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>
        <v>500</v>
      </c>
      <c r="R30" s="72"/>
      <c r="S30" s="72"/>
      <c r="T30" s="72"/>
      <c r="U30" s="72"/>
      <c r="V30" s="72"/>
      <c r="W30" s="72">
        <f t="shared" si="2"/>
        <v>3037.46</v>
      </c>
      <c r="X30" s="68"/>
      <c r="Y30" s="69"/>
    </row>
    <row r="31" spans="1:27" ht="15.75">
      <c r="A31" s="62">
        <v>1</v>
      </c>
      <c r="B31" s="63" t="s">
        <v>7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>
        <f>500+2720</f>
        <v>3220</v>
      </c>
      <c r="O31" s="71">
        <v>241</v>
      </c>
      <c r="P31" s="71"/>
      <c r="Q31" s="71"/>
      <c r="R31" s="71"/>
      <c r="S31" s="71">
        <f>300+841</f>
        <v>1141</v>
      </c>
      <c r="T31" s="71"/>
      <c r="U31" s="71"/>
      <c r="V31" s="71"/>
      <c r="W31" s="71">
        <f t="shared" si="2"/>
        <v>4602</v>
      </c>
      <c r="X31" s="64"/>
      <c r="Y31" s="65"/>
    </row>
    <row r="32" spans="1:27" ht="15.75">
      <c r="A32" s="66">
        <v>2</v>
      </c>
      <c r="B32" s="67" t="s">
        <v>8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2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3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>
        <v>3000</v>
      </c>
      <c r="Y34" s="69"/>
    </row>
    <row r="35" spans="1:25">
      <c r="A35" s="145" t="s">
        <v>36</v>
      </c>
      <c r="B35" s="145"/>
      <c r="C35" s="73">
        <f>SUM(C19:C34)</f>
        <v>10739.46</v>
      </c>
      <c r="D35" s="73">
        <f t="shared" ref="D35:V35" si="3">SUM(D19:D34)</f>
        <v>5696.2800000000007</v>
      </c>
      <c r="E35" s="73">
        <f t="shared" si="3"/>
        <v>1330</v>
      </c>
      <c r="F35" s="73">
        <f t="shared" si="3"/>
        <v>0</v>
      </c>
      <c r="G35" s="73">
        <f t="shared" si="3"/>
        <v>0</v>
      </c>
      <c r="H35" s="73">
        <f t="shared" si="3"/>
        <v>5560</v>
      </c>
      <c r="I35" s="73">
        <f t="shared" si="3"/>
        <v>1601.9099999999999</v>
      </c>
      <c r="J35" s="73">
        <f t="shared" si="3"/>
        <v>3600</v>
      </c>
      <c r="K35" s="73">
        <f t="shared" si="3"/>
        <v>0</v>
      </c>
      <c r="L35" s="73">
        <f t="shared" si="3"/>
        <v>437</v>
      </c>
      <c r="M35" s="73">
        <f t="shared" si="3"/>
        <v>0</v>
      </c>
      <c r="N35" s="73">
        <f t="shared" si="3"/>
        <v>3220</v>
      </c>
      <c r="O35" s="73">
        <f t="shared" si="3"/>
        <v>3944</v>
      </c>
      <c r="P35" s="73">
        <f t="shared" si="3"/>
        <v>25.18</v>
      </c>
      <c r="Q35" s="73">
        <f t="shared" si="3"/>
        <v>785</v>
      </c>
      <c r="R35" s="73">
        <f t="shared" si="3"/>
        <v>0</v>
      </c>
      <c r="S35" s="73">
        <f t="shared" si="3"/>
        <v>2790</v>
      </c>
      <c r="T35" s="73">
        <f>SUM(T19:T34)</f>
        <v>2447</v>
      </c>
      <c r="U35" s="73">
        <f t="shared" si="3"/>
        <v>2316</v>
      </c>
      <c r="V35" s="73">
        <f t="shared" si="3"/>
        <v>3095</v>
      </c>
      <c r="W35" s="73">
        <f>SUM(W19:W34)</f>
        <v>47586.83</v>
      </c>
      <c r="X35" s="60">
        <f>SUM(X19:X34)</f>
        <v>46088.14</v>
      </c>
      <c r="Y35" s="61">
        <f>X35-W35</f>
        <v>-1498.6900000000023</v>
      </c>
    </row>
    <row r="36" spans="1:25" ht="31.5" customHeight="1">
      <c r="A36" s="146" t="s">
        <v>37</v>
      </c>
      <c r="B36" s="146"/>
      <c r="C36" s="70">
        <f>SUM(C18,C35)</f>
        <v>19167.809999999998</v>
      </c>
      <c r="D36" s="70">
        <f t="shared" ref="D36:W36" si="4">SUM(D18,D35)</f>
        <v>14407.640000000001</v>
      </c>
      <c r="E36" s="70">
        <f t="shared" si="4"/>
        <v>1330</v>
      </c>
      <c r="F36" s="70">
        <f t="shared" si="4"/>
        <v>1434</v>
      </c>
      <c r="G36" s="70">
        <f t="shared" si="4"/>
        <v>0</v>
      </c>
      <c r="H36" s="70">
        <f t="shared" si="4"/>
        <v>14464</v>
      </c>
      <c r="I36" s="70">
        <f t="shared" si="4"/>
        <v>2351.91</v>
      </c>
      <c r="J36" s="70">
        <f t="shared" si="4"/>
        <v>3600</v>
      </c>
      <c r="K36" s="70">
        <f t="shared" si="4"/>
        <v>5015.5200000000004</v>
      </c>
      <c r="L36" s="70">
        <f t="shared" si="4"/>
        <v>437</v>
      </c>
      <c r="M36" s="70">
        <f t="shared" si="4"/>
        <v>0</v>
      </c>
      <c r="N36" s="70">
        <f t="shared" si="4"/>
        <v>3220</v>
      </c>
      <c r="O36" s="70">
        <f t="shared" si="4"/>
        <v>6275</v>
      </c>
      <c r="P36" s="70">
        <f t="shared" si="4"/>
        <v>3342.18</v>
      </c>
      <c r="Q36" s="70">
        <f t="shared" si="4"/>
        <v>4247</v>
      </c>
      <c r="R36" s="70">
        <f t="shared" si="4"/>
        <v>0</v>
      </c>
      <c r="S36" s="70">
        <f>SUM(S18,S35)</f>
        <v>9339</v>
      </c>
      <c r="T36" s="70">
        <f t="shared" si="4"/>
        <v>11746</v>
      </c>
      <c r="U36" s="70">
        <f t="shared" si="4"/>
        <v>2316</v>
      </c>
      <c r="V36" s="70">
        <f t="shared" si="4"/>
        <v>3095</v>
      </c>
      <c r="W36" s="70">
        <f t="shared" si="4"/>
        <v>105788.06</v>
      </c>
      <c r="X36" s="70">
        <f>SUM(X18,X35)</f>
        <v>103059.05</v>
      </c>
      <c r="Y36" s="70">
        <f>SUM(Y18,Y35)</f>
        <v>-2729.010000000002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7" priority="1">
      <formula>Y18&lt;0</formula>
    </cfRule>
    <cfRule type="expression" dxfId="6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40"/>
  <sheetViews>
    <sheetView zoomScale="85" zoomScaleNormal="85" workbookViewId="0">
      <pane xSplit="2" ySplit="36" topLeftCell="C46" activePane="bottomRight" state="frozen"/>
      <selection pane="topRight" activeCell="C1" sqref="C1"/>
      <selection pane="bottomLeft" activeCell="A28" sqref="A28"/>
      <selection pane="bottomRight" activeCell="H28" sqref="H28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147" t="s">
        <v>58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</row>
    <row r="2" spans="1:47" ht="45" customHeight="1">
      <c r="A2" s="76" t="s">
        <v>0</v>
      </c>
      <c r="B2" s="76" t="s">
        <v>1</v>
      </c>
      <c r="C2" s="76" t="s">
        <v>9</v>
      </c>
      <c r="D2" s="76" t="s">
        <v>29</v>
      </c>
      <c r="E2" s="76" t="s">
        <v>10</v>
      </c>
      <c r="F2" s="76" t="s">
        <v>33</v>
      </c>
      <c r="G2" s="76" t="s">
        <v>34</v>
      </c>
      <c r="H2" s="76" t="s">
        <v>11</v>
      </c>
      <c r="I2" s="76" t="s">
        <v>30</v>
      </c>
      <c r="J2" s="76" t="s">
        <v>12</v>
      </c>
      <c r="K2" s="76" t="s">
        <v>24</v>
      </c>
      <c r="L2" s="76" t="s">
        <v>23</v>
      </c>
      <c r="M2" s="76" t="s">
        <v>13</v>
      </c>
      <c r="N2" s="76" t="s">
        <v>14</v>
      </c>
      <c r="O2" s="76" t="s">
        <v>15</v>
      </c>
      <c r="P2" s="76" t="s">
        <v>16</v>
      </c>
      <c r="Q2" s="76" t="s">
        <v>28</v>
      </c>
      <c r="R2" s="76" t="s">
        <v>17</v>
      </c>
      <c r="S2" s="76" t="s">
        <v>18</v>
      </c>
      <c r="T2" s="76" t="s">
        <v>25</v>
      </c>
      <c r="U2" s="76" t="s">
        <v>25</v>
      </c>
      <c r="V2" s="76" t="s">
        <v>26</v>
      </c>
      <c r="W2" s="76" t="s">
        <v>22</v>
      </c>
      <c r="X2" s="76" t="s">
        <v>19</v>
      </c>
      <c r="Y2" s="76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4</v>
      </c>
      <c r="C3" s="71">
        <f>310+1963+195</f>
        <v>2468</v>
      </c>
      <c r="D3" s="71">
        <v>2091</v>
      </c>
      <c r="E3" s="71"/>
      <c r="F3" s="71">
        <v>596</v>
      </c>
      <c r="G3" s="71"/>
      <c r="H3" s="71">
        <f>209</f>
        <v>209</v>
      </c>
      <c r="I3" s="71"/>
      <c r="J3" s="71"/>
      <c r="K3" s="71"/>
      <c r="L3" s="71"/>
      <c r="M3" s="71"/>
      <c r="N3" s="71"/>
      <c r="O3" s="71">
        <v>271</v>
      </c>
      <c r="P3" s="71">
        <v>1000</v>
      </c>
      <c r="Q3" s="71"/>
      <c r="R3" s="71"/>
      <c r="S3" s="71">
        <f>199</f>
        <v>199</v>
      </c>
      <c r="T3" s="71">
        <v>2300</v>
      </c>
      <c r="U3" s="71"/>
      <c r="V3" s="71">
        <f>850</f>
        <v>850</v>
      </c>
      <c r="W3" s="71">
        <f>SUM(C3:V3)</f>
        <v>9984</v>
      </c>
      <c r="X3" s="64">
        <f>35654.26+22580</f>
        <v>58234.26</v>
      </c>
      <c r="Y3" s="65"/>
    </row>
    <row r="4" spans="1:47" ht="15.75">
      <c r="A4" s="66">
        <v>6</v>
      </c>
      <c r="B4" s="67" t="s">
        <v>5</v>
      </c>
      <c r="C4" s="72"/>
      <c r="D4" s="72">
        <f>5183+98</f>
        <v>5281</v>
      </c>
      <c r="E4" s="72"/>
      <c r="F4" s="72"/>
      <c r="G4" s="72"/>
      <c r="H4" s="72">
        <v>1450</v>
      </c>
      <c r="I4" s="72"/>
      <c r="J4" s="72"/>
      <c r="K4" s="72"/>
      <c r="L4" s="72"/>
      <c r="M4" s="72"/>
      <c r="N4" s="72">
        <v>2000</v>
      </c>
      <c r="O4" s="72"/>
      <c r="P4" s="72"/>
      <c r="Q4" s="72">
        <v>5700</v>
      </c>
      <c r="R4" s="72"/>
      <c r="S4" s="72">
        <v>700</v>
      </c>
      <c r="T4" s="72"/>
      <c r="U4" s="72"/>
      <c r="V4" s="72"/>
      <c r="W4" s="72">
        <f>SUM(C4:V4)</f>
        <v>15131</v>
      </c>
      <c r="X4" s="68"/>
      <c r="Y4" s="69"/>
    </row>
    <row r="5" spans="1:47" ht="15.75">
      <c r="A5" s="62">
        <v>7</v>
      </c>
      <c r="B5" s="63" t="s">
        <v>6</v>
      </c>
      <c r="C5" s="71">
        <f>280+1103</f>
        <v>1383</v>
      </c>
      <c r="D5" s="71"/>
      <c r="E5" s="71"/>
      <c r="F5" s="71"/>
      <c r="G5" s="71"/>
      <c r="H5" s="71">
        <v>1280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>
        <v>1075</v>
      </c>
      <c r="U5" s="71"/>
      <c r="V5" s="71"/>
      <c r="W5" s="71">
        <f t="shared" ref="W5:W17" si="0">SUM(C5:V5)</f>
        <v>3738</v>
      </c>
      <c r="X5" s="64"/>
      <c r="Y5" s="65"/>
    </row>
    <row r="6" spans="1:47" ht="15.75">
      <c r="A6" s="66">
        <v>8</v>
      </c>
      <c r="B6" s="67" t="s">
        <v>7</v>
      </c>
      <c r="C6" s="72">
        <f>155</f>
        <v>155</v>
      </c>
      <c r="D6" s="72"/>
      <c r="E6" s="72"/>
      <c r="F6" s="72">
        <f>700</f>
        <v>700</v>
      </c>
      <c r="G6" s="72"/>
      <c r="H6" s="72">
        <v>1734</v>
      </c>
      <c r="I6" s="72"/>
      <c r="J6" s="72"/>
      <c r="K6" s="72"/>
      <c r="L6" s="72"/>
      <c r="M6" s="72"/>
      <c r="N6" s="72"/>
      <c r="O6" s="72"/>
      <c r="P6" s="72">
        <v>336</v>
      </c>
      <c r="Q6" s="72"/>
      <c r="R6" s="72"/>
      <c r="S6" s="72"/>
      <c r="T6" s="72">
        <v>990</v>
      </c>
      <c r="U6" s="72"/>
      <c r="V6" s="72"/>
      <c r="W6" s="72">
        <f t="shared" si="0"/>
        <v>3915</v>
      </c>
      <c r="X6" s="68"/>
      <c r="Y6" s="69"/>
    </row>
    <row r="7" spans="1:47" ht="15.75">
      <c r="A7" s="62">
        <v>9</v>
      </c>
      <c r="B7" s="63" t="s">
        <v>8</v>
      </c>
      <c r="C7" s="71">
        <v>1707</v>
      </c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>
        <f>1000+297</f>
        <v>1297</v>
      </c>
      <c r="Q7" s="71">
        <v>400</v>
      </c>
      <c r="R7" s="71"/>
      <c r="S7" s="71"/>
      <c r="T7" s="71"/>
      <c r="U7" s="71"/>
      <c r="V7" s="71"/>
      <c r="W7" s="71">
        <f t="shared" si="0"/>
        <v>3404</v>
      </c>
      <c r="X7" s="64"/>
      <c r="Y7" s="65"/>
    </row>
    <row r="8" spans="1:47" ht="15.75">
      <c r="A8" s="66">
        <v>10</v>
      </c>
      <c r="B8" s="67" t="s">
        <v>2</v>
      </c>
      <c r="C8" s="72"/>
      <c r="D8" s="72">
        <v>1261</v>
      </c>
      <c r="E8" s="72"/>
      <c r="F8" s="72">
        <f>1080+740</f>
        <v>1820</v>
      </c>
      <c r="G8" s="72"/>
      <c r="H8" s="72"/>
      <c r="I8" s="72"/>
      <c r="J8" s="72"/>
      <c r="K8" s="72"/>
      <c r="L8" s="72"/>
      <c r="M8" s="72"/>
      <c r="N8" s="72">
        <f>15454</f>
        <v>15454</v>
      </c>
      <c r="O8" s="72"/>
      <c r="P8" s="72"/>
      <c r="Q8" s="72">
        <v>2630</v>
      </c>
      <c r="R8" s="72"/>
      <c r="S8" s="72">
        <v>841</v>
      </c>
      <c r="T8" s="72"/>
      <c r="U8" s="72"/>
      <c r="V8" s="72"/>
      <c r="W8" s="72">
        <f t="shared" si="0"/>
        <v>22006</v>
      </c>
      <c r="X8" s="68"/>
      <c r="Y8" s="69"/>
    </row>
    <row r="9" spans="1:47" ht="15.75">
      <c r="A9" s="62">
        <v>11</v>
      </c>
      <c r="B9" s="63" t="s">
        <v>3</v>
      </c>
      <c r="C9" s="71">
        <v>1198</v>
      </c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>
        <f>201+203+153</f>
        <v>557</v>
      </c>
      <c r="P9" s="71"/>
      <c r="Q9" s="71">
        <v>2600</v>
      </c>
      <c r="R9" s="71"/>
      <c r="S9" s="71"/>
      <c r="T9" s="71"/>
      <c r="U9" s="71"/>
      <c r="V9" s="71"/>
      <c r="W9" s="71">
        <f t="shared" si="0"/>
        <v>4355</v>
      </c>
      <c r="X9" s="64">
        <v>15000</v>
      </c>
      <c r="Y9" s="65"/>
    </row>
    <row r="10" spans="1:47" ht="15.75">
      <c r="A10" s="66">
        <v>12</v>
      </c>
      <c r="B10" s="67" t="s">
        <v>4</v>
      </c>
      <c r="C10" s="72"/>
      <c r="D10" s="72">
        <v>1951.75</v>
      </c>
      <c r="E10" s="72">
        <v>1310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>
        <f t="shared" si="0"/>
        <v>3261.75</v>
      </c>
      <c r="X10" s="68"/>
      <c r="Y10" s="69"/>
    </row>
    <row r="11" spans="1:47" ht="15.75">
      <c r="A11" s="62">
        <v>13</v>
      </c>
      <c r="B11" s="63" t="s">
        <v>5</v>
      </c>
      <c r="C11" s="71">
        <f>391+602</f>
        <v>993</v>
      </c>
      <c r="D11" s="71">
        <v>1090.32</v>
      </c>
      <c r="E11" s="71">
        <v>4180</v>
      </c>
      <c r="F11" s="71"/>
      <c r="G11" s="71"/>
      <c r="H11" s="71"/>
      <c r="I11" s="71">
        <v>1413</v>
      </c>
      <c r="J11" s="71"/>
      <c r="K11" s="71"/>
      <c r="L11" s="71"/>
      <c r="M11" s="71"/>
      <c r="N11" s="71"/>
      <c r="O11" s="71">
        <v>340</v>
      </c>
      <c r="P11" s="71"/>
      <c r="Q11" s="71"/>
      <c r="R11" s="71"/>
      <c r="S11" s="71"/>
      <c r="T11" s="71"/>
      <c r="U11" s="71"/>
      <c r="V11" s="71"/>
      <c r="W11" s="71">
        <f t="shared" si="0"/>
        <v>8016.32</v>
      </c>
      <c r="X11" s="64"/>
      <c r="Y11" s="65"/>
    </row>
    <row r="12" spans="1:47" ht="15.75">
      <c r="A12" s="66">
        <v>14</v>
      </c>
      <c r="B12" s="67" t="s">
        <v>6</v>
      </c>
      <c r="C12" s="72"/>
      <c r="D12" s="72">
        <v>1743</v>
      </c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385</v>
      </c>
      <c r="P12" s="72"/>
      <c r="Q12" s="72">
        <v>-1000</v>
      </c>
      <c r="R12" s="72"/>
      <c r="S12" s="72"/>
      <c r="T12" s="72"/>
      <c r="U12" s="72"/>
      <c r="V12" s="72"/>
      <c r="W12" s="72">
        <f t="shared" si="0"/>
        <v>1128</v>
      </c>
      <c r="X12" s="68"/>
      <c r="Y12" s="69"/>
    </row>
    <row r="13" spans="1:47" ht="15.75">
      <c r="A13" s="62">
        <v>15</v>
      </c>
      <c r="B13" s="63" t="s">
        <v>7</v>
      </c>
      <c r="C13" s="71"/>
      <c r="D13" s="71">
        <v>152</v>
      </c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>
        <v>358</v>
      </c>
      <c r="P13" s="71"/>
      <c r="Q13" s="71">
        <v>-300</v>
      </c>
      <c r="R13" s="71"/>
      <c r="S13" s="71">
        <v>842</v>
      </c>
      <c r="T13" s="71"/>
      <c r="U13" s="71"/>
      <c r="V13" s="71"/>
      <c r="W13" s="71">
        <f t="shared" si="0"/>
        <v>1052</v>
      </c>
      <c r="X13" s="64"/>
      <c r="Y13" s="65"/>
    </row>
    <row r="14" spans="1:47" ht="15.75">
      <c r="A14" s="66">
        <v>16</v>
      </c>
      <c r="B14" s="67" t="s">
        <v>8</v>
      </c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>
        <f t="shared" si="0"/>
        <v>0</v>
      </c>
      <c r="X14" s="75">
        <v>5000</v>
      </c>
      <c r="Y14" s="69"/>
    </row>
    <row r="15" spans="1:47" ht="15.75">
      <c r="A15" s="62">
        <v>17</v>
      </c>
      <c r="B15" s="63" t="s">
        <v>2</v>
      </c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0</v>
      </c>
      <c r="X15" s="64"/>
      <c r="Y15" s="65"/>
    </row>
    <row r="16" spans="1:47" ht="15.75">
      <c r="A16" s="66">
        <v>18</v>
      </c>
      <c r="B16" s="67" t="s">
        <v>3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>
        <f t="shared" si="0"/>
        <v>0</v>
      </c>
      <c r="X16" s="75">
        <v>2000</v>
      </c>
      <c r="Y16" s="69"/>
    </row>
    <row r="17" spans="1:27" ht="15.75">
      <c r="A17" s="62">
        <v>19</v>
      </c>
      <c r="B17" s="63" t="s">
        <v>4</v>
      </c>
      <c r="C17" s="71"/>
      <c r="D17" s="71">
        <v>2587</v>
      </c>
      <c r="E17" s="71"/>
      <c r="F17" s="71"/>
      <c r="G17" s="71"/>
      <c r="H17" s="71">
        <v>1836</v>
      </c>
      <c r="I17" s="71"/>
      <c r="J17" s="71"/>
      <c r="K17" s="71"/>
      <c r="L17" s="71"/>
      <c r="M17" s="71"/>
      <c r="N17" s="71"/>
      <c r="O17" s="71"/>
      <c r="P17" s="71">
        <f>280+13</f>
        <v>293</v>
      </c>
      <c r="Q17" s="71"/>
      <c r="R17" s="71"/>
      <c r="S17" s="71">
        <v>499</v>
      </c>
      <c r="T17" s="71">
        <v>640</v>
      </c>
      <c r="U17" s="71"/>
      <c r="V17" s="71"/>
      <c r="W17" s="71">
        <f t="shared" si="0"/>
        <v>5855</v>
      </c>
      <c r="X17" s="64"/>
      <c r="Y17" s="65"/>
    </row>
    <row r="18" spans="1:27">
      <c r="A18" s="148" t="s">
        <v>35</v>
      </c>
      <c r="B18" s="148"/>
      <c r="C18" s="79">
        <f t="shared" ref="C18:X18" si="1">SUM(C3:C17)</f>
        <v>7904</v>
      </c>
      <c r="D18" s="79">
        <f t="shared" si="1"/>
        <v>16157.07</v>
      </c>
      <c r="E18" s="79">
        <f t="shared" si="1"/>
        <v>5490</v>
      </c>
      <c r="F18" s="79">
        <f t="shared" si="1"/>
        <v>3116</v>
      </c>
      <c r="G18" s="79">
        <f t="shared" si="1"/>
        <v>0</v>
      </c>
      <c r="H18" s="79">
        <f t="shared" si="1"/>
        <v>6509</v>
      </c>
      <c r="I18" s="79">
        <f t="shared" si="1"/>
        <v>1413</v>
      </c>
      <c r="J18" s="79">
        <f t="shared" si="1"/>
        <v>0</v>
      </c>
      <c r="K18" s="79">
        <f t="shared" si="1"/>
        <v>0</v>
      </c>
      <c r="L18" s="79">
        <f t="shared" si="1"/>
        <v>0</v>
      </c>
      <c r="M18" s="79">
        <f t="shared" si="1"/>
        <v>0</v>
      </c>
      <c r="N18" s="79">
        <f t="shared" si="1"/>
        <v>17454</v>
      </c>
      <c r="O18" s="79">
        <f t="shared" si="1"/>
        <v>1911</v>
      </c>
      <c r="P18" s="79">
        <f t="shared" si="1"/>
        <v>2926</v>
      </c>
      <c r="Q18" s="79">
        <f t="shared" si="1"/>
        <v>10030</v>
      </c>
      <c r="R18" s="79">
        <f t="shared" si="1"/>
        <v>0</v>
      </c>
      <c r="S18" s="79">
        <f t="shared" si="1"/>
        <v>3081</v>
      </c>
      <c r="T18" s="79">
        <f t="shared" si="1"/>
        <v>5005</v>
      </c>
      <c r="U18" s="79">
        <f t="shared" si="1"/>
        <v>0</v>
      </c>
      <c r="V18" s="79">
        <f t="shared" si="1"/>
        <v>850</v>
      </c>
      <c r="W18" s="79">
        <f t="shared" si="1"/>
        <v>81846.070000000007</v>
      </c>
      <c r="X18" s="80">
        <f t="shared" si="1"/>
        <v>80234.260000000009</v>
      </c>
      <c r="Y18" s="61">
        <f>X18-W18</f>
        <v>-1611.8099999999977</v>
      </c>
    </row>
    <row r="19" spans="1:27" ht="15.75">
      <c r="A19" s="62">
        <v>20</v>
      </c>
      <c r="B19" s="63" t="s">
        <v>5</v>
      </c>
      <c r="C19" s="71"/>
      <c r="D19" s="71"/>
      <c r="E19" s="71"/>
      <c r="F19" s="71"/>
      <c r="G19" s="71"/>
      <c r="H19" s="71">
        <v>351</v>
      </c>
      <c r="I19" s="71"/>
      <c r="J19" s="71"/>
      <c r="K19" s="71"/>
      <c r="L19" s="71"/>
      <c r="M19" s="71"/>
      <c r="N19" s="71">
        <v>7500</v>
      </c>
      <c r="O19" s="71">
        <v>556</v>
      </c>
      <c r="P19" s="71"/>
      <c r="Q19" s="71"/>
      <c r="R19" s="71"/>
      <c r="S19" s="71"/>
      <c r="T19" s="71"/>
      <c r="U19" s="71"/>
      <c r="V19" s="71"/>
      <c r="W19" s="71">
        <f>SUM(C19:V19)</f>
        <v>8407</v>
      </c>
      <c r="X19" s="64">
        <v>32257.279999999999</v>
      </c>
      <c r="Y19" s="65"/>
    </row>
    <row r="20" spans="1:27" ht="15.75">
      <c r="A20" s="66">
        <v>21</v>
      </c>
      <c r="B20" s="67" t="s">
        <v>6</v>
      </c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>
        <f t="shared" ref="W20:W34" si="2">SUM(C20:V20)</f>
        <v>0</v>
      </c>
      <c r="X20" s="68"/>
      <c r="Y20" s="69"/>
      <c r="AA20" s="44"/>
    </row>
    <row r="21" spans="1:27" ht="15.75">
      <c r="A21" s="62">
        <v>22</v>
      </c>
      <c r="B21" s="63" t="s">
        <v>7</v>
      </c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>
        <f t="shared" si="2"/>
        <v>0</v>
      </c>
      <c r="X21" s="64"/>
      <c r="Y21" s="65"/>
    </row>
    <row r="22" spans="1:27" ht="15.75">
      <c r="A22" s="66">
        <v>23</v>
      </c>
      <c r="B22" s="67" t="s">
        <v>8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>
        <f t="shared" si="2"/>
        <v>0</v>
      </c>
      <c r="X22" s="68"/>
      <c r="Y22" s="69"/>
    </row>
    <row r="23" spans="1:27" ht="15.75">
      <c r="A23" s="62">
        <v>24</v>
      </c>
      <c r="B23" s="63" t="s">
        <v>2</v>
      </c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0</v>
      </c>
      <c r="X23" s="64"/>
      <c r="Y23" s="65"/>
    </row>
    <row r="24" spans="1:27" ht="15.75">
      <c r="A24" s="66">
        <v>25</v>
      </c>
      <c r="B24" s="67" t="s">
        <v>3</v>
      </c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>
        <f t="shared" si="2"/>
        <v>0</v>
      </c>
      <c r="X24" s="68"/>
      <c r="Y24" s="69"/>
    </row>
    <row r="25" spans="1:27" ht="15.75">
      <c r="A25" s="62">
        <v>26</v>
      </c>
      <c r="B25" s="63" t="s">
        <v>4</v>
      </c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>
        <f t="shared" si="2"/>
        <v>0</v>
      </c>
      <c r="X25" s="64"/>
      <c r="Y25" s="65"/>
    </row>
    <row r="26" spans="1:27" ht="15.75">
      <c r="A26" s="66">
        <v>27</v>
      </c>
      <c r="B26" s="67" t="s">
        <v>5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6</v>
      </c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>
        <f t="shared" si="2"/>
        <v>0</v>
      </c>
      <c r="X27" s="64"/>
      <c r="Y27" s="65"/>
    </row>
    <row r="28" spans="1:27" ht="15.75">
      <c r="A28" s="66">
        <v>29</v>
      </c>
      <c r="B28" s="67" t="s">
        <v>7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>
        <f t="shared" si="2"/>
        <v>0</v>
      </c>
      <c r="X28" s="68"/>
      <c r="Y28" s="69"/>
    </row>
    <row r="29" spans="1:27" ht="15.75">
      <c r="A29" s="62">
        <v>30</v>
      </c>
      <c r="B29" s="63" t="s">
        <v>8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0</v>
      </c>
      <c r="X29" s="64"/>
      <c r="Y29" s="65"/>
    </row>
    <row r="30" spans="1:27" ht="15.75">
      <c r="A30" s="66">
        <v>31</v>
      </c>
      <c r="B30" s="67" t="s">
        <v>2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>
        <f t="shared" si="2"/>
        <v>0</v>
      </c>
      <c r="X30" s="68"/>
      <c r="Y30" s="69"/>
    </row>
    <row r="31" spans="1:27" ht="15.75">
      <c r="A31" s="62">
        <v>1</v>
      </c>
      <c r="B31" s="63" t="s">
        <v>3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>
        <f t="shared" si="2"/>
        <v>0</v>
      </c>
      <c r="X31" s="64"/>
      <c r="Y31" s="65"/>
    </row>
    <row r="32" spans="1:27" ht="15.75">
      <c r="A32" s="66">
        <v>2</v>
      </c>
      <c r="B32" s="67" t="s">
        <v>4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5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6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/>
      <c r="Y34" s="69"/>
    </row>
    <row r="35" spans="1:25">
      <c r="A35" s="148" t="s">
        <v>36</v>
      </c>
      <c r="B35" s="148"/>
      <c r="C35" s="79">
        <f>SUM(C19:C34)</f>
        <v>0</v>
      </c>
      <c r="D35" s="79">
        <f t="shared" ref="D35:V35" si="3">SUM(D19:D34)</f>
        <v>0</v>
      </c>
      <c r="E35" s="79">
        <f t="shared" si="3"/>
        <v>0</v>
      </c>
      <c r="F35" s="79">
        <f t="shared" si="3"/>
        <v>0</v>
      </c>
      <c r="G35" s="79">
        <f t="shared" si="3"/>
        <v>0</v>
      </c>
      <c r="H35" s="79">
        <f t="shared" si="3"/>
        <v>351</v>
      </c>
      <c r="I35" s="79">
        <f t="shared" si="3"/>
        <v>0</v>
      </c>
      <c r="J35" s="79">
        <f t="shared" si="3"/>
        <v>0</v>
      </c>
      <c r="K35" s="79">
        <f t="shared" si="3"/>
        <v>0</v>
      </c>
      <c r="L35" s="79">
        <f t="shared" si="3"/>
        <v>0</v>
      </c>
      <c r="M35" s="79">
        <f t="shared" si="3"/>
        <v>0</v>
      </c>
      <c r="N35" s="79">
        <f t="shared" si="3"/>
        <v>7500</v>
      </c>
      <c r="O35" s="79">
        <f t="shared" si="3"/>
        <v>556</v>
      </c>
      <c r="P35" s="79">
        <f t="shared" si="3"/>
        <v>0</v>
      </c>
      <c r="Q35" s="79">
        <f t="shared" si="3"/>
        <v>0</v>
      </c>
      <c r="R35" s="79">
        <f t="shared" si="3"/>
        <v>0</v>
      </c>
      <c r="S35" s="79">
        <f t="shared" si="3"/>
        <v>0</v>
      </c>
      <c r="T35" s="79">
        <f>SUM(T19:T34)</f>
        <v>0</v>
      </c>
      <c r="U35" s="79">
        <f t="shared" si="3"/>
        <v>0</v>
      </c>
      <c r="V35" s="79">
        <f t="shared" si="3"/>
        <v>0</v>
      </c>
      <c r="W35" s="79">
        <f>SUM(W19:W34)</f>
        <v>8407</v>
      </c>
      <c r="X35" s="80">
        <f>SUM(X19:X34)</f>
        <v>32257.279999999999</v>
      </c>
      <c r="Y35" s="61">
        <f>X35-W35</f>
        <v>23850.28</v>
      </c>
    </row>
    <row r="36" spans="1:25" ht="31.5" customHeight="1">
      <c r="A36" s="149" t="s">
        <v>37</v>
      </c>
      <c r="B36" s="149"/>
      <c r="C36" s="74">
        <f>SUM(C18,C35)</f>
        <v>7904</v>
      </c>
      <c r="D36" s="74">
        <f t="shared" ref="D36:W36" si="4">SUM(D18,D35)</f>
        <v>16157.07</v>
      </c>
      <c r="E36" s="74">
        <f t="shared" si="4"/>
        <v>5490</v>
      </c>
      <c r="F36" s="74">
        <f t="shared" si="4"/>
        <v>3116</v>
      </c>
      <c r="G36" s="74">
        <f t="shared" si="4"/>
        <v>0</v>
      </c>
      <c r="H36" s="74">
        <f t="shared" si="4"/>
        <v>6860</v>
      </c>
      <c r="I36" s="74">
        <f t="shared" si="4"/>
        <v>1413</v>
      </c>
      <c r="J36" s="74">
        <f t="shared" si="4"/>
        <v>0</v>
      </c>
      <c r="K36" s="74">
        <f t="shared" si="4"/>
        <v>0</v>
      </c>
      <c r="L36" s="74">
        <f t="shared" si="4"/>
        <v>0</v>
      </c>
      <c r="M36" s="74">
        <f t="shared" si="4"/>
        <v>0</v>
      </c>
      <c r="N36" s="74">
        <f t="shared" si="4"/>
        <v>24954</v>
      </c>
      <c r="O36" s="74">
        <f t="shared" si="4"/>
        <v>2467</v>
      </c>
      <c r="P36" s="74">
        <f t="shared" si="4"/>
        <v>2926</v>
      </c>
      <c r="Q36" s="74">
        <f t="shared" si="4"/>
        <v>10030</v>
      </c>
      <c r="R36" s="74">
        <f t="shared" si="4"/>
        <v>0</v>
      </c>
      <c r="S36" s="74">
        <f>SUM(S18,S35)</f>
        <v>3081</v>
      </c>
      <c r="T36" s="74">
        <f t="shared" si="4"/>
        <v>5005</v>
      </c>
      <c r="U36" s="74">
        <f t="shared" si="4"/>
        <v>0</v>
      </c>
      <c r="V36" s="74">
        <f t="shared" si="4"/>
        <v>850</v>
      </c>
      <c r="W36" s="74">
        <f t="shared" si="4"/>
        <v>90253.07</v>
      </c>
      <c r="X36" s="74">
        <f>SUM(X18,X35)</f>
        <v>112491.54000000001</v>
      </c>
      <c r="Y36" s="70">
        <f>SUM(Y18,Y35)</f>
        <v>22238.47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5" priority="1">
      <formula>Y18&lt;0</formula>
    </cfRule>
    <cfRule type="expression" dxfId="4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V42"/>
  <sheetViews>
    <sheetView zoomScale="85" zoomScaleNormal="85" workbookViewId="0">
      <pane xSplit="2" ySplit="38" topLeftCell="C39" activePane="bottomRight" state="frozen"/>
      <selection pane="topRight" activeCell="C1" sqref="C1"/>
      <selection pane="bottomLeft" activeCell="A28" sqref="A28"/>
      <selection pane="bottomRight" activeCell="Y37" sqref="Y37"/>
    </sheetView>
  </sheetViews>
  <sheetFormatPr defaultRowHeight="15"/>
  <cols>
    <col min="1" max="26" width="20.7109375" style="2" customWidth="1"/>
    <col min="27" max="32" width="12.7109375" style="2" customWidth="1"/>
    <col min="33" max="33" width="16.140625" style="2" customWidth="1"/>
    <col min="34" max="38" width="12.7109375" style="2" customWidth="1"/>
    <col min="39" max="16384" width="9.140625" style="2"/>
  </cols>
  <sheetData>
    <row r="1" spans="1:48" ht="60.75" customHeight="1">
      <c r="A1" s="150" t="s">
        <v>59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</row>
    <row r="2" spans="1:48" ht="45" customHeight="1">
      <c r="A2" s="76" t="s">
        <v>0</v>
      </c>
      <c r="B2" s="76" t="s">
        <v>1</v>
      </c>
      <c r="C2" s="84" t="s">
        <v>9</v>
      </c>
      <c r="D2" s="84" t="s">
        <v>29</v>
      </c>
      <c r="E2" s="84" t="s">
        <v>10</v>
      </c>
      <c r="F2" s="84" t="s">
        <v>33</v>
      </c>
      <c r="G2" s="84" t="s">
        <v>34</v>
      </c>
      <c r="H2" s="84" t="s">
        <v>11</v>
      </c>
      <c r="I2" s="84" t="s">
        <v>30</v>
      </c>
      <c r="J2" s="84" t="s">
        <v>12</v>
      </c>
      <c r="K2" s="76" t="s">
        <v>24</v>
      </c>
      <c r="L2" s="76" t="s">
        <v>23</v>
      </c>
      <c r="M2" s="76" t="s">
        <v>13</v>
      </c>
      <c r="N2" s="76" t="s">
        <v>14</v>
      </c>
      <c r="O2" s="76" t="s">
        <v>15</v>
      </c>
      <c r="P2" s="76" t="s">
        <v>16</v>
      </c>
      <c r="Q2" s="76" t="s">
        <v>28</v>
      </c>
      <c r="R2" s="76" t="s">
        <v>17</v>
      </c>
      <c r="S2" s="76" t="s">
        <v>18</v>
      </c>
      <c r="T2" s="76" t="s">
        <v>25</v>
      </c>
      <c r="U2" s="76" t="s">
        <v>25</v>
      </c>
      <c r="V2" s="85" t="s">
        <v>26</v>
      </c>
      <c r="W2" s="88" t="s">
        <v>22</v>
      </c>
      <c r="X2" s="91" t="s">
        <v>60</v>
      </c>
      <c r="Y2" s="92" t="s">
        <v>19</v>
      </c>
      <c r="Z2" s="98" t="s">
        <v>21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15.75">
      <c r="A3" s="62">
        <v>3</v>
      </c>
      <c r="B3" s="63" t="s">
        <v>4</v>
      </c>
      <c r="C3" s="71">
        <f>100</f>
        <v>100</v>
      </c>
      <c r="D3" s="71"/>
      <c r="E3" s="71"/>
      <c r="F3" s="71"/>
      <c r="G3" s="71"/>
      <c r="H3" s="71"/>
      <c r="I3" s="71"/>
      <c r="J3" s="71"/>
      <c r="K3" s="71"/>
      <c r="L3" s="71">
        <f>150+3000</f>
        <v>3150</v>
      </c>
      <c r="M3" s="71"/>
      <c r="N3" s="71"/>
      <c r="O3" s="71"/>
      <c r="P3" s="71"/>
      <c r="Q3" s="71">
        <f>10000</f>
        <v>10000</v>
      </c>
      <c r="R3" s="71"/>
      <c r="S3" s="71">
        <v>799</v>
      </c>
      <c r="T3" s="71"/>
      <c r="U3" s="71"/>
      <c r="V3" s="82"/>
      <c r="W3" s="89">
        <f>SUM(C3:V3)</f>
        <v>14049</v>
      </c>
      <c r="X3" s="90">
        <v>72082.179999999993</v>
      </c>
      <c r="Y3" s="99">
        <f>(94085+57723.67)</f>
        <v>151808.66999999998</v>
      </c>
      <c r="Z3" s="152"/>
    </row>
    <row r="4" spans="1:48" ht="15.75">
      <c r="A4" s="66">
        <v>4</v>
      </c>
      <c r="B4" s="67" t="s">
        <v>5</v>
      </c>
      <c r="C4" s="72">
        <v>528.91999999999996</v>
      </c>
      <c r="D4" s="72">
        <f>403+3617.41</f>
        <v>4020.41</v>
      </c>
      <c r="E4" s="72"/>
      <c r="F4" s="72"/>
      <c r="G4" s="72"/>
      <c r="H4" s="72">
        <f>3760</f>
        <v>3760</v>
      </c>
      <c r="I4" s="72">
        <v>1320.98</v>
      </c>
      <c r="J4" s="72"/>
      <c r="K4" s="72"/>
      <c r="L4" s="72"/>
      <c r="M4" s="72"/>
      <c r="N4" s="72"/>
      <c r="O4" s="72">
        <f>290+215</f>
        <v>505</v>
      </c>
      <c r="P4" s="72"/>
      <c r="Q4" s="72"/>
      <c r="R4" s="72"/>
      <c r="S4" s="72"/>
      <c r="T4" s="72">
        <v>398</v>
      </c>
      <c r="U4" s="72"/>
      <c r="V4" s="83"/>
      <c r="W4" s="89">
        <f>SUM(C4:V4)</f>
        <v>10533.31</v>
      </c>
      <c r="X4" s="90"/>
      <c r="Y4" s="93"/>
      <c r="Z4" s="152"/>
    </row>
    <row r="5" spans="1:48" ht="15.75">
      <c r="A5" s="62">
        <v>5</v>
      </c>
      <c r="B5" s="63" t="s">
        <v>6</v>
      </c>
      <c r="C5" s="71">
        <f>441+815</f>
        <v>1256</v>
      </c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>
        <v>199</v>
      </c>
      <c r="T5" s="71"/>
      <c r="U5" s="71"/>
      <c r="V5" s="82"/>
      <c r="W5" s="89">
        <f t="shared" ref="W5:W19" si="0">SUM(C5:V5)</f>
        <v>1455</v>
      </c>
      <c r="X5" s="90"/>
      <c r="Y5" s="93"/>
      <c r="Z5" s="152"/>
    </row>
    <row r="6" spans="1:48" ht="15.75">
      <c r="A6" s="66">
        <v>6</v>
      </c>
      <c r="B6" s="67" t="s">
        <v>7</v>
      </c>
      <c r="C6" s="72"/>
      <c r="D6" s="72">
        <v>628.84</v>
      </c>
      <c r="E6" s="72"/>
      <c r="F6" s="72"/>
      <c r="G6" s="72"/>
      <c r="H6" s="72"/>
      <c r="I6" s="72"/>
      <c r="J6" s="72"/>
      <c r="K6" s="72"/>
      <c r="L6" s="72"/>
      <c r="M6" s="72"/>
      <c r="N6" s="72"/>
      <c r="O6" s="72">
        <v>225</v>
      </c>
      <c r="P6" s="72"/>
      <c r="Q6" s="72"/>
      <c r="R6" s="72"/>
      <c r="S6" s="72"/>
      <c r="T6" s="72"/>
      <c r="U6" s="72"/>
      <c r="V6" s="83">
        <v>950</v>
      </c>
      <c r="W6" s="89">
        <f t="shared" si="0"/>
        <v>1803.8400000000001</v>
      </c>
      <c r="X6" s="90"/>
      <c r="Y6" s="93"/>
      <c r="Z6" s="152"/>
    </row>
    <row r="7" spans="1:48" ht="15" customHeight="1">
      <c r="A7" s="62">
        <v>7</v>
      </c>
      <c r="B7" s="63" t="s">
        <v>8</v>
      </c>
      <c r="C7" s="71">
        <f>1534.21+320.4</f>
        <v>1854.6100000000001</v>
      </c>
      <c r="D7" s="71">
        <v>292</v>
      </c>
      <c r="E7" s="71"/>
      <c r="F7" s="71">
        <v>960</v>
      </c>
      <c r="G7" s="71"/>
      <c r="H7" s="71"/>
      <c r="I7" s="71"/>
      <c r="J7" s="71"/>
      <c r="K7" s="71"/>
      <c r="L7" s="71"/>
      <c r="M7" s="71"/>
      <c r="N7" s="71"/>
      <c r="O7" s="71">
        <v>196</v>
      </c>
      <c r="P7" s="71"/>
      <c r="Q7" s="71"/>
      <c r="R7" s="71"/>
      <c r="S7" s="71"/>
      <c r="T7" s="71"/>
      <c r="U7" s="71"/>
      <c r="V7" s="82"/>
      <c r="W7" s="89">
        <f t="shared" si="0"/>
        <v>3302.61</v>
      </c>
      <c r="X7" s="90"/>
      <c r="Y7" s="93"/>
      <c r="Z7" s="152"/>
    </row>
    <row r="8" spans="1:48" ht="15.75">
      <c r="A8" s="66">
        <v>8</v>
      </c>
      <c r="B8" s="67" t="s">
        <v>2</v>
      </c>
      <c r="C8" s="72">
        <v>233</v>
      </c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>
        <f>490+690</f>
        <v>1180</v>
      </c>
      <c r="R8" s="72"/>
      <c r="S8" s="72">
        <v>842</v>
      </c>
      <c r="T8" s="72"/>
      <c r="U8" s="72"/>
      <c r="V8" s="83"/>
      <c r="W8" s="89">
        <f t="shared" si="0"/>
        <v>2255</v>
      </c>
      <c r="X8" s="90"/>
      <c r="Y8" s="93"/>
      <c r="Z8" s="152"/>
      <c r="AC8" s="154" t="s">
        <v>61</v>
      </c>
      <c r="AD8" s="154"/>
      <c r="AE8" s="154"/>
      <c r="AF8" s="154"/>
      <c r="AG8" s="154"/>
    </row>
    <row r="9" spans="1:48" ht="15.75">
      <c r="A9" s="62">
        <v>9</v>
      </c>
      <c r="B9" s="63" t="s">
        <v>3</v>
      </c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>
        <v>395</v>
      </c>
      <c r="P9" s="71"/>
      <c r="Q9" s="71"/>
      <c r="R9" s="71"/>
      <c r="S9" s="71">
        <v>700</v>
      </c>
      <c r="T9" s="71"/>
      <c r="U9" s="71"/>
      <c r="V9" s="82"/>
      <c r="W9" s="89">
        <f t="shared" si="0"/>
        <v>1095</v>
      </c>
      <c r="X9" s="90"/>
      <c r="Y9" s="93"/>
      <c r="Z9" s="152"/>
      <c r="AC9" s="154"/>
      <c r="AD9" s="154"/>
      <c r="AE9" s="154"/>
      <c r="AF9" s="154"/>
      <c r="AG9" s="154"/>
    </row>
    <row r="10" spans="1:48" ht="15.75">
      <c r="A10" s="66">
        <v>10</v>
      </c>
      <c r="B10" s="67" t="s">
        <v>4</v>
      </c>
      <c r="C10" s="72"/>
      <c r="D10" s="72"/>
      <c r="E10" s="72">
        <v>2500</v>
      </c>
      <c r="F10" s="72"/>
      <c r="G10" s="72"/>
      <c r="H10" s="72"/>
      <c r="I10" s="72"/>
      <c r="J10" s="72"/>
      <c r="K10" s="72"/>
      <c r="L10" s="72"/>
      <c r="M10" s="72"/>
      <c r="N10" s="72"/>
      <c r="O10" s="72">
        <f>473+161</f>
        <v>634</v>
      </c>
      <c r="P10" s="72"/>
      <c r="Q10" s="72"/>
      <c r="R10" s="72"/>
      <c r="S10" s="72">
        <v>990</v>
      </c>
      <c r="T10" s="72">
        <v>790</v>
      </c>
      <c r="U10" s="72"/>
      <c r="V10" s="83"/>
      <c r="W10" s="89">
        <f t="shared" si="0"/>
        <v>4914</v>
      </c>
      <c r="X10" s="90"/>
      <c r="Y10" s="93"/>
      <c r="Z10" s="152"/>
      <c r="AC10" s="154"/>
      <c r="AD10" s="154"/>
      <c r="AE10" s="154"/>
      <c r="AF10" s="154"/>
      <c r="AG10" s="154"/>
    </row>
    <row r="11" spans="1:48" ht="15.75">
      <c r="A11" s="62">
        <v>11</v>
      </c>
      <c r="B11" s="63" t="s">
        <v>5</v>
      </c>
      <c r="C11" s="71">
        <f>132.68+3500</f>
        <v>3632.68</v>
      </c>
      <c r="D11" s="71"/>
      <c r="E11" s="71"/>
      <c r="F11" s="71"/>
      <c r="G11" s="71"/>
      <c r="H11" s="71"/>
      <c r="I11" s="71">
        <v>1000</v>
      </c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82"/>
      <c r="W11" s="89">
        <f t="shared" si="0"/>
        <v>4632.68</v>
      </c>
      <c r="X11" s="90"/>
      <c r="Y11" s="93"/>
      <c r="Z11" s="152"/>
      <c r="AC11" s="153" t="s">
        <v>62</v>
      </c>
      <c r="AD11" s="153"/>
      <c r="AE11" s="153"/>
      <c r="AF11" s="153"/>
      <c r="AG11" s="104">
        <f>Y3+Y14+Y21</f>
        <v>226341.31</v>
      </c>
    </row>
    <row r="12" spans="1:48" ht="15.75">
      <c r="A12" s="66">
        <v>12</v>
      </c>
      <c r="B12" s="67" t="s">
        <v>6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>
        <v>4475</v>
      </c>
      <c r="R12" s="72"/>
      <c r="S12" s="72"/>
      <c r="T12" s="72"/>
      <c r="U12" s="72"/>
      <c r="V12" s="83"/>
      <c r="W12" s="89">
        <f t="shared" si="0"/>
        <v>4475</v>
      </c>
      <c r="X12" s="90"/>
      <c r="Y12" s="93"/>
      <c r="Z12" s="152"/>
      <c r="AC12" s="153" t="s">
        <v>55</v>
      </c>
      <c r="AD12" s="153"/>
      <c r="AE12" s="153"/>
      <c r="AF12" s="153"/>
      <c r="AG12" s="104">
        <f>Y27</f>
        <v>20000</v>
      </c>
    </row>
    <row r="13" spans="1:48" ht="15.75">
      <c r="A13" s="62">
        <v>13</v>
      </c>
      <c r="B13" s="63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>
        <v>303</v>
      </c>
      <c r="P13" s="71"/>
      <c r="Q13" s="71">
        <v>2870</v>
      </c>
      <c r="R13" s="71"/>
      <c r="S13" s="71">
        <v>842.63</v>
      </c>
      <c r="T13" s="71"/>
      <c r="U13" s="71"/>
      <c r="V13" s="82"/>
      <c r="W13" s="89">
        <f t="shared" si="0"/>
        <v>4015.63</v>
      </c>
      <c r="X13" s="90"/>
      <c r="Y13" s="93"/>
      <c r="Z13" s="152"/>
      <c r="AC13" s="153" t="s">
        <v>63</v>
      </c>
      <c r="AD13" s="153"/>
      <c r="AE13" s="153"/>
      <c r="AF13" s="153"/>
      <c r="AG13" s="104">
        <f>Y17+Y19</f>
        <v>25000</v>
      </c>
    </row>
    <row r="14" spans="1:48" ht="15.75">
      <c r="A14" s="66">
        <v>14</v>
      </c>
      <c r="B14" s="67" t="s">
        <v>8</v>
      </c>
      <c r="C14" s="72">
        <f>219+2054.78</f>
        <v>2273.7800000000002</v>
      </c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83"/>
      <c r="W14" s="89">
        <f t="shared" si="0"/>
        <v>2273.7800000000002</v>
      </c>
      <c r="X14" s="90">
        <v>14878.51</v>
      </c>
      <c r="Y14" s="99">
        <v>37634</v>
      </c>
      <c r="Z14" s="152"/>
      <c r="AC14" s="153" t="s">
        <v>64</v>
      </c>
      <c r="AD14" s="153"/>
      <c r="AE14" s="153"/>
      <c r="AF14" s="153"/>
      <c r="AG14" s="104">
        <f>W38</f>
        <v>177971.36</v>
      </c>
    </row>
    <row r="15" spans="1:48" ht="15.75">
      <c r="A15" s="62">
        <v>15</v>
      </c>
      <c r="B15" s="63" t="s">
        <v>2</v>
      </c>
      <c r="C15" s="71">
        <v>364</v>
      </c>
      <c r="D15" s="71">
        <v>584</v>
      </c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>
        <v>328</v>
      </c>
      <c r="P15" s="71"/>
      <c r="Q15" s="71">
        <f>1500+1120.98</f>
        <v>2620.98</v>
      </c>
      <c r="R15" s="71"/>
      <c r="S15" s="71">
        <v>200</v>
      </c>
      <c r="T15" s="71"/>
      <c r="U15" s="71"/>
      <c r="V15" s="82"/>
      <c r="W15" s="89">
        <f t="shared" si="0"/>
        <v>4096.9799999999996</v>
      </c>
      <c r="X15" s="90"/>
      <c r="Y15" s="93"/>
      <c r="Z15" s="152"/>
      <c r="AC15" s="153" t="s">
        <v>65</v>
      </c>
      <c r="AD15" s="153"/>
      <c r="AE15" s="153"/>
      <c r="AF15" s="153"/>
      <c r="AG15" s="104">
        <f>SUM(C38:H38)</f>
        <v>55416.04</v>
      </c>
    </row>
    <row r="16" spans="1:48" ht="15.75">
      <c r="A16" s="66">
        <v>16</v>
      </c>
      <c r="B16" s="67" t="s">
        <v>3</v>
      </c>
      <c r="C16" s="72"/>
      <c r="D16" s="72"/>
      <c r="E16" s="72">
        <v>2850</v>
      </c>
      <c r="F16" s="72">
        <v>1080</v>
      </c>
      <c r="G16" s="72"/>
      <c r="H16" s="72"/>
      <c r="I16" s="72"/>
      <c r="J16" s="72"/>
      <c r="K16" s="72"/>
      <c r="L16" s="72"/>
      <c r="M16" s="72">
        <v>598</v>
      </c>
      <c r="N16" s="72"/>
      <c r="O16" s="72">
        <v>413</v>
      </c>
      <c r="P16" s="72"/>
      <c r="Q16" s="72"/>
      <c r="R16" s="72"/>
      <c r="S16" s="72"/>
      <c r="T16" s="72">
        <v>1200</v>
      </c>
      <c r="U16" s="81"/>
      <c r="V16" s="83"/>
      <c r="W16" s="89">
        <f t="shared" si="0"/>
        <v>6141</v>
      </c>
      <c r="X16" s="90"/>
      <c r="Y16" s="93"/>
      <c r="Z16" s="152"/>
    </row>
    <row r="17" spans="1:28" ht="15.75">
      <c r="A17" s="62">
        <v>17</v>
      </c>
      <c r="B17" s="63" t="s">
        <v>4</v>
      </c>
      <c r="C17" s="71">
        <f>700</f>
        <v>700</v>
      </c>
      <c r="D17" s="71"/>
      <c r="E17" s="71"/>
      <c r="F17" s="71"/>
      <c r="G17" s="71"/>
      <c r="H17" s="71"/>
      <c r="I17" s="71"/>
      <c r="J17" s="71"/>
      <c r="K17" s="71"/>
      <c r="L17" s="71"/>
      <c r="M17" s="71">
        <v>7899</v>
      </c>
      <c r="N17" s="71"/>
      <c r="O17" s="71">
        <f>220</f>
        <v>220</v>
      </c>
      <c r="P17" s="71"/>
      <c r="Q17" s="71"/>
      <c r="R17" s="71"/>
      <c r="S17" s="71">
        <v>700</v>
      </c>
      <c r="T17" s="71">
        <v>800</v>
      </c>
      <c r="U17" s="71">
        <f>1825+2217+2419</f>
        <v>6461</v>
      </c>
      <c r="V17" s="82"/>
      <c r="W17" s="89">
        <f t="shared" si="0"/>
        <v>16780</v>
      </c>
      <c r="X17" s="90"/>
      <c r="Y17" s="100">
        <v>15000</v>
      </c>
      <c r="Z17" s="152"/>
    </row>
    <row r="18" spans="1:28" ht="15.75">
      <c r="A18" s="66">
        <v>18</v>
      </c>
      <c r="B18" s="67" t="s">
        <v>5</v>
      </c>
      <c r="C18" s="72"/>
      <c r="D18" s="72">
        <v>2018.8</v>
      </c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>
        <v>499</v>
      </c>
      <c r="T18" s="81"/>
      <c r="U18" s="72">
        <v>8000</v>
      </c>
      <c r="V18" s="83"/>
      <c r="W18" s="89">
        <f t="shared" si="0"/>
        <v>10517.8</v>
      </c>
      <c r="X18" s="90"/>
      <c r="Y18" s="93"/>
      <c r="Z18" s="152"/>
    </row>
    <row r="19" spans="1:28" ht="15.75">
      <c r="A19" s="62">
        <v>19</v>
      </c>
      <c r="B19" s="63" t="s">
        <v>6</v>
      </c>
      <c r="C19" s="71"/>
      <c r="D19" s="71">
        <v>2376.09</v>
      </c>
      <c r="E19" s="71">
        <v>3600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82">
        <f>83+760+400+6869+83+83+1800+850+1033.84+1423+1349+694+83+6000+1800+305</f>
        <v>23615.84</v>
      </c>
      <c r="W19" s="89">
        <f t="shared" si="0"/>
        <v>29591.93</v>
      </c>
      <c r="X19" s="90"/>
      <c r="Y19" s="100">
        <v>10000</v>
      </c>
      <c r="Z19" s="152"/>
    </row>
    <row r="20" spans="1:28" ht="14.25" customHeight="1">
      <c r="A20" s="148" t="s">
        <v>35</v>
      </c>
      <c r="B20" s="148"/>
      <c r="C20" s="79">
        <f t="shared" ref="C20:V20" si="1">SUM(C3:C17)</f>
        <v>10942.99</v>
      </c>
      <c r="D20" s="79">
        <f t="shared" si="1"/>
        <v>5525.25</v>
      </c>
      <c r="E20" s="79">
        <f t="shared" si="1"/>
        <v>5350</v>
      </c>
      <c r="F20" s="79">
        <f t="shared" si="1"/>
        <v>2040</v>
      </c>
      <c r="G20" s="79">
        <f t="shared" si="1"/>
        <v>0</v>
      </c>
      <c r="H20" s="79">
        <f t="shared" si="1"/>
        <v>3760</v>
      </c>
      <c r="I20" s="79">
        <f t="shared" si="1"/>
        <v>2320.98</v>
      </c>
      <c r="J20" s="79">
        <f t="shared" si="1"/>
        <v>0</v>
      </c>
      <c r="K20" s="79">
        <f t="shared" si="1"/>
        <v>0</v>
      </c>
      <c r="L20" s="79">
        <f t="shared" si="1"/>
        <v>3150</v>
      </c>
      <c r="M20" s="79">
        <f t="shared" si="1"/>
        <v>8497</v>
      </c>
      <c r="N20" s="79">
        <f t="shared" si="1"/>
        <v>0</v>
      </c>
      <c r="O20" s="79">
        <f t="shared" si="1"/>
        <v>3219</v>
      </c>
      <c r="P20" s="79">
        <f t="shared" si="1"/>
        <v>0</v>
      </c>
      <c r="Q20" s="79">
        <f t="shared" si="1"/>
        <v>21145.98</v>
      </c>
      <c r="R20" s="79">
        <f t="shared" si="1"/>
        <v>0</v>
      </c>
      <c r="S20" s="79">
        <f t="shared" si="1"/>
        <v>5272.63</v>
      </c>
      <c r="T20" s="79">
        <f t="shared" si="1"/>
        <v>3188</v>
      </c>
      <c r="U20" s="79">
        <f t="shared" si="1"/>
        <v>6461</v>
      </c>
      <c r="V20" s="86">
        <f t="shared" si="1"/>
        <v>950</v>
      </c>
      <c r="W20" s="94">
        <f>SUM(W3:W19)</f>
        <v>121932.56</v>
      </c>
      <c r="X20" s="95">
        <f>SUM(X3:X19)</f>
        <v>86960.689999999988</v>
      </c>
      <c r="Y20" s="101">
        <f>SUM(Y3:Y19)</f>
        <v>214442.66999999998</v>
      </c>
      <c r="Z20" s="96">
        <f>Y20-W20-X20</f>
        <v>5549.4199999999983</v>
      </c>
    </row>
    <row r="21" spans="1:28" ht="15.75">
      <c r="A21" s="62">
        <v>20</v>
      </c>
      <c r="B21" s="63" t="s">
        <v>7</v>
      </c>
      <c r="C21" s="71">
        <v>44</v>
      </c>
      <c r="D21" s="71"/>
      <c r="E21" s="71"/>
      <c r="F21" s="71">
        <v>1770</v>
      </c>
      <c r="G21" s="71"/>
      <c r="H21" s="71"/>
      <c r="I21" s="71"/>
      <c r="J21" s="71"/>
      <c r="K21" s="71"/>
      <c r="L21" s="71"/>
      <c r="M21" s="71"/>
      <c r="N21" s="71"/>
      <c r="O21" s="71">
        <v>572</v>
      </c>
      <c r="P21" s="71"/>
      <c r="Q21" s="71">
        <v>3400</v>
      </c>
      <c r="R21" s="71"/>
      <c r="S21" s="71"/>
      <c r="T21" s="71">
        <v>856</v>
      </c>
      <c r="U21" s="71"/>
      <c r="V21" s="82"/>
      <c r="W21" s="89">
        <f>SUM(C21:V21)</f>
        <v>6642</v>
      </c>
      <c r="X21" s="90"/>
      <c r="Y21" s="99">
        <v>36898.639999999999</v>
      </c>
      <c r="Z21" s="152"/>
    </row>
    <row r="22" spans="1:28" ht="15.75">
      <c r="A22" s="66">
        <v>21</v>
      </c>
      <c r="B22" s="67" t="s">
        <v>8</v>
      </c>
      <c r="C22" s="72">
        <f>80</f>
        <v>80</v>
      </c>
      <c r="D22" s="72">
        <v>883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>
        <v>334</v>
      </c>
      <c r="P22" s="72"/>
      <c r="Q22" s="72"/>
      <c r="R22" s="72"/>
      <c r="S22" s="72"/>
      <c r="T22" s="72">
        <v>79</v>
      </c>
      <c r="U22" s="72"/>
      <c r="V22" s="83"/>
      <c r="W22" s="89">
        <f t="shared" ref="W22:W36" si="2">SUM(C22:V22)</f>
        <v>1376</v>
      </c>
      <c r="X22" s="90">
        <v>23662.84</v>
      </c>
      <c r="Y22" s="93"/>
      <c r="Z22" s="152"/>
      <c r="AB22" s="44"/>
    </row>
    <row r="23" spans="1:28" ht="15.75">
      <c r="A23" s="62">
        <v>22</v>
      </c>
      <c r="B23" s="63" t="s">
        <v>2</v>
      </c>
      <c r="C23" s="71"/>
      <c r="D23" s="71">
        <v>162</v>
      </c>
      <c r="E23" s="71"/>
      <c r="F23" s="71">
        <v>690</v>
      </c>
      <c r="G23" s="71"/>
      <c r="H23" s="71"/>
      <c r="I23" s="71"/>
      <c r="J23" s="71"/>
      <c r="K23" s="71"/>
      <c r="L23" s="71"/>
      <c r="M23" s="71"/>
      <c r="N23" s="71"/>
      <c r="O23" s="71">
        <v>325</v>
      </c>
      <c r="P23" s="71"/>
      <c r="Q23" s="71"/>
      <c r="R23" s="71"/>
      <c r="S23" s="71">
        <v>843</v>
      </c>
      <c r="T23" s="71"/>
      <c r="U23" s="71"/>
      <c r="V23" s="82"/>
      <c r="W23" s="89">
        <f t="shared" si="2"/>
        <v>2020</v>
      </c>
      <c r="X23" s="90"/>
      <c r="Y23" s="93"/>
      <c r="Z23" s="152"/>
    </row>
    <row r="24" spans="1:28" ht="15.75">
      <c r="A24" s="66">
        <v>23</v>
      </c>
      <c r="B24" s="67" t="s">
        <v>3</v>
      </c>
      <c r="C24" s="72"/>
      <c r="D24" s="72">
        <v>192</v>
      </c>
      <c r="E24" s="72"/>
      <c r="F24" s="72">
        <v>1960</v>
      </c>
      <c r="G24" s="72"/>
      <c r="H24" s="72"/>
      <c r="I24" s="72"/>
      <c r="J24" s="72"/>
      <c r="K24" s="72"/>
      <c r="L24" s="72"/>
      <c r="M24" s="72"/>
      <c r="N24" s="72"/>
      <c r="O24" s="72">
        <f>537+185</f>
        <v>722</v>
      </c>
      <c r="P24" s="72"/>
      <c r="Q24" s="72">
        <v>1000</v>
      </c>
      <c r="R24" s="72"/>
      <c r="S24" s="72"/>
      <c r="T24" s="72"/>
      <c r="U24" s="72"/>
      <c r="V24" s="83"/>
      <c r="W24" s="89">
        <f t="shared" si="2"/>
        <v>3874</v>
      </c>
      <c r="X24" s="90"/>
      <c r="Y24" s="93"/>
      <c r="Z24" s="152"/>
    </row>
    <row r="25" spans="1:28" ht="15.75">
      <c r="A25" s="62">
        <v>24</v>
      </c>
      <c r="B25" s="63" t="s">
        <v>4</v>
      </c>
      <c r="C25" s="71"/>
      <c r="D25" s="71">
        <f>1377+2099.31-149</f>
        <v>3327.31</v>
      </c>
      <c r="E25" s="71"/>
      <c r="F25" s="71"/>
      <c r="G25" s="71"/>
      <c r="H25" s="71">
        <v>2414</v>
      </c>
      <c r="I25" s="71"/>
      <c r="J25" s="71"/>
      <c r="K25" s="71"/>
      <c r="L25" s="71"/>
      <c r="M25" s="71"/>
      <c r="N25" s="71"/>
      <c r="O25" s="71"/>
      <c r="P25" s="71">
        <v>152</v>
      </c>
      <c r="Q25" s="71"/>
      <c r="R25" s="71"/>
      <c r="S25" s="71"/>
      <c r="T25" s="71"/>
      <c r="U25" s="71"/>
      <c r="V25" s="82">
        <v>2000</v>
      </c>
      <c r="W25" s="89">
        <f t="shared" si="2"/>
        <v>7893.3099999999995</v>
      </c>
      <c r="X25" s="90"/>
      <c r="Y25" s="93"/>
      <c r="Z25" s="152"/>
    </row>
    <row r="26" spans="1:28" ht="15.75">
      <c r="A26" s="66">
        <v>25</v>
      </c>
      <c r="B26" s="67" t="s">
        <v>5</v>
      </c>
      <c r="C26" s="72">
        <v>3084</v>
      </c>
      <c r="D26" s="72">
        <v>245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83"/>
      <c r="W26" s="89">
        <f t="shared" si="2"/>
        <v>3329</v>
      </c>
      <c r="X26" s="90"/>
      <c r="Y26" s="93"/>
      <c r="Z26" s="152"/>
    </row>
    <row r="27" spans="1:28" ht="15.75">
      <c r="A27" s="62">
        <v>26</v>
      </c>
      <c r="B27" s="63" t="s">
        <v>6</v>
      </c>
      <c r="C27" s="71">
        <v>185</v>
      </c>
      <c r="D27" s="71">
        <v>1332</v>
      </c>
      <c r="E27" s="71">
        <v>3180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82">
        <v>2800</v>
      </c>
      <c r="W27" s="89">
        <f t="shared" si="2"/>
        <v>7497</v>
      </c>
      <c r="X27" s="90"/>
      <c r="Y27" s="103">
        <v>20000</v>
      </c>
      <c r="Z27" s="152"/>
    </row>
    <row r="28" spans="1:28" ht="15.75">
      <c r="A28" s="66">
        <v>27</v>
      </c>
      <c r="B28" s="67" t="s">
        <v>7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>
        <v>338</v>
      </c>
      <c r="Q28" s="72"/>
      <c r="R28" s="72"/>
      <c r="S28" s="72">
        <v>249</v>
      </c>
      <c r="T28" s="72">
        <f>3790+3780+3004</f>
        <v>10574</v>
      </c>
      <c r="U28" s="72"/>
      <c r="V28" s="83"/>
      <c r="W28" s="89">
        <f t="shared" si="2"/>
        <v>11161</v>
      </c>
      <c r="X28" s="90"/>
      <c r="Y28" s="93"/>
      <c r="Z28" s="152"/>
    </row>
    <row r="29" spans="1:28" ht="15.75">
      <c r="A29" s="62">
        <v>28</v>
      </c>
      <c r="B29" s="63" t="s">
        <v>8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>
        <v>307</v>
      </c>
      <c r="Q29" s="71">
        <v>1223</v>
      </c>
      <c r="R29" s="71"/>
      <c r="S29" s="71"/>
      <c r="T29" s="71"/>
      <c r="U29" s="71"/>
      <c r="V29" s="82"/>
      <c r="W29" s="89">
        <f t="shared" si="2"/>
        <v>1530</v>
      </c>
      <c r="X29" s="90"/>
      <c r="Y29" s="93"/>
      <c r="Z29" s="152"/>
    </row>
    <row r="30" spans="1:28" ht="15.75">
      <c r="A30" s="66">
        <v>29</v>
      </c>
      <c r="B30" s="67" t="s">
        <v>2</v>
      </c>
      <c r="C30" s="72"/>
      <c r="D30" s="72"/>
      <c r="E30" s="72"/>
      <c r="F30" s="72">
        <v>1080</v>
      </c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>
        <f>400+300</f>
        <v>700</v>
      </c>
      <c r="R30" s="72"/>
      <c r="S30" s="72"/>
      <c r="T30" s="72"/>
      <c r="U30" s="72"/>
      <c r="V30" s="83"/>
      <c r="W30" s="89">
        <f t="shared" si="2"/>
        <v>1780</v>
      </c>
      <c r="X30" s="90"/>
      <c r="Y30" s="93"/>
      <c r="Z30" s="152"/>
    </row>
    <row r="31" spans="1:28" ht="15.75">
      <c r="A31" s="62">
        <v>30</v>
      </c>
      <c r="B31" s="63" t="s">
        <v>3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82"/>
      <c r="W31" s="89">
        <f t="shared" si="2"/>
        <v>0</v>
      </c>
      <c r="X31" s="90"/>
      <c r="Y31" s="93"/>
      <c r="Z31" s="152"/>
    </row>
    <row r="32" spans="1:28" ht="15.75">
      <c r="A32" s="66">
        <v>31</v>
      </c>
      <c r="B32" s="67" t="s">
        <v>4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83"/>
      <c r="W32" s="89">
        <f t="shared" si="2"/>
        <v>0</v>
      </c>
      <c r="X32" s="90"/>
      <c r="Y32" s="93"/>
      <c r="Z32" s="152"/>
    </row>
    <row r="33" spans="1:26" ht="15.75">
      <c r="A33" s="62">
        <v>1</v>
      </c>
      <c r="B33" s="63" t="s">
        <v>5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82"/>
      <c r="W33" s="89">
        <f t="shared" si="2"/>
        <v>0</v>
      </c>
      <c r="X33" s="90"/>
      <c r="Y33" s="136">
        <v>10000</v>
      </c>
      <c r="Z33" s="152"/>
    </row>
    <row r="34" spans="1:26" ht="15.75">
      <c r="A34" s="66">
        <v>2</v>
      </c>
      <c r="B34" s="67" t="s">
        <v>6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>
        <v>799</v>
      </c>
      <c r="T34" s="72">
        <v>100</v>
      </c>
      <c r="U34" s="72"/>
      <c r="V34" s="83"/>
      <c r="W34" s="89">
        <f t="shared" si="2"/>
        <v>899</v>
      </c>
      <c r="X34" s="90"/>
      <c r="Y34" s="93"/>
      <c r="Z34" s="152"/>
    </row>
    <row r="35" spans="1:26" ht="15.75">
      <c r="A35" s="62">
        <v>3</v>
      </c>
      <c r="B35" s="63" t="s">
        <v>7</v>
      </c>
      <c r="C35" s="71"/>
      <c r="D35" s="71"/>
      <c r="E35" s="71">
        <v>2327</v>
      </c>
      <c r="F35" s="71">
        <f>1610+175.49</f>
        <v>1785.49</v>
      </c>
      <c r="G35" s="71"/>
      <c r="H35" s="71"/>
      <c r="I35" s="71"/>
      <c r="J35" s="71"/>
      <c r="K35" s="71"/>
      <c r="L35" s="71"/>
      <c r="M35" s="71"/>
      <c r="N35" s="71"/>
      <c r="O35" s="71">
        <v>270</v>
      </c>
      <c r="P35" s="71"/>
      <c r="Q35" s="71"/>
      <c r="R35" s="71"/>
      <c r="S35" s="71">
        <v>399</v>
      </c>
      <c r="T35" s="71"/>
      <c r="U35" s="71"/>
      <c r="V35" s="82"/>
      <c r="W35" s="89">
        <f t="shared" si="2"/>
        <v>4781.49</v>
      </c>
      <c r="X35" s="90"/>
      <c r="Y35" s="93"/>
      <c r="Z35" s="152"/>
    </row>
    <row r="36" spans="1:26" ht="15.75">
      <c r="A36" s="66">
        <v>4</v>
      </c>
      <c r="B36" s="67" t="s">
        <v>8</v>
      </c>
      <c r="C36" s="72"/>
      <c r="D36" s="72">
        <v>327</v>
      </c>
      <c r="E36" s="72"/>
      <c r="F36" s="72"/>
      <c r="G36" s="72"/>
      <c r="H36" s="72">
        <v>2730</v>
      </c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>
        <v>199</v>
      </c>
      <c r="T36" s="72"/>
      <c r="U36" s="72"/>
      <c r="V36" s="83"/>
      <c r="W36" s="89">
        <f t="shared" si="2"/>
        <v>3256</v>
      </c>
      <c r="X36" s="90"/>
      <c r="Y36" s="93"/>
      <c r="Z36" s="152"/>
    </row>
    <row r="37" spans="1:26">
      <c r="A37" s="148" t="s">
        <v>36</v>
      </c>
      <c r="B37" s="148"/>
      <c r="C37" s="79">
        <f>SUM(C21:C36)</f>
        <v>3393</v>
      </c>
      <c r="D37" s="79">
        <f t="shared" ref="D37:V37" si="3">SUM(D21:D36)</f>
        <v>6468.3099999999995</v>
      </c>
      <c r="E37" s="79">
        <f t="shared" si="3"/>
        <v>5507</v>
      </c>
      <c r="F37" s="79">
        <f t="shared" si="3"/>
        <v>7285.49</v>
      </c>
      <c r="G37" s="79">
        <f t="shared" si="3"/>
        <v>0</v>
      </c>
      <c r="H37" s="79">
        <f t="shared" si="3"/>
        <v>5144</v>
      </c>
      <c r="I37" s="79">
        <f t="shared" si="3"/>
        <v>0</v>
      </c>
      <c r="J37" s="79">
        <f t="shared" si="3"/>
        <v>0</v>
      </c>
      <c r="K37" s="79">
        <f t="shared" si="3"/>
        <v>0</v>
      </c>
      <c r="L37" s="79">
        <f t="shared" si="3"/>
        <v>0</v>
      </c>
      <c r="M37" s="79">
        <f t="shared" si="3"/>
        <v>0</v>
      </c>
      <c r="N37" s="79">
        <f t="shared" si="3"/>
        <v>0</v>
      </c>
      <c r="O37" s="79">
        <f t="shared" si="3"/>
        <v>2223</v>
      </c>
      <c r="P37" s="79">
        <f t="shared" si="3"/>
        <v>797</v>
      </c>
      <c r="Q37" s="79">
        <f t="shared" si="3"/>
        <v>6323</v>
      </c>
      <c r="R37" s="79">
        <f t="shared" si="3"/>
        <v>0</v>
      </c>
      <c r="S37" s="79">
        <f t="shared" si="3"/>
        <v>2489</v>
      </c>
      <c r="T37" s="79">
        <f>SUM(T21:T36)</f>
        <v>11609</v>
      </c>
      <c r="U37" s="79">
        <f t="shared" si="3"/>
        <v>0</v>
      </c>
      <c r="V37" s="86">
        <f t="shared" si="3"/>
        <v>4800</v>
      </c>
      <c r="W37" s="94">
        <f>SUM(W21:W36)</f>
        <v>56038.799999999996</v>
      </c>
      <c r="X37" s="95">
        <f>SUM(X21:X36)</f>
        <v>23662.84</v>
      </c>
      <c r="Y37" s="101">
        <f>SUM(Y21:Y36)</f>
        <v>66898.64</v>
      </c>
      <c r="Z37" s="97">
        <f>Y37-W37-X37</f>
        <v>-12802.999999999996</v>
      </c>
    </row>
    <row r="38" spans="1:26" ht="31.5" customHeight="1">
      <c r="A38" s="151" t="s">
        <v>37</v>
      </c>
      <c r="B38" s="151"/>
      <c r="C38" s="78">
        <f>SUM(C20,C37)</f>
        <v>14335.99</v>
      </c>
      <c r="D38" s="78">
        <f t="shared" ref="D38:W38" si="4">SUM(D20,D37)</f>
        <v>11993.56</v>
      </c>
      <c r="E38" s="78">
        <f t="shared" si="4"/>
        <v>10857</v>
      </c>
      <c r="F38" s="78">
        <f t="shared" si="4"/>
        <v>9325.49</v>
      </c>
      <c r="G38" s="78">
        <f t="shared" si="4"/>
        <v>0</v>
      </c>
      <c r="H38" s="78">
        <f t="shared" si="4"/>
        <v>8904</v>
      </c>
      <c r="I38" s="78">
        <f t="shared" si="4"/>
        <v>2320.98</v>
      </c>
      <c r="J38" s="78">
        <f t="shared" si="4"/>
        <v>0</v>
      </c>
      <c r="K38" s="78">
        <f t="shared" si="4"/>
        <v>0</v>
      </c>
      <c r="L38" s="78">
        <f t="shared" si="4"/>
        <v>3150</v>
      </c>
      <c r="M38" s="78">
        <f t="shared" si="4"/>
        <v>8497</v>
      </c>
      <c r="N38" s="78">
        <f t="shared" si="4"/>
        <v>0</v>
      </c>
      <c r="O38" s="78">
        <f t="shared" si="4"/>
        <v>5442</v>
      </c>
      <c r="P38" s="78">
        <f t="shared" si="4"/>
        <v>797</v>
      </c>
      <c r="Q38" s="78">
        <f t="shared" si="4"/>
        <v>27468.98</v>
      </c>
      <c r="R38" s="78">
        <f t="shared" si="4"/>
        <v>0</v>
      </c>
      <c r="S38" s="78">
        <f>SUM(S20,S37)</f>
        <v>7761.63</v>
      </c>
      <c r="T38" s="78">
        <f t="shared" si="4"/>
        <v>14797</v>
      </c>
      <c r="U38" s="78">
        <f t="shared" si="4"/>
        <v>6461</v>
      </c>
      <c r="V38" s="87">
        <f t="shared" si="4"/>
        <v>5750</v>
      </c>
      <c r="W38" s="94">
        <f t="shared" si="4"/>
        <v>177971.36</v>
      </c>
      <c r="X38" s="95">
        <f>SUM(X20,X37)</f>
        <v>110623.52999999998</v>
      </c>
      <c r="Y38" s="102">
        <f>SUM(Y20,Y37)</f>
        <v>281341.31</v>
      </c>
      <c r="Z38" s="70">
        <f>SUM(Z20,Z37)</f>
        <v>-7253.5799999999981</v>
      </c>
    </row>
    <row r="42" spans="1:26">
      <c r="B42" s="6"/>
      <c r="C42" s="6"/>
      <c r="D42" s="6"/>
      <c r="E42" s="6"/>
      <c r="F42" s="6"/>
      <c r="G42" s="6"/>
      <c r="H42" s="6"/>
      <c r="I42" s="6"/>
      <c r="J42" s="6"/>
      <c r="K42" s="6"/>
    </row>
  </sheetData>
  <mergeCells count="12">
    <mergeCell ref="AC14:AF14"/>
    <mergeCell ref="AC15:AF15"/>
    <mergeCell ref="AC8:AG10"/>
    <mergeCell ref="AC11:AF11"/>
    <mergeCell ref="AC12:AF12"/>
    <mergeCell ref="AC13:AF13"/>
    <mergeCell ref="A1:Z1"/>
    <mergeCell ref="A20:B20"/>
    <mergeCell ref="A37:B37"/>
    <mergeCell ref="A38:B38"/>
    <mergeCell ref="Z3:Z19"/>
    <mergeCell ref="Z21:Z36"/>
  </mergeCells>
  <conditionalFormatting sqref="Z20:Z21 Z37:Z38">
    <cfRule type="expression" dxfId="3" priority="1">
      <formula>Z20&lt;0</formula>
    </cfRule>
    <cfRule type="expression" dxfId="2" priority="2">
      <formula>Z20&gt;0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Z41"/>
  <sheetViews>
    <sheetView tabSelected="1" zoomScale="85" zoomScaleNormal="85" workbookViewId="0">
      <pane xSplit="2" ySplit="37" topLeftCell="C38" activePane="bottomRight" state="frozen"/>
      <selection pane="topRight" activeCell="C1" sqref="C1"/>
      <selection pane="bottomLeft" activeCell="A28" sqref="A28"/>
      <selection pane="bottomRight" activeCell="N29" sqref="N29"/>
    </sheetView>
  </sheetViews>
  <sheetFormatPr defaultRowHeight="15"/>
  <cols>
    <col min="1" max="30" width="20.7109375" style="2" customWidth="1"/>
    <col min="31" max="42" width="12.7109375" style="2" customWidth="1"/>
    <col min="43" max="16384" width="9.140625" style="2"/>
  </cols>
  <sheetData>
    <row r="1" spans="1:52" ht="34.5" customHeight="1">
      <c r="A1" s="156" t="s">
        <v>66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156"/>
    </row>
    <row r="2" spans="1:52" ht="26.25">
      <c r="A2" s="163"/>
      <c r="B2" s="164"/>
      <c r="C2" s="159" t="s">
        <v>67</v>
      </c>
      <c r="D2" s="159"/>
      <c r="E2" s="159"/>
      <c r="F2" s="159"/>
      <c r="G2" s="159"/>
      <c r="H2" s="159"/>
      <c r="I2" s="159"/>
      <c r="J2" s="159"/>
      <c r="K2" s="159"/>
      <c r="L2" s="160" t="s">
        <v>75</v>
      </c>
      <c r="M2" s="160"/>
      <c r="N2" s="160"/>
      <c r="O2" s="160"/>
      <c r="P2" s="160"/>
      <c r="Q2" s="160"/>
      <c r="R2" s="161" t="s">
        <v>78</v>
      </c>
      <c r="S2" s="161"/>
      <c r="T2" s="161"/>
      <c r="U2" s="161"/>
      <c r="V2" s="161"/>
      <c r="W2" s="161"/>
      <c r="X2" s="161"/>
      <c r="Y2" s="161"/>
      <c r="Z2" s="161"/>
      <c r="AA2" s="161"/>
      <c r="AB2" s="162" t="s">
        <v>81</v>
      </c>
      <c r="AC2" s="162"/>
      <c r="AD2" s="162"/>
    </row>
    <row r="3" spans="1:52" ht="45" customHeight="1">
      <c r="A3" s="119" t="s">
        <v>0</v>
      </c>
      <c r="B3" s="119" t="s">
        <v>1</v>
      </c>
      <c r="C3" s="120" t="s">
        <v>68</v>
      </c>
      <c r="D3" s="120" t="s">
        <v>69</v>
      </c>
      <c r="E3" s="120" t="s">
        <v>70</v>
      </c>
      <c r="F3" s="120" t="s">
        <v>29</v>
      </c>
      <c r="G3" s="120" t="s">
        <v>82</v>
      </c>
      <c r="H3" s="120" t="s">
        <v>71</v>
      </c>
      <c r="I3" s="120" t="s">
        <v>72</v>
      </c>
      <c r="J3" s="120" t="s">
        <v>73</v>
      </c>
      <c r="K3" s="120" t="s">
        <v>74</v>
      </c>
      <c r="L3" s="121" t="s">
        <v>24</v>
      </c>
      <c r="M3" s="121" t="s">
        <v>14</v>
      </c>
      <c r="N3" s="121" t="s">
        <v>76</v>
      </c>
      <c r="O3" s="121" t="s">
        <v>25</v>
      </c>
      <c r="P3" s="121" t="s">
        <v>25</v>
      </c>
      <c r="Q3" s="121" t="s">
        <v>77</v>
      </c>
      <c r="R3" s="122" t="s">
        <v>30</v>
      </c>
      <c r="S3" s="122" t="s">
        <v>23</v>
      </c>
      <c r="T3" s="122" t="s">
        <v>13</v>
      </c>
      <c r="U3" s="122" t="s">
        <v>15</v>
      </c>
      <c r="V3" s="122" t="s">
        <v>16</v>
      </c>
      <c r="W3" s="122" t="s">
        <v>28</v>
      </c>
      <c r="X3" s="122" t="s">
        <v>79</v>
      </c>
      <c r="Y3" s="122" t="s">
        <v>79</v>
      </c>
      <c r="Z3" s="122" t="s">
        <v>80</v>
      </c>
      <c r="AA3" s="123" t="s">
        <v>26</v>
      </c>
      <c r="AB3" s="126" t="s">
        <v>22</v>
      </c>
      <c r="AC3" s="127" t="s">
        <v>19</v>
      </c>
      <c r="AD3" s="135" t="s">
        <v>21</v>
      </c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</row>
    <row r="4" spans="1:52" ht="15.75">
      <c r="A4" s="109">
        <v>5</v>
      </c>
      <c r="B4" s="110" t="s">
        <v>2</v>
      </c>
      <c r="C4" s="111">
        <v>429.95</v>
      </c>
      <c r="D4" s="111"/>
      <c r="E4" s="111"/>
      <c r="F4" s="111"/>
      <c r="G4" s="111"/>
      <c r="H4" s="111"/>
      <c r="I4" s="111">
        <f>4660+545</f>
        <v>5205</v>
      </c>
      <c r="J4" s="111"/>
      <c r="K4" s="111"/>
      <c r="L4" s="111"/>
      <c r="M4" s="111"/>
      <c r="N4" s="111"/>
      <c r="O4" s="111">
        <v>100</v>
      </c>
      <c r="P4" s="111">
        <v>10000</v>
      </c>
      <c r="Q4" s="111"/>
      <c r="R4" s="111"/>
      <c r="S4" s="111"/>
      <c r="T4" s="111"/>
      <c r="U4" s="111"/>
      <c r="V4" s="111"/>
      <c r="W4" s="111"/>
      <c r="X4" s="111">
        <v>1237</v>
      </c>
      <c r="Y4" s="111"/>
      <c r="Z4" s="111"/>
      <c r="AA4" s="112"/>
      <c r="AB4" s="128">
        <f>SUM(C4:AA4)</f>
        <v>16971.95</v>
      </c>
      <c r="AC4" s="118">
        <f>37635+40252.26+18817.85</f>
        <v>96705.110000000015</v>
      </c>
      <c r="AD4" s="157"/>
    </row>
    <row r="5" spans="1:52" ht="15.75">
      <c r="A5" s="105">
        <v>6</v>
      </c>
      <c r="B5" s="106" t="s">
        <v>3</v>
      </c>
      <c r="C5" s="107"/>
      <c r="D5" s="107"/>
      <c r="E5" s="107"/>
      <c r="F5" s="107">
        <v>351</v>
      </c>
      <c r="G5" s="107"/>
      <c r="H5" s="107"/>
      <c r="I5" s="107"/>
      <c r="J5" s="107"/>
      <c r="K5" s="107"/>
      <c r="L5" s="107">
        <f>5748.49+2803.26+2306.38</f>
        <v>10858.130000000001</v>
      </c>
      <c r="M5" s="107"/>
      <c r="N5" s="107"/>
      <c r="O5" s="107"/>
      <c r="P5" s="107"/>
      <c r="Q5" s="107">
        <v>3500</v>
      </c>
      <c r="R5" s="107"/>
      <c r="S5" s="107"/>
      <c r="T5" s="107"/>
      <c r="U5" s="107">
        <v>294</v>
      </c>
      <c r="V5" s="107"/>
      <c r="W5" s="107">
        <v>1500</v>
      </c>
      <c r="X5" s="107"/>
      <c r="Y5" s="107"/>
      <c r="Z5" s="107"/>
      <c r="AA5" s="108"/>
      <c r="AB5" s="128">
        <f>SUM(C5:AA5)</f>
        <v>16503.13</v>
      </c>
      <c r="AC5" s="117"/>
      <c r="AD5" s="157"/>
    </row>
    <row r="6" spans="1:52" ht="15.75">
      <c r="A6" s="109">
        <v>7</v>
      </c>
      <c r="B6" s="110" t="s">
        <v>4</v>
      </c>
      <c r="C6" s="111"/>
      <c r="D6" s="111"/>
      <c r="E6" s="111"/>
      <c r="F6" s="111"/>
      <c r="G6" s="111"/>
      <c r="H6" s="111"/>
      <c r="I6" s="111"/>
      <c r="J6" s="111">
        <v>838</v>
      </c>
      <c r="K6" s="111"/>
      <c r="L6" s="111"/>
      <c r="M6" s="111"/>
      <c r="N6" s="111"/>
      <c r="O6" s="111"/>
      <c r="P6" s="111"/>
      <c r="Q6" s="111"/>
      <c r="R6" s="111"/>
      <c r="S6" s="111"/>
      <c r="T6" s="111"/>
      <c r="U6" s="111"/>
      <c r="V6" s="111">
        <v>158.61000000000001</v>
      </c>
      <c r="W6" s="111"/>
      <c r="X6" s="111"/>
      <c r="Y6" s="111"/>
      <c r="Z6" s="111"/>
      <c r="AA6" s="112"/>
      <c r="AB6" s="128">
        <f t="shared" ref="AB6:AB18" si="0">SUM(C6:AA6)</f>
        <v>996.61</v>
      </c>
      <c r="AC6" s="117"/>
      <c r="AD6" s="157"/>
    </row>
    <row r="7" spans="1:52" ht="15.75">
      <c r="A7" s="105">
        <v>8</v>
      </c>
      <c r="B7" s="106" t="s">
        <v>5</v>
      </c>
      <c r="C7" s="107"/>
      <c r="D7" s="107"/>
      <c r="E7" s="107"/>
      <c r="F7" s="107">
        <v>1461</v>
      </c>
      <c r="G7" s="107">
        <v>821</v>
      </c>
      <c r="H7" s="107"/>
      <c r="I7" s="107">
        <f>2510+220</f>
        <v>2730</v>
      </c>
      <c r="J7" s="107">
        <v>730</v>
      </c>
      <c r="K7" s="107"/>
      <c r="L7" s="107"/>
      <c r="M7" s="107"/>
      <c r="N7" s="107"/>
      <c r="O7" s="107">
        <v>100</v>
      </c>
      <c r="P7" s="107"/>
      <c r="Q7" s="107"/>
      <c r="R7" s="107"/>
      <c r="S7" s="107"/>
      <c r="T7" s="107"/>
      <c r="U7" s="107"/>
      <c r="V7" s="107"/>
      <c r="W7" s="107"/>
      <c r="X7" s="107"/>
      <c r="Y7" s="107"/>
      <c r="Z7" s="107">
        <v>2626</v>
      </c>
      <c r="AA7" s="108"/>
      <c r="AB7" s="128">
        <f t="shared" si="0"/>
        <v>8468</v>
      </c>
      <c r="AC7" s="117"/>
      <c r="AD7" s="157"/>
    </row>
    <row r="8" spans="1:52" ht="15" customHeight="1">
      <c r="A8" s="109">
        <v>9</v>
      </c>
      <c r="B8" s="110" t="s">
        <v>6</v>
      </c>
      <c r="C8" s="111"/>
      <c r="D8" s="111"/>
      <c r="E8" s="111">
        <v>2510</v>
      </c>
      <c r="F8" s="111"/>
      <c r="G8" s="111"/>
      <c r="H8" s="111"/>
      <c r="I8" s="111"/>
      <c r="J8" s="111">
        <v>1534</v>
      </c>
      <c r="K8" s="111"/>
      <c r="L8" s="111"/>
      <c r="M8" s="111"/>
      <c r="N8" s="111"/>
      <c r="O8" s="111"/>
      <c r="P8" s="111"/>
      <c r="Q8" s="111"/>
      <c r="R8" s="111"/>
      <c r="S8" s="111"/>
      <c r="T8" s="111"/>
      <c r="U8" s="111"/>
      <c r="V8" s="111"/>
      <c r="W8" s="111">
        <f>400+1115+3400+1409.98+1800</f>
        <v>8124.98</v>
      </c>
      <c r="X8" s="111"/>
      <c r="Y8" s="111"/>
      <c r="Z8" s="111"/>
      <c r="AA8" s="112"/>
      <c r="AB8" s="128">
        <f t="shared" si="0"/>
        <v>12168.98</v>
      </c>
      <c r="AC8" s="117"/>
      <c r="AD8" s="157"/>
    </row>
    <row r="9" spans="1:52" ht="15.75">
      <c r="A9" s="105">
        <v>10</v>
      </c>
      <c r="B9" s="106" t="s">
        <v>7</v>
      </c>
      <c r="C9" s="107"/>
      <c r="D9" s="107"/>
      <c r="E9" s="107"/>
      <c r="F9" s="107"/>
      <c r="G9" s="107"/>
      <c r="H9" s="107"/>
      <c r="I9" s="107"/>
      <c r="J9" s="107"/>
      <c r="K9" s="107">
        <v>1860</v>
      </c>
      <c r="L9" s="107"/>
      <c r="M9" s="107"/>
      <c r="N9" s="107">
        <f>700+990</f>
        <v>1690</v>
      </c>
      <c r="O9" s="107"/>
      <c r="P9" s="107">
        <v>2000</v>
      </c>
      <c r="Q9" s="107"/>
      <c r="R9" s="107"/>
      <c r="S9" s="107"/>
      <c r="T9" s="107"/>
      <c r="U9" s="107">
        <v>420</v>
      </c>
      <c r="V9" s="107"/>
      <c r="W9" s="107"/>
      <c r="X9" s="107"/>
      <c r="Y9" s="107"/>
      <c r="Z9" s="107"/>
      <c r="AA9" s="108"/>
      <c r="AB9" s="128">
        <f t="shared" si="0"/>
        <v>5970</v>
      </c>
      <c r="AC9" s="117"/>
      <c r="AD9" s="157"/>
    </row>
    <row r="10" spans="1:52" ht="15.75">
      <c r="A10" s="109">
        <v>11</v>
      </c>
      <c r="B10" s="110" t="s">
        <v>8</v>
      </c>
      <c r="C10" s="111"/>
      <c r="D10" s="111"/>
      <c r="E10" s="111"/>
      <c r="F10" s="111"/>
      <c r="G10" s="111"/>
      <c r="H10" s="111"/>
      <c r="I10" s="111"/>
      <c r="J10" s="111"/>
      <c r="K10" s="111"/>
      <c r="L10" s="111"/>
      <c r="M10" s="111"/>
      <c r="N10" s="111"/>
      <c r="O10" s="111"/>
      <c r="P10" s="111"/>
      <c r="Q10" s="111">
        <v>500</v>
      </c>
      <c r="R10" s="111"/>
      <c r="S10" s="111"/>
      <c r="T10" s="111"/>
      <c r="U10" s="111">
        <f>207+380</f>
        <v>587</v>
      </c>
      <c r="V10" s="111"/>
      <c r="W10" s="111">
        <v>1180</v>
      </c>
      <c r="X10" s="111">
        <v>990</v>
      </c>
      <c r="Y10" s="111"/>
      <c r="Z10" s="111"/>
      <c r="AA10" s="112"/>
      <c r="AB10" s="128">
        <f t="shared" si="0"/>
        <v>3257</v>
      </c>
      <c r="AC10" s="117"/>
      <c r="AD10" s="157"/>
    </row>
    <row r="11" spans="1:52" ht="15.75">
      <c r="A11" s="105">
        <v>12</v>
      </c>
      <c r="B11" s="106" t="s">
        <v>2</v>
      </c>
      <c r="C11" s="107"/>
      <c r="D11" s="107"/>
      <c r="E11" s="107"/>
      <c r="F11" s="107">
        <f>210+424</f>
        <v>634</v>
      </c>
      <c r="G11" s="107"/>
      <c r="H11" s="107"/>
      <c r="I11" s="107"/>
      <c r="J11" s="107"/>
      <c r="K11" s="107"/>
      <c r="L11" s="107"/>
      <c r="M11" s="107"/>
      <c r="N11" s="107"/>
      <c r="O11" s="107"/>
      <c r="P11" s="107"/>
      <c r="Q11" s="107"/>
      <c r="R11" s="107"/>
      <c r="S11" s="107"/>
      <c r="T11" s="107"/>
      <c r="U11" s="107"/>
      <c r="V11" s="107"/>
      <c r="W11" s="107">
        <v>400</v>
      </c>
      <c r="X11" s="107"/>
      <c r="Y11" s="107"/>
      <c r="Z11" s="107"/>
      <c r="AA11" s="108"/>
      <c r="AB11" s="128">
        <f t="shared" si="0"/>
        <v>1034</v>
      </c>
      <c r="AC11" s="117"/>
      <c r="AD11" s="157"/>
    </row>
    <row r="12" spans="1:52" ht="15.75">
      <c r="A12" s="109">
        <v>13</v>
      </c>
      <c r="B12" s="110" t="s">
        <v>3</v>
      </c>
      <c r="C12" s="111"/>
      <c r="D12" s="111"/>
      <c r="E12" s="111"/>
      <c r="F12" s="111"/>
      <c r="G12" s="111"/>
      <c r="H12" s="111"/>
      <c r="I12" s="111"/>
      <c r="J12" s="111"/>
      <c r="K12" s="111">
        <v>420</v>
      </c>
      <c r="L12" s="111"/>
      <c r="M12" s="111"/>
      <c r="N12" s="111"/>
      <c r="O12" s="111"/>
      <c r="P12" s="111"/>
      <c r="Q12" s="111"/>
      <c r="R12" s="111"/>
      <c r="S12" s="111"/>
      <c r="T12" s="111"/>
      <c r="U12" s="111">
        <f>399+300</f>
        <v>699</v>
      </c>
      <c r="V12" s="111"/>
      <c r="W12" s="111">
        <f>517+1080+787+83</f>
        <v>2467</v>
      </c>
      <c r="X12" s="111"/>
      <c r="Y12" s="111"/>
      <c r="Z12" s="111"/>
      <c r="AA12" s="112"/>
      <c r="AB12" s="128">
        <f t="shared" si="0"/>
        <v>3586</v>
      </c>
      <c r="AC12" s="117"/>
      <c r="AD12" s="157"/>
    </row>
    <row r="13" spans="1:52" ht="15.75">
      <c r="A13" s="105">
        <v>14</v>
      </c>
      <c r="B13" s="106" t="s">
        <v>4</v>
      </c>
      <c r="C13" s="107"/>
      <c r="D13" s="107"/>
      <c r="E13" s="107"/>
      <c r="F13" s="107"/>
      <c r="G13" s="107"/>
      <c r="H13" s="107"/>
      <c r="I13" s="107">
        <f>2220+250</f>
        <v>2470</v>
      </c>
      <c r="J13" s="107"/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>
        <v>384</v>
      </c>
      <c r="V13" s="107"/>
      <c r="W13" s="107">
        <f>2720+315</f>
        <v>3035</v>
      </c>
      <c r="X13" s="107"/>
      <c r="Y13" s="107"/>
      <c r="Z13" s="107"/>
      <c r="AA13" s="108"/>
      <c r="AB13" s="128">
        <f t="shared" si="0"/>
        <v>5889</v>
      </c>
      <c r="AC13" s="117"/>
      <c r="AD13" s="157"/>
    </row>
    <row r="14" spans="1:52" ht="15.75">
      <c r="A14" s="109">
        <v>15</v>
      </c>
      <c r="B14" s="110" t="s">
        <v>5</v>
      </c>
      <c r="C14" s="111">
        <v>973.94</v>
      </c>
      <c r="D14" s="111"/>
      <c r="E14" s="111"/>
      <c r="F14" s="111"/>
      <c r="G14" s="111"/>
      <c r="H14" s="111"/>
      <c r="I14" s="111"/>
      <c r="J14" s="111"/>
      <c r="K14" s="111"/>
      <c r="L14" s="111"/>
      <c r="M14" s="111"/>
      <c r="N14" s="111"/>
      <c r="O14" s="111"/>
      <c r="P14" s="111"/>
      <c r="Q14" s="111"/>
      <c r="R14" s="111"/>
      <c r="S14" s="111"/>
      <c r="T14" s="111"/>
      <c r="U14" s="111"/>
      <c r="V14" s="111"/>
      <c r="W14" s="111">
        <f>1319.99</f>
        <v>1319.99</v>
      </c>
      <c r="X14" s="111"/>
      <c r="Y14" s="111"/>
      <c r="Z14" s="111"/>
      <c r="AA14" s="112"/>
      <c r="AB14" s="128">
        <f t="shared" si="0"/>
        <v>2293.9300000000003</v>
      </c>
      <c r="AC14" s="117"/>
      <c r="AD14" s="157"/>
    </row>
    <row r="15" spans="1:52" ht="15.75">
      <c r="A15" s="105">
        <v>16</v>
      </c>
      <c r="B15" s="106" t="s">
        <v>6</v>
      </c>
      <c r="C15" s="107"/>
      <c r="D15" s="107"/>
      <c r="E15" s="107"/>
      <c r="F15" s="107"/>
      <c r="G15" s="107"/>
      <c r="H15" s="107"/>
      <c r="I15" s="107"/>
      <c r="J15" s="107"/>
      <c r="K15" s="107"/>
      <c r="L15" s="107"/>
      <c r="M15" s="107"/>
      <c r="N15" s="107"/>
      <c r="O15" s="107"/>
      <c r="P15" s="107"/>
      <c r="Q15" s="107"/>
      <c r="R15" s="107"/>
      <c r="S15" s="107"/>
      <c r="T15" s="107"/>
      <c r="U15" s="107"/>
      <c r="V15" s="107"/>
      <c r="W15" s="107"/>
      <c r="X15" s="107"/>
      <c r="Y15" s="107"/>
      <c r="Z15" s="107"/>
      <c r="AA15" s="108"/>
      <c r="AB15" s="128">
        <f t="shared" si="0"/>
        <v>0</v>
      </c>
      <c r="AC15" s="118"/>
      <c r="AD15" s="157"/>
    </row>
    <row r="16" spans="1:52" ht="15.75">
      <c r="A16" s="109">
        <v>17</v>
      </c>
      <c r="B16" s="110" t="s">
        <v>7</v>
      </c>
      <c r="C16" s="111"/>
      <c r="D16" s="111"/>
      <c r="E16" s="111"/>
      <c r="F16" s="111"/>
      <c r="G16" s="111"/>
      <c r="H16" s="111"/>
      <c r="I16" s="111"/>
      <c r="J16" s="111"/>
      <c r="K16" s="111"/>
      <c r="L16" s="111"/>
      <c r="M16" s="111"/>
      <c r="N16" s="111"/>
      <c r="O16" s="111"/>
      <c r="P16" s="111"/>
      <c r="Q16" s="111"/>
      <c r="R16" s="111"/>
      <c r="S16" s="111"/>
      <c r="T16" s="111"/>
      <c r="U16" s="111"/>
      <c r="V16" s="111"/>
      <c r="W16" s="111"/>
      <c r="X16" s="111"/>
      <c r="Y16" s="111"/>
      <c r="Z16" s="111"/>
      <c r="AA16" s="112"/>
      <c r="AB16" s="128">
        <f t="shared" si="0"/>
        <v>0</v>
      </c>
      <c r="AC16" s="117"/>
      <c r="AD16" s="157"/>
    </row>
    <row r="17" spans="1:32" ht="15.75">
      <c r="A17" s="105">
        <v>18</v>
      </c>
      <c r="B17" s="106" t="s">
        <v>8</v>
      </c>
      <c r="C17" s="107"/>
      <c r="D17" s="107"/>
      <c r="E17" s="107"/>
      <c r="F17" s="107"/>
      <c r="G17" s="107"/>
      <c r="H17" s="107"/>
      <c r="I17" s="107"/>
      <c r="J17" s="107"/>
      <c r="K17" s="107"/>
      <c r="L17" s="107"/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7"/>
      <c r="X17" s="107"/>
      <c r="Y17" s="107"/>
      <c r="Z17" s="107"/>
      <c r="AA17" s="108"/>
      <c r="AB17" s="128">
        <f t="shared" si="0"/>
        <v>0</v>
      </c>
      <c r="AC17" s="117"/>
      <c r="AD17" s="157"/>
    </row>
    <row r="18" spans="1:32" ht="15.75">
      <c r="A18" s="109">
        <v>19</v>
      </c>
      <c r="B18" s="110" t="s">
        <v>2</v>
      </c>
      <c r="C18" s="111"/>
      <c r="D18" s="111"/>
      <c r="E18" s="111"/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  <c r="AA18" s="112"/>
      <c r="AB18" s="128">
        <f t="shared" si="0"/>
        <v>0</v>
      </c>
      <c r="AC18" s="117"/>
      <c r="AD18" s="157"/>
    </row>
    <row r="19" spans="1:32" ht="14.25" customHeight="1">
      <c r="A19" s="158" t="s">
        <v>35</v>
      </c>
      <c r="B19" s="158"/>
      <c r="C19" s="113">
        <f>SUM(C4:C18)</f>
        <v>1403.89</v>
      </c>
      <c r="D19" s="113">
        <f t="shared" ref="D19:AA19" si="1">SUM(D4:D18)</f>
        <v>0</v>
      </c>
      <c r="E19" s="113">
        <f t="shared" si="1"/>
        <v>2510</v>
      </c>
      <c r="F19" s="113">
        <f t="shared" si="1"/>
        <v>2446</v>
      </c>
      <c r="G19" s="113">
        <f t="shared" si="1"/>
        <v>821</v>
      </c>
      <c r="H19" s="113">
        <f t="shared" si="1"/>
        <v>0</v>
      </c>
      <c r="I19" s="113">
        <f t="shared" si="1"/>
        <v>10405</v>
      </c>
      <c r="J19" s="113">
        <f t="shared" si="1"/>
        <v>3102</v>
      </c>
      <c r="K19" s="113">
        <f t="shared" si="1"/>
        <v>2280</v>
      </c>
      <c r="L19" s="114">
        <f t="shared" si="1"/>
        <v>10858.130000000001</v>
      </c>
      <c r="M19" s="114">
        <f t="shared" si="1"/>
        <v>0</v>
      </c>
      <c r="N19" s="114">
        <f t="shared" si="1"/>
        <v>1690</v>
      </c>
      <c r="O19" s="114">
        <f t="shared" si="1"/>
        <v>200</v>
      </c>
      <c r="P19" s="114">
        <f t="shared" si="1"/>
        <v>12000</v>
      </c>
      <c r="Q19" s="114">
        <f t="shared" si="1"/>
        <v>4000</v>
      </c>
      <c r="R19" s="115">
        <f t="shared" si="1"/>
        <v>0</v>
      </c>
      <c r="S19" s="115">
        <f t="shared" si="1"/>
        <v>0</v>
      </c>
      <c r="T19" s="115">
        <f t="shared" si="1"/>
        <v>0</v>
      </c>
      <c r="U19" s="115">
        <f t="shared" si="1"/>
        <v>2384</v>
      </c>
      <c r="V19" s="115">
        <f t="shared" si="1"/>
        <v>158.61000000000001</v>
      </c>
      <c r="W19" s="115">
        <f t="shared" si="1"/>
        <v>18026.97</v>
      </c>
      <c r="X19" s="115">
        <f t="shared" si="1"/>
        <v>2227</v>
      </c>
      <c r="Y19" s="115">
        <f t="shared" si="1"/>
        <v>0</v>
      </c>
      <c r="Z19" s="115">
        <f t="shared" si="1"/>
        <v>2626</v>
      </c>
      <c r="AA19" s="124">
        <f t="shared" si="1"/>
        <v>0</v>
      </c>
      <c r="AB19" s="129">
        <f>SUM(AB4:AB18)</f>
        <v>77138.600000000006</v>
      </c>
      <c r="AC19" s="130">
        <f>SUM(AC4:AC18)</f>
        <v>96705.110000000015</v>
      </c>
      <c r="AD19" s="133">
        <f>AC19-AB19</f>
        <v>19566.510000000009</v>
      </c>
    </row>
    <row r="20" spans="1:32" ht="15.75">
      <c r="A20" s="109">
        <v>20</v>
      </c>
      <c r="B20" s="110" t="s">
        <v>3</v>
      </c>
      <c r="C20" s="111"/>
      <c r="D20" s="111"/>
      <c r="E20" s="111"/>
      <c r="F20" s="111"/>
      <c r="G20" s="111"/>
      <c r="H20" s="111"/>
      <c r="I20" s="111"/>
      <c r="J20" s="111"/>
      <c r="K20" s="111"/>
      <c r="L20" s="111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1"/>
      <c r="AA20" s="112"/>
      <c r="AB20" s="128">
        <f>SUM(C20:AA20)</f>
        <v>0</v>
      </c>
      <c r="AC20" s="118"/>
      <c r="AD20" s="157"/>
    </row>
    <row r="21" spans="1:32" ht="15.75">
      <c r="A21" s="105">
        <v>21</v>
      </c>
      <c r="B21" s="106" t="s">
        <v>4</v>
      </c>
      <c r="C21" s="107"/>
      <c r="D21" s="107"/>
      <c r="E21" s="107"/>
      <c r="F21" s="107"/>
      <c r="G21" s="107"/>
      <c r="H21" s="107"/>
      <c r="I21" s="107"/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  <c r="AA21" s="108"/>
      <c r="AB21" s="128">
        <f>SUM(C21:AA21)</f>
        <v>0</v>
      </c>
      <c r="AC21" s="117"/>
      <c r="AD21" s="157"/>
      <c r="AF21" s="44"/>
    </row>
    <row r="22" spans="1:32" ht="15.75">
      <c r="A22" s="109">
        <v>22</v>
      </c>
      <c r="B22" s="110" t="s">
        <v>5</v>
      </c>
      <c r="C22" s="111"/>
      <c r="D22" s="111"/>
      <c r="E22" s="111"/>
      <c r="F22" s="111"/>
      <c r="G22" s="111"/>
      <c r="H22" s="111"/>
      <c r="I22" s="111"/>
      <c r="J22" s="111"/>
      <c r="K22" s="111"/>
      <c r="L22" s="111"/>
      <c r="M22" s="111"/>
      <c r="N22" s="111"/>
      <c r="O22" s="111"/>
      <c r="P22" s="111"/>
      <c r="Q22" s="111"/>
      <c r="R22" s="111"/>
      <c r="S22" s="111"/>
      <c r="T22" s="111"/>
      <c r="U22" s="111"/>
      <c r="V22" s="111"/>
      <c r="W22" s="111"/>
      <c r="X22" s="111"/>
      <c r="Y22" s="111"/>
      <c r="Z22" s="111"/>
      <c r="AA22" s="112"/>
      <c r="AB22" s="128">
        <f t="shared" ref="AB22:AB35" si="2">SUM(C22:AA22)</f>
        <v>0</v>
      </c>
      <c r="AC22" s="117"/>
      <c r="AD22" s="157"/>
    </row>
    <row r="23" spans="1:32" ht="15.75">
      <c r="A23" s="105">
        <v>23</v>
      </c>
      <c r="B23" s="106" t="s">
        <v>6</v>
      </c>
      <c r="C23" s="107"/>
      <c r="D23" s="107"/>
      <c r="E23" s="107"/>
      <c r="F23" s="107"/>
      <c r="G23" s="107"/>
      <c r="H23" s="107"/>
      <c r="I23" s="107"/>
      <c r="J23" s="107"/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  <c r="AA23" s="108"/>
      <c r="AB23" s="128">
        <f t="shared" si="2"/>
        <v>0</v>
      </c>
      <c r="AC23" s="117"/>
      <c r="AD23" s="157"/>
    </row>
    <row r="24" spans="1:32" ht="15.75">
      <c r="A24" s="109">
        <v>24</v>
      </c>
      <c r="B24" s="110" t="s">
        <v>7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2"/>
      <c r="AB24" s="128">
        <f t="shared" si="2"/>
        <v>0</v>
      </c>
      <c r="AC24" s="117"/>
      <c r="AD24" s="157"/>
    </row>
    <row r="25" spans="1:32" ht="15.75">
      <c r="A25" s="105">
        <v>25</v>
      </c>
      <c r="B25" s="106" t="s">
        <v>8</v>
      </c>
      <c r="C25" s="107"/>
      <c r="D25" s="107"/>
      <c r="E25" s="107"/>
      <c r="F25" s="107"/>
      <c r="G25" s="107"/>
      <c r="H25" s="107"/>
      <c r="I25" s="107"/>
      <c r="J25" s="107"/>
      <c r="K25" s="107"/>
      <c r="L25" s="107"/>
      <c r="M25" s="107"/>
      <c r="N25" s="107"/>
      <c r="O25" s="107"/>
      <c r="P25" s="107"/>
      <c r="Q25" s="107"/>
      <c r="R25" s="107"/>
      <c r="S25" s="107"/>
      <c r="T25" s="107"/>
      <c r="U25" s="107"/>
      <c r="V25" s="107"/>
      <c r="W25" s="107"/>
      <c r="X25" s="107"/>
      <c r="Y25" s="107"/>
      <c r="Z25" s="107"/>
      <c r="AA25" s="108"/>
      <c r="AB25" s="128">
        <f t="shared" si="2"/>
        <v>0</v>
      </c>
      <c r="AC25" s="117"/>
      <c r="AD25" s="157"/>
    </row>
    <row r="26" spans="1:32" ht="15.75">
      <c r="A26" s="109">
        <v>26</v>
      </c>
      <c r="B26" s="110" t="s">
        <v>2</v>
      </c>
      <c r="C26" s="111"/>
      <c r="D26" s="111"/>
      <c r="E26" s="111"/>
      <c r="F26" s="111"/>
      <c r="G26" s="111"/>
      <c r="H26" s="111"/>
      <c r="I26" s="111"/>
      <c r="J26" s="111"/>
      <c r="K26" s="111"/>
      <c r="L26" s="111"/>
      <c r="M26" s="111"/>
      <c r="N26" s="111"/>
      <c r="O26" s="111"/>
      <c r="P26" s="111"/>
      <c r="Q26" s="111"/>
      <c r="R26" s="111"/>
      <c r="S26" s="111"/>
      <c r="T26" s="111"/>
      <c r="U26" s="111"/>
      <c r="V26" s="111"/>
      <c r="W26" s="111"/>
      <c r="X26" s="111"/>
      <c r="Y26" s="111"/>
      <c r="Z26" s="111"/>
      <c r="AA26" s="112"/>
      <c r="AB26" s="128">
        <f t="shared" si="2"/>
        <v>0</v>
      </c>
      <c r="AC26" s="118"/>
      <c r="AD26" s="157"/>
    </row>
    <row r="27" spans="1:32" ht="15.75">
      <c r="A27" s="105">
        <v>27</v>
      </c>
      <c r="B27" s="106" t="s">
        <v>3</v>
      </c>
      <c r="C27" s="107"/>
      <c r="D27" s="107"/>
      <c r="E27" s="107"/>
      <c r="F27" s="107"/>
      <c r="G27" s="107"/>
      <c r="H27" s="107"/>
      <c r="I27" s="107"/>
      <c r="J27" s="107"/>
      <c r="K27" s="107"/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07"/>
      <c r="W27" s="107"/>
      <c r="X27" s="107"/>
      <c r="Y27" s="107"/>
      <c r="Z27" s="107"/>
      <c r="AA27" s="108"/>
      <c r="AB27" s="128">
        <f t="shared" si="2"/>
        <v>0</v>
      </c>
      <c r="AC27" s="117"/>
      <c r="AD27" s="157"/>
    </row>
    <row r="28" spans="1:32" ht="15.75">
      <c r="A28" s="109">
        <v>28</v>
      </c>
      <c r="B28" s="110" t="s">
        <v>4</v>
      </c>
      <c r="C28" s="111"/>
      <c r="D28" s="111"/>
      <c r="E28" s="111"/>
      <c r="F28" s="111"/>
      <c r="G28" s="111"/>
      <c r="H28" s="111"/>
      <c r="I28" s="111"/>
      <c r="J28" s="111"/>
      <c r="K28" s="111"/>
      <c r="L28" s="111"/>
      <c r="M28" s="111"/>
      <c r="N28" s="111"/>
      <c r="O28" s="111"/>
      <c r="P28" s="111"/>
      <c r="Q28" s="111"/>
      <c r="R28" s="111"/>
      <c r="S28" s="111"/>
      <c r="T28" s="111"/>
      <c r="U28" s="111"/>
      <c r="V28" s="111"/>
      <c r="W28" s="111"/>
      <c r="X28" s="111"/>
      <c r="Y28" s="111"/>
      <c r="Z28" s="111"/>
      <c r="AA28" s="112"/>
      <c r="AB28" s="128">
        <f t="shared" si="2"/>
        <v>0</v>
      </c>
      <c r="AC28" s="117"/>
      <c r="AD28" s="157"/>
    </row>
    <row r="29" spans="1:32" ht="15.75">
      <c r="A29" s="105">
        <v>29</v>
      </c>
      <c r="B29" s="106" t="s">
        <v>5</v>
      </c>
      <c r="C29" s="107"/>
      <c r="D29" s="107"/>
      <c r="E29" s="107"/>
      <c r="F29" s="107"/>
      <c r="G29" s="107"/>
      <c r="H29" s="107"/>
      <c r="I29" s="107"/>
      <c r="J29" s="107"/>
      <c r="K29" s="107"/>
      <c r="L29" s="107"/>
      <c r="M29" s="107"/>
      <c r="N29" s="107"/>
      <c r="O29" s="107"/>
      <c r="P29" s="107"/>
      <c r="Q29" s="107"/>
      <c r="R29" s="107"/>
      <c r="S29" s="107"/>
      <c r="T29" s="107"/>
      <c r="U29" s="107"/>
      <c r="V29" s="107"/>
      <c r="W29" s="107"/>
      <c r="X29" s="107"/>
      <c r="Y29" s="107"/>
      <c r="Z29" s="107"/>
      <c r="AA29" s="108"/>
      <c r="AB29" s="128">
        <f t="shared" si="2"/>
        <v>0</v>
      </c>
      <c r="AC29" s="117"/>
      <c r="AD29" s="157"/>
    </row>
    <row r="30" spans="1:32" ht="15.75">
      <c r="A30" s="109">
        <v>30</v>
      </c>
      <c r="B30" s="110" t="s">
        <v>6</v>
      </c>
      <c r="C30" s="111"/>
      <c r="D30" s="111"/>
      <c r="E30" s="111"/>
      <c r="F30" s="111"/>
      <c r="G30" s="111"/>
      <c r="H30" s="111"/>
      <c r="I30" s="111"/>
      <c r="J30" s="111"/>
      <c r="K30" s="111"/>
      <c r="L30" s="111"/>
      <c r="M30" s="111"/>
      <c r="N30" s="111"/>
      <c r="O30" s="111"/>
      <c r="P30" s="111"/>
      <c r="Q30" s="111"/>
      <c r="R30" s="111"/>
      <c r="S30" s="111"/>
      <c r="T30" s="111"/>
      <c r="U30" s="111"/>
      <c r="V30" s="111"/>
      <c r="W30" s="111"/>
      <c r="X30" s="111"/>
      <c r="Y30" s="111"/>
      <c r="Z30" s="111"/>
      <c r="AA30" s="112"/>
      <c r="AB30" s="128">
        <f t="shared" si="2"/>
        <v>0</v>
      </c>
      <c r="AC30" s="117"/>
      <c r="AD30" s="157"/>
    </row>
    <row r="31" spans="1:32" ht="15.75">
      <c r="A31" s="105">
        <v>31</v>
      </c>
      <c r="B31" s="106" t="s">
        <v>7</v>
      </c>
      <c r="C31" s="107"/>
      <c r="D31" s="107"/>
      <c r="E31" s="107"/>
      <c r="F31" s="107"/>
      <c r="G31" s="107"/>
      <c r="H31" s="107"/>
      <c r="I31" s="107"/>
      <c r="J31" s="107"/>
      <c r="K31" s="107"/>
      <c r="L31" s="107"/>
      <c r="M31" s="107"/>
      <c r="N31" s="107"/>
      <c r="O31" s="107"/>
      <c r="P31" s="107"/>
      <c r="Q31" s="107"/>
      <c r="R31" s="107"/>
      <c r="S31" s="107"/>
      <c r="T31" s="107"/>
      <c r="U31" s="107"/>
      <c r="V31" s="107"/>
      <c r="W31" s="107"/>
      <c r="X31" s="107"/>
      <c r="Y31" s="107"/>
      <c r="Z31" s="107"/>
      <c r="AA31" s="108"/>
      <c r="AB31" s="128">
        <f t="shared" si="2"/>
        <v>0</v>
      </c>
      <c r="AC31" s="117"/>
      <c r="AD31" s="157"/>
    </row>
    <row r="32" spans="1:32" ht="15.75">
      <c r="A32" s="109">
        <v>1</v>
      </c>
      <c r="B32" s="110" t="s">
        <v>8</v>
      </c>
      <c r="C32" s="111"/>
      <c r="D32" s="111"/>
      <c r="E32" s="111"/>
      <c r="F32" s="111"/>
      <c r="G32" s="111"/>
      <c r="H32" s="111"/>
      <c r="I32" s="111"/>
      <c r="J32" s="111"/>
      <c r="K32" s="111"/>
      <c r="L32" s="111"/>
      <c r="M32" s="111"/>
      <c r="N32" s="111"/>
      <c r="O32" s="111"/>
      <c r="P32" s="111"/>
      <c r="Q32" s="111"/>
      <c r="R32" s="111"/>
      <c r="S32" s="111"/>
      <c r="T32" s="111"/>
      <c r="U32" s="111"/>
      <c r="V32" s="111"/>
      <c r="W32" s="111"/>
      <c r="X32" s="111"/>
      <c r="Y32" s="111"/>
      <c r="Z32" s="111"/>
      <c r="AA32" s="112"/>
      <c r="AB32" s="128">
        <f t="shared" si="2"/>
        <v>0</v>
      </c>
      <c r="AC32" s="117"/>
      <c r="AD32" s="157"/>
    </row>
    <row r="33" spans="1:30" ht="15.75">
      <c r="A33" s="105">
        <v>2</v>
      </c>
      <c r="B33" s="106" t="s">
        <v>2</v>
      </c>
      <c r="C33" s="107"/>
      <c r="D33" s="107"/>
      <c r="E33" s="107"/>
      <c r="F33" s="107"/>
      <c r="G33" s="107"/>
      <c r="H33" s="107"/>
      <c r="I33" s="107"/>
      <c r="J33" s="107"/>
      <c r="K33" s="107"/>
      <c r="L33" s="107"/>
      <c r="M33" s="107"/>
      <c r="N33" s="107"/>
      <c r="O33" s="107"/>
      <c r="P33" s="107"/>
      <c r="Q33" s="107"/>
      <c r="R33" s="107"/>
      <c r="S33" s="107"/>
      <c r="T33" s="107"/>
      <c r="U33" s="107"/>
      <c r="V33" s="107"/>
      <c r="W33" s="107"/>
      <c r="X33" s="107"/>
      <c r="Y33" s="107"/>
      <c r="Z33" s="107"/>
      <c r="AA33" s="108"/>
      <c r="AB33" s="128">
        <f t="shared" si="2"/>
        <v>0</v>
      </c>
      <c r="AC33" s="117"/>
      <c r="AD33" s="157"/>
    </row>
    <row r="34" spans="1:30" ht="15.75">
      <c r="A34" s="109">
        <v>3</v>
      </c>
      <c r="B34" s="110" t="s">
        <v>3</v>
      </c>
      <c r="C34" s="111"/>
      <c r="D34" s="111"/>
      <c r="E34" s="111"/>
      <c r="F34" s="111"/>
      <c r="G34" s="111"/>
      <c r="H34" s="111"/>
      <c r="I34" s="111"/>
      <c r="J34" s="111"/>
      <c r="K34" s="111"/>
      <c r="L34" s="111"/>
      <c r="M34" s="111"/>
      <c r="N34" s="111"/>
      <c r="O34" s="111"/>
      <c r="P34" s="111"/>
      <c r="Q34" s="111"/>
      <c r="R34" s="111"/>
      <c r="S34" s="111"/>
      <c r="T34" s="111"/>
      <c r="U34" s="111"/>
      <c r="V34" s="111"/>
      <c r="W34" s="111"/>
      <c r="X34" s="111"/>
      <c r="Y34" s="111"/>
      <c r="Z34" s="111"/>
      <c r="AA34" s="112"/>
      <c r="AB34" s="128">
        <f t="shared" si="2"/>
        <v>0</v>
      </c>
      <c r="AC34" s="117"/>
      <c r="AD34" s="157"/>
    </row>
    <row r="35" spans="1:30" ht="15.75">
      <c r="A35" s="105">
        <v>4</v>
      </c>
      <c r="B35" s="106" t="s">
        <v>4</v>
      </c>
      <c r="C35" s="107"/>
      <c r="D35" s="107"/>
      <c r="E35" s="107"/>
      <c r="F35" s="107"/>
      <c r="G35" s="107"/>
      <c r="H35" s="107"/>
      <c r="I35" s="107"/>
      <c r="J35" s="107"/>
      <c r="K35" s="107"/>
      <c r="L35" s="107"/>
      <c r="M35" s="107"/>
      <c r="N35" s="107"/>
      <c r="O35" s="107"/>
      <c r="P35" s="107"/>
      <c r="Q35" s="107"/>
      <c r="R35" s="107"/>
      <c r="S35" s="107"/>
      <c r="T35" s="107"/>
      <c r="U35" s="107"/>
      <c r="V35" s="107"/>
      <c r="W35" s="107"/>
      <c r="X35" s="107"/>
      <c r="Y35" s="107"/>
      <c r="Z35" s="107"/>
      <c r="AA35" s="108"/>
      <c r="AB35" s="128">
        <f t="shared" si="2"/>
        <v>0</v>
      </c>
      <c r="AC35" s="117"/>
      <c r="AD35" s="157"/>
    </row>
    <row r="36" spans="1:30" ht="14.25" customHeight="1">
      <c r="A36" s="158" t="s">
        <v>36</v>
      </c>
      <c r="B36" s="158"/>
      <c r="C36" s="113">
        <f>SUM(C20:C35)</f>
        <v>0</v>
      </c>
      <c r="D36" s="113">
        <f t="shared" ref="D36:K36" si="3">SUM(D20:D35)</f>
        <v>0</v>
      </c>
      <c r="E36" s="113">
        <f t="shared" si="3"/>
        <v>0</v>
      </c>
      <c r="F36" s="113">
        <f t="shared" si="3"/>
        <v>0</v>
      </c>
      <c r="G36" s="113">
        <f t="shared" si="3"/>
        <v>0</v>
      </c>
      <c r="H36" s="113">
        <f t="shared" si="3"/>
        <v>0</v>
      </c>
      <c r="I36" s="113">
        <f t="shared" si="3"/>
        <v>0</v>
      </c>
      <c r="J36" s="113">
        <f t="shared" si="3"/>
        <v>0</v>
      </c>
      <c r="K36" s="113">
        <f t="shared" si="3"/>
        <v>0</v>
      </c>
      <c r="L36" s="114">
        <f>SUM(L20:L35)</f>
        <v>0</v>
      </c>
      <c r="M36" s="114">
        <f t="shared" ref="M36:Q36" si="4">SUM(M20:M35)</f>
        <v>0</v>
      </c>
      <c r="N36" s="114">
        <f t="shared" si="4"/>
        <v>0</v>
      </c>
      <c r="O36" s="114">
        <f t="shared" si="4"/>
        <v>0</v>
      </c>
      <c r="P36" s="114">
        <f t="shared" si="4"/>
        <v>0</v>
      </c>
      <c r="Q36" s="114">
        <f t="shared" si="4"/>
        <v>0</v>
      </c>
      <c r="R36" s="115">
        <f>SUM(R20:R35)</f>
        <v>0</v>
      </c>
      <c r="S36" s="115">
        <f t="shared" ref="S36:AA36" si="5">SUM(S20:S35)</f>
        <v>0</v>
      </c>
      <c r="T36" s="115">
        <f t="shared" si="5"/>
        <v>0</v>
      </c>
      <c r="U36" s="115">
        <f t="shared" si="5"/>
        <v>0</v>
      </c>
      <c r="V36" s="115">
        <f t="shared" si="5"/>
        <v>0</v>
      </c>
      <c r="W36" s="115">
        <f t="shared" si="5"/>
        <v>0</v>
      </c>
      <c r="X36" s="115">
        <f t="shared" si="5"/>
        <v>0</v>
      </c>
      <c r="Y36" s="115">
        <f t="shared" si="5"/>
        <v>0</v>
      </c>
      <c r="Z36" s="115">
        <f t="shared" si="5"/>
        <v>0</v>
      </c>
      <c r="AA36" s="124">
        <f t="shared" si="5"/>
        <v>0</v>
      </c>
      <c r="AB36" s="129">
        <f>SUM(AB20:AB35)</f>
        <v>0</v>
      </c>
      <c r="AC36" s="130">
        <f>SUM(AC20:AC35)</f>
        <v>0</v>
      </c>
      <c r="AD36" s="133">
        <f>AC36-AB36</f>
        <v>0</v>
      </c>
    </row>
    <row r="37" spans="1:30" ht="31.5" customHeight="1">
      <c r="A37" s="155" t="s">
        <v>37</v>
      </c>
      <c r="B37" s="155"/>
      <c r="C37" s="116">
        <f>SUM(C19,C36)</f>
        <v>1403.89</v>
      </c>
      <c r="D37" s="116"/>
      <c r="E37" s="116"/>
      <c r="F37" s="116">
        <f t="shared" ref="F37:AB37" si="6">SUM(F19,F36)</f>
        <v>2446</v>
      </c>
      <c r="G37" s="116"/>
      <c r="H37" s="116">
        <f t="shared" si="6"/>
        <v>0</v>
      </c>
      <c r="I37" s="116">
        <f t="shared" si="6"/>
        <v>10405</v>
      </c>
      <c r="J37" s="116">
        <f t="shared" si="6"/>
        <v>3102</v>
      </c>
      <c r="K37" s="116">
        <f t="shared" si="6"/>
        <v>2280</v>
      </c>
      <c r="L37" s="116">
        <f t="shared" si="6"/>
        <v>10858.130000000001</v>
      </c>
      <c r="M37" s="116">
        <f t="shared" si="6"/>
        <v>0</v>
      </c>
      <c r="N37" s="116">
        <f t="shared" si="6"/>
        <v>1690</v>
      </c>
      <c r="O37" s="116"/>
      <c r="P37" s="116"/>
      <c r="Q37" s="116"/>
      <c r="R37" s="116">
        <f t="shared" si="6"/>
        <v>0</v>
      </c>
      <c r="S37" s="116"/>
      <c r="T37" s="116">
        <f t="shared" si="6"/>
        <v>0</v>
      </c>
      <c r="U37" s="116">
        <f t="shared" si="6"/>
        <v>2384</v>
      </c>
      <c r="V37" s="116">
        <f t="shared" si="6"/>
        <v>158.61000000000001</v>
      </c>
      <c r="W37" s="116">
        <f t="shared" si="6"/>
        <v>18026.97</v>
      </c>
      <c r="X37" s="116">
        <f t="shared" si="6"/>
        <v>2227</v>
      </c>
      <c r="Y37" s="116">
        <f t="shared" si="6"/>
        <v>0</v>
      </c>
      <c r="Z37" s="116">
        <f>SUM(Z19,Z36)</f>
        <v>2626</v>
      </c>
      <c r="AA37" s="125">
        <f t="shared" si="6"/>
        <v>0</v>
      </c>
      <c r="AB37" s="131">
        <f t="shared" si="6"/>
        <v>77138.600000000006</v>
      </c>
      <c r="AC37" s="132">
        <f>SUM(AC19,AC36)</f>
        <v>96705.110000000015</v>
      </c>
      <c r="AD37" s="134">
        <f>SUM(AD19,AD36)</f>
        <v>19566.510000000009</v>
      </c>
    </row>
    <row r="41" spans="1:30"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</row>
  </sheetData>
  <mergeCells count="11">
    <mergeCell ref="A37:B37"/>
    <mergeCell ref="A1:AD1"/>
    <mergeCell ref="AD4:AD18"/>
    <mergeCell ref="A19:B19"/>
    <mergeCell ref="AD20:AD35"/>
    <mergeCell ref="A36:B36"/>
    <mergeCell ref="C2:K2"/>
    <mergeCell ref="L2:Q2"/>
    <mergeCell ref="R2:AA2"/>
    <mergeCell ref="AB2:AD2"/>
    <mergeCell ref="A2:B2"/>
  </mergeCells>
  <conditionalFormatting sqref="AD19:AD20 AD36:AD37">
    <cfRule type="expression" dxfId="1" priority="1">
      <formula>AD19&lt;0</formula>
    </cfRule>
    <cfRule type="expression" dxfId="0" priority="2">
      <formula>AD19&gt;0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Сводная</vt:lpstr>
      <vt:lpstr>Февраль 2026</vt:lpstr>
      <vt:lpstr>Март 2026</vt:lpstr>
      <vt:lpstr>Апрель 2026</vt:lpstr>
      <vt:lpstr>Май 2026</vt:lpstr>
      <vt:lpstr> Июнь 2026</vt:lpstr>
      <vt:lpstr>Июль 2026</vt:lpstr>
      <vt:lpstr>Август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2026-08-15T16:36:27Z</dcterms:modified>
</cp:coreProperties>
</file>