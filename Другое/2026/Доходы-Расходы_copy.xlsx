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36" i="9"/>
  <c r="R23"/>
  <c r="W23"/>
  <c r="J23"/>
  <c r="V23"/>
  <c r="K24"/>
  <c r="D24"/>
  <c r="K25"/>
  <c r="N16"/>
  <c r="G16"/>
  <c r="X18"/>
  <c r="U18"/>
  <c r="W20"/>
  <c r="K20"/>
  <c r="C20"/>
  <c r="D20"/>
  <c r="I21"/>
  <c r="D21"/>
  <c r="Z7"/>
  <c r="W14"/>
  <c r="J15"/>
  <c r="Z15"/>
  <c r="W15"/>
  <c r="U10" l="1"/>
  <c r="F11"/>
  <c r="U12"/>
  <c r="W12"/>
  <c r="I13"/>
  <c r="W13"/>
  <c r="Q30" i="8"/>
  <c r="W30" s="1"/>
  <c r="F35"/>
  <c r="W35" s="1"/>
  <c r="N9" i="9"/>
  <c r="N19" s="1"/>
  <c r="W8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35"/>
  <c r="AB21"/>
  <c r="AB20"/>
  <c r="S36"/>
  <c r="T36"/>
  <c r="U36"/>
  <c r="V36"/>
  <c r="W36"/>
  <c r="X36"/>
  <c r="Y36"/>
  <c r="Z36"/>
  <c r="AA36"/>
  <c r="R36"/>
  <c r="M36"/>
  <c r="N36"/>
  <c r="O36"/>
  <c r="P36"/>
  <c r="Q36"/>
  <c r="L36"/>
  <c r="D36"/>
  <c r="E36"/>
  <c r="F36"/>
  <c r="G36"/>
  <c r="H36"/>
  <c r="H37" s="1"/>
  <c r="I36"/>
  <c r="J36"/>
  <c r="K36"/>
  <c r="C36"/>
  <c r="AB6"/>
  <c r="AB9"/>
  <c r="AB10"/>
  <c r="AB11"/>
  <c r="AB12"/>
  <c r="AB13"/>
  <c r="AB14"/>
  <c r="AB15"/>
  <c r="AB16"/>
  <c r="AB17"/>
  <c r="AB18"/>
  <c r="D19"/>
  <c r="E19"/>
  <c r="F19"/>
  <c r="G19"/>
  <c r="H19"/>
  <c r="J19"/>
  <c r="K19"/>
  <c r="M19"/>
  <c r="O19"/>
  <c r="P19"/>
  <c r="Q19"/>
  <c r="R19"/>
  <c r="S19"/>
  <c r="T19"/>
  <c r="U19"/>
  <c r="V19"/>
  <c r="X19"/>
  <c r="Y19"/>
  <c r="Z19"/>
  <c r="AA19"/>
  <c r="C19"/>
  <c r="R37"/>
  <c r="AG13" i="8"/>
  <c r="AG12"/>
  <c r="Y37"/>
  <c r="X37"/>
  <c r="X20"/>
  <c r="X38" s="1"/>
  <c r="W22"/>
  <c r="W23"/>
  <c r="W24"/>
  <c r="W25"/>
  <c r="W26"/>
  <c r="W27"/>
  <c r="W29"/>
  <c r="W31"/>
  <c r="W32"/>
  <c r="W33"/>
  <c r="W34"/>
  <c r="W36"/>
  <c r="W21"/>
  <c r="Y3"/>
  <c r="AG11" s="1"/>
  <c r="O17"/>
  <c r="U17"/>
  <c r="C17"/>
  <c r="C22"/>
  <c r="O24"/>
  <c r="D25"/>
  <c r="T28"/>
  <c r="W28" s="1"/>
  <c r="Y20" l="1"/>
  <c r="W37"/>
  <c r="Z37" s="1"/>
  <c r="W19" i="9"/>
  <c r="W37" s="1"/>
  <c r="V37"/>
  <c r="L19"/>
  <c r="L37" s="1"/>
  <c r="I19"/>
  <c r="I37" s="1"/>
  <c r="AB36"/>
  <c r="AD36" s="1"/>
  <c r="U37"/>
  <c r="T37"/>
  <c r="M37"/>
  <c r="K37"/>
  <c r="F37"/>
  <c r="X37"/>
  <c r="Y37"/>
  <c r="J37"/>
  <c r="Z37"/>
  <c r="AA37"/>
  <c r="N37"/>
  <c r="AB19"/>
  <c r="AC37"/>
  <c r="C37"/>
  <c r="V19" i="8"/>
  <c r="Q15"/>
  <c r="C14"/>
  <c r="AD19" i="9" l="1"/>
  <c r="AD37" s="1"/>
  <c r="AB37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R20"/>
  <c r="Q20"/>
  <c r="O20"/>
  <c r="N20"/>
  <c r="M20"/>
  <c r="L20"/>
  <c r="K20"/>
  <c r="J20"/>
  <c r="I20"/>
  <c r="H20"/>
  <c r="G20"/>
  <c r="G38" s="1"/>
  <c r="E20"/>
  <c r="F20"/>
  <c r="D20"/>
  <c r="V20"/>
  <c r="S20"/>
  <c r="S38" s="1"/>
  <c r="C20"/>
  <c r="W20" l="1"/>
  <c r="Z20" s="1"/>
  <c r="Z38" s="1"/>
  <c r="F38"/>
  <c r="T38"/>
  <c r="E38"/>
  <c r="N38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C5"/>
  <c r="W5" s="1"/>
  <c r="D4"/>
  <c r="D18" s="1"/>
  <c r="C3"/>
  <c r="H3"/>
  <c r="H18" s="1"/>
  <c r="H36" s="1"/>
  <c r="P7"/>
  <c r="W7" s="1"/>
  <c r="F8"/>
  <c r="N8"/>
  <c r="N18" s="1"/>
  <c r="O9"/>
  <c r="O18" s="1"/>
  <c r="C11"/>
  <c r="W11" s="1"/>
  <c r="P17"/>
  <c r="W17" s="1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M18"/>
  <c r="L18"/>
  <c r="K18"/>
  <c r="J18"/>
  <c r="I18"/>
  <c r="G18"/>
  <c r="E18"/>
  <c r="W16"/>
  <c r="W15"/>
  <c r="W14"/>
  <c r="W13"/>
  <c r="W12"/>
  <c r="W10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P18" i="7" l="1"/>
  <c r="F18"/>
  <c r="W9"/>
  <c r="W8"/>
  <c r="C18"/>
  <c r="AG15" i="8"/>
  <c r="W4" i="7"/>
  <c r="J36"/>
  <c r="K36"/>
  <c r="U36"/>
  <c r="N36"/>
  <c r="W24" i="6"/>
  <c r="W25"/>
  <c r="W27"/>
  <c r="W28"/>
  <c r="W31"/>
  <c r="V36" i="7"/>
  <c r="W3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5" i="6" l="1"/>
  <c r="O18"/>
  <c r="W18" i="7"/>
  <c r="W6" i="6"/>
  <c r="W38" i="8"/>
  <c r="AG14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color indexed="81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color indexed="81"/>
            <rFont val="Tahoma"/>
            <family val="2"/>
            <charset val="204"/>
          </rPr>
          <t>хлеб в амбаре</t>
        </r>
      </text>
    </comment>
    <comment ref="J15" authorId="0">
      <text>
        <r>
          <rPr>
            <b/>
            <sz val="9"/>
            <color indexed="81"/>
            <rFont val="Tahoma"/>
            <family val="2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color indexed="81"/>
            <rFont val="Tahoma"/>
            <family val="2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color indexed="81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color indexed="81"/>
            <rFont val="Tahoma"/>
            <family val="2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color indexed="81"/>
            <rFont val="Tahoma"/>
            <family val="2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color indexed="81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color indexed="81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color indexed="81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color indexed="81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color indexed="81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color indexed="81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color indexed="81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color indexed="81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color indexed="81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color indexed="81"/>
            <rFont val="Tahoma"/>
            <charset val="1"/>
          </rPr>
          <t>Обед в феличите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color indexed="81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color indexed="81"/>
            <rFont val="Tahoma"/>
            <charset val="1"/>
          </rPr>
          <t>Мы поругались и Аня просто с утра сказала "Переведи мне 6к"</t>
        </r>
      </text>
    </comment>
  </commentList>
</comments>
</file>

<file path=xl/sharedStrings.xml><?xml version="1.0" encoding="utf-8"?>
<sst xmlns="http://schemas.openxmlformats.org/spreadsheetml/2006/main" count="452" uniqueCount="83">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</sst>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164" fontId="23" fillId="20" borderId="7" xfId="0" applyNumberFormat="1" applyFont="1" applyFill="1" applyBorder="1" applyAlignment="1"/>
    <xf numFmtId="164" fontId="23" fillId="21" borderId="14" xfId="0" applyNumberFormat="1" applyFont="1" applyFill="1" applyBorder="1" applyAlignment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8" t="s">
        <v>27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39" t="s">
        <v>20</v>
      </c>
      <c r="B31" s="13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1" t="s">
        <v>32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40" t="s">
        <v>20</v>
      </c>
      <c r="B32" s="14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1" t="s">
        <v>38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3" t="s">
        <v>35</v>
      </c>
      <c r="B20" s="14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3" t="s">
        <v>36</v>
      </c>
      <c r="B36" s="14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2" t="s">
        <v>37</v>
      </c>
      <c r="B37" s="14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5" t="s">
        <v>57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6" t="s">
        <v>35</v>
      </c>
      <c r="B18" s="14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6" t="s">
        <v>36</v>
      </c>
      <c r="B35" s="14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47" t="s">
        <v>37</v>
      </c>
      <c r="B36" s="14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8" t="s">
        <v>58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49" t="s">
        <v>35</v>
      </c>
      <c r="B18" s="149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49" t="s">
        <v>36</v>
      </c>
      <c r="B35" s="149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50" t="s">
        <v>37</v>
      </c>
      <c r="B36" s="150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Y37" sqref="Y37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3" t="s">
        <v>59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5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5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5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5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5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5"/>
      <c r="AC8" s="152" t="s">
        <v>61</v>
      </c>
      <c r="AD8" s="152"/>
      <c r="AE8" s="152"/>
      <c r="AF8" s="152"/>
      <c r="AG8" s="152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5"/>
      <c r="AC9" s="152"/>
      <c r="AD9" s="152"/>
      <c r="AE9" s="152"/>
      <c r="AF9" s="152"/>
      <c r="AG9" s="152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5"/>
      <c r="AC10" s="152"/>
      <c r="AD10" s="152"/>
      <c r="AE10" s="152"/>
      <c r="AF10" s="152"/>
      <c r="AG10" s="152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5"/>
      <c r="AC11" s="151" t="s">
        <v>62</v>
      </c>
      <c r="AD11" s="151"/>
      <c r="AE11" s="151"/>
      <c r="AF11" s="151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5"/>
      <c r="AC12" s="151" t="s">
        <v>55</v>
      </c>
      <c r="AD12" s="151"/>
      <c r="AE12" s="151"/>
      <c r="AF12" s="151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5"/>
      <c r="AC13" s="151" t="s">
        <v>63</v>
      </c>
      <c r="AD13" s="151"/>
      <c r="AE13" s="151"/>
      <c r="AF13" s="151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5"/>
      <c r="AC14" s="151" t="s">
        <v>64</v>
      </c>
      <c r="AD14" s="151"/>
      <c r="AE14" s="151"/>
      <c r="AF14" s="151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5"/>
      <c r="AC15" s="151" t="s">
        <v>65</v>
      </c>
      <c r="AD15" s="151"/>
      <c r="AE15" s="151"/>
      <c r="AF15" s="151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5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5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5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5"/>
    </row>
    <row r="20" spans="1:28" ht="14.25" customHeight="1">
      <c r="A20" s="149" t="s">
        <v>35</v>
      </c>
      <c r="B20" s="149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5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5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5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5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5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5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5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5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5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5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5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5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36">
        <v>10000</v>
      </c>
      <c r="Z33" s="155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5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5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5"/>
    </row>
    <row r="37" spans="1:26">
      <c r="A37" s="149" t="s">
        <v>36</v>
      </c>
      <c r="B37" s="149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4" t="s">
        <v>37</v>
      </c>
      <c r="B38" s="154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1:Z1"/>
    <mergeCell ref="A20:B20"/>
    <mergeCell ref="A37:B37"/>
    <mergeCell ref="A38:B38"/>
    <mergeCell ref="Z3:Z19"/>
    <mergeCell ref="Z21:Z36"/>
    <mergeCell ref="AC14:AF14"/>
    <mergeCell ref="AC15:AF15"/>
    <mergeCell ref="AC8:AG10"/>
    <mergeCell ref="AC11:AF11"/>
    <mergeCell ref="AC12:AF12"/>
    <mergeCell ref="AC13:AF13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85" zoomScaleNormal="85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AC37" sqref="AC37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57" t="s">
        <v>66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</row>
    <row r="2" spans="1:52" ht="26.25">
      <c r="A2" s="164"/>
      <c r="B2" s="165"/>
      <c r="C2" s="160" t="s">
        <v>67</v>
      </c>
      <c r="D2" s="160"/>
      <c r="E2" s="160"/>
      <c r="F2" s="160"/>
      <c r="G2" s="160"/>
      <c r="H2" s="160"/>
      <c r="I2" s="160"/>
      <c r="J2" s="160"/>
      <c r="K2" s="160"/>
      <c r="L2" s="161" t="s">
        <v>75</v>
      </c>
      <c r="M2" s="161"/>
      <c r="N2" s="161"/>
      <c r="O2" s="161"/>
      <c r="P2" s="161"/>
      <c r="Q2" s="161"/>
      <c r="R2" s="162" t="s">
        <v>78</v>
      </c>
      <c r="S2" s="162"/>
      <c r="T2" s="162"/>
      <c r="U2" s="162"/>
      <c r="V2" s="162"/>
      <c r="W2" s="162"/>
      <c r="X2" s="162"/>
      <c r="Y2" s="162"/>
      <c r="Z2" s="162"/>
      <c r="AA2" s="162"/>
      <c r="AB2" s="163" t="s">
        <v>81</v>
      </c>
      <c r="AC2" s="163"/>
      <c r="AD2" s="163"/>
    </row>
    <row r="3" spans="1:52" ht="45" customHeight="1">
      <c r="A3" s="119" t="s">
        <v>0</v>
      </c>
      <c r="B3" s="119" t="s">
        <v>1</v>
      </c>
      <c r="C3" s="120" t="s">
        <v>68</v>
      </c>
      <c r="D3" s="120" t="s">
        <v>69</v>
      </c>
      <c r="E3" s="120" t="s">
        <v>70</v>
      </c>
      <c r="F3" s="120" t="s">
        <v>29</v>
      </c>
      <c r="G3" s="120" t="s">
        <v>82</v>
      </c>
      <c r="H3" s="120" t="s">
        <v>71</v>
      </c>
      <c r="I3" s="120" t="s">
        <v>72</v>
      </c>
      <c r="J3" s="120" t="s">
        <v>73</v>
      </c>
      <c r="K3" s="120" t="s">
        <v>74</v>
      </c>
      <c r="L3" s="121" t="s">
        <v>24</v>
      </c>
      <c r="M3" s="121" t="s">
        <v>14</v>
      </c>
      <c r="N3" s="121" t="s">
        <v>76</v>
      </c>
      <c r="O3" s="121" t="s">
        <v>25</v>
      </c>
      <c r="P3" s="121" t="s">
        <v>25</v>
      </c>
      <c r="Q3" s="121" t="s">
        <v>77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79</v>
      </c>
      <c r="Y3" s="122" t="s">
        <v>79</v>
      </c>
      <c r="Z3" s="122" t="s">
        <v>80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58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58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58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f>2626-2500</f>
        <v>126</v>
      </c>
      <c r="AA7" s="108"/>
      <c r="AB7" s="128">
        <f t="shared" si="0"/>
        <v>5968</v>
      </c>
      <c r="AC7" s="117"/>
      <c r="AD7" s="158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58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58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f>207+380</f>
        <v>587</v>
      </c>
      <c r="V10" s="111"/>
      <c r="W10" s="111">
        <v>1180</v>
      </c>
      <c r="X10" s="111">
        <v>990</v>
      </c>
      <c r="Y10" s="111"/>
      <c r="Z10" s="111"/>
      <c r="AA10" s="112"/>
      <c r="AB10" s="128">
        <f t="shared" si="0"/>
        <v>3257</v>
      </c>
      <c r="AC10" s="117"/>
      <c r="AD10" s="158"/>
    </row>
    <row r="11" spans="1:52" ht="15.75">
      <c r="A11" s="105">
        <v>12</v>
      </c>
      <c r="B11" s="106" t="s">
        <v>2</v>
      </c>
      <c r="C11" s="107"/>
      <c r="D11" s="107"/>
      <c r="E11" s="107"/>
      <c r="F11" s="107">
        <f>210+424</f>
        <v>634</v>
      </c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>
        <v>400</v>
      </c>
      <c r="X11" s="107"/>
      <c r="Y11" s="107"/>
      <c r="Z11" s="107"/>
      <c r="AA11" s="108"/>
      <c r="AB11" s="128">
        <f t="shared" si="0"/>
        <v>1034</v>
      </c>
      <c r="AC11" s="117"/>
      <c r="AD11" s="158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>
        <v>420</v>
      </c>
      <c r="L12" s="111"/>
      <c r="M12" s="111"/>
      <c r="N12" s="111"/>
      <c r="O12" s="111"/>
      <c r="P12" s="111"/>
      <c r="Q12" s="111"/>
      <c r="R12" s="111"/>
      <c r="S12" s="111"/>
      <c r="T12" s="111"/>
      <c r="U12" s="111">
        <f>399+300</f>
        <v>699</v>
      </c>
      <c r="V12" s="111"/>
      <c r="W12" s="111">
        <f>517+1080+787+83</f>
        <v>2467</v>
      </c>
      <c r="X12" s="111"/>
      <c r="Y12" s="111"/>
      <c r="Z12" s="111"/>
      <c r="AA12" s="112"/>
      <c r="AB12" s="128">
        <f t="shared" si="0"/>
        <v>3586</v>
      </c>
      <c r="AC12" s="117"/>
      <c r="AD12" s="158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>
        <f>2220+250</f>
        <v>2470</v>
      </c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>
        <v>384</v>
      </c>
      <c r="V13" s="107"/>
      <c r="W13" s="107">
        <f>2720+315</f>
        <v>3035</v>
      </c>
      <c r="X13" s="107"/>
      <c r="Y13" s="107"/>
      <c r="Z13" s="107"/>
      <c r="AA13" s="108"/>
      <c r="AB13" s="128">
        <f t="shared" si="0"/>
        <v>5889</v>
      </c>
      <c r="AC13" s="117"/>
      <c r="AD13" s="158"/>
    </row>
    <row r="14" spans="1:52" ht="15.75">
      <c r="A14" s="109">
        <v>15</v>
      </c>
      <c r="B14" s="110" t="s">
        <v>5</v>
      </c>
      <c r="C14" s="111">
        <v>973.94</v>
      </c>
      <c r="D14" s="111"/>
      <c r="E14" s="111"/>
      <c r="F14" s="111"/>
      <c r="G14" s="111"/>
      <c r="H14" s="111">
        <v>4470</v>
      </c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>
        <f>1319.99+329</f>
        <v>1648.99</v>
      </c>
      <c r="X14" s="111"/>
      <c r="Y14" s="111"/>
      <c r="Z14" s="111"/>
      <c r="AA14" s="112"/>
      <c r="AB14" s="128">
        <f t="shared" si="0"/>
        <v>7092.93</v>
      </c>
      <c r="AC14" s="117"/>
      <c r="AD14" s="158"/>
    </row>
    <row r="15" spans="1:52" ht="15.75">
      <c r="A15" s="105">
        <v>16</v>
      </c>
      <c r="B15" s="106" t="s">
        <v>6</v>
      </c>
      <c r="C15" s="107"/>
      <c r="D15" s="107">
        <v>97.3</v>
      </c>
      <c r="E15" s="107"/>
      <c r="F15" s="107"/>
      <c r="G15" s="107"/>
      <c r="H15" s="107"/>
      <c r="I15" s="107"/>
      <c r="J15" s="107">
        <f>539.98+147+1271</f>
        <v>1957.98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>
        <v>2049</v>
      </c>
      <c r="W15" s="107">
        <f>490+380</f>
        <v>870</v>
      </c>
      <c r="X15" s="107">
        <v>990</v>
      </c>
      <c r="Y15" s="107"/>
      <c r="Z15" s="107">
        <f>170+170+170+170</f>
        <v>680</v>
      </c>
      <c r="AA15" s="108"/>
      <c r="AB15" s="128">
        <f t="shared" si="0"/>
        <v>6644.2800000000007</v>
      </c>
      <c r="AC15" s="118"/>
      <c r="AD15" s="158"/>
    </row>
    <row r="16" spans="1:52" ht="15.75">
      <c r="A16" s="109">
        <v>17</v>
      </c>
      <c r="B16" s="110" t="s">
        <v>7</v>
      </c>
      <c r="C16" s="111"/>
      <c r="D16" s="111"/>
      <c r="E16" s="111"/>
      <c r="F16" s="111"/>
      <c r="G16" s="111">
        <f>354+1199</f>
        <v>1553</v>
      </c>
      <c r="H16" s="111"/>
      <c r="I16" s="111">
        <v>1710</v>
      </c>
      <c r="J16" s="111"/>
      <c r="K16" s="111"/>
      <c r="L16" s="111"/>
      <c r="M16" s="111"/>
      <c r="N16" s="111">
        <f>700+499</f>
        <v>1199</v>
      </c>
      <c r="O16" s="111"/>
      <c r="P16" s="111"/>
      <c r="Q16" s="111"/>
      <c r="R16" s="111"/>
      <c r="S16" s="111"/>
      <c r="T16" s="111"/>
      <c r="U16" s="111"/>
      <c r="V16" s="111">
        <v>313.19</v>
      </c>
      <c r="W16" s="111"/>
      <c r="X16" s="111">
        <v>330</v>
      </c>
      <c r="Y16" s="111"/>
      <c r="Z16" s="111"/>
      <c r="AA16" s="112"/>
      <c r="AB16" s="128">
        <f t="shared" si="0"/>
        <v>5105.1899999999996</v>
      </c>
      <c r="AC16" s="117"/>
      <c r="AD16" s="158"/>
    </row>
    <row r="17" spans="1:32" ht="15.75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>
        <v>280.97000000000003</v>
      </c>
      <c r="W17" s="107"/>
      <c r="X17" s="107"/>
      <c r="Y17" s="107"/>
      <c r="Z17" s="107"/>
      <c r="AA17" s="108"/>
      <c r="AB17" s="128">
        <f t="shared" si="0"/>
        <v>280.97000000000003</v>
      </c>
      <c r="AC17" s="117"/>
      <c r="AD17" s="158"/>
    </row>
    <row r="18" spans="1:32" ht="15.75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>
        <f>382+190</f>
        <v>572</v>
      </c>
      <c r="V18" s="111"/>
      <c r="W18" s="111"/>
      <c r="X18" s="111">
        <f>384.98</f>
        <v>384.98</v>
      </c>
      <c r="Y18" s="111"/>
      <c r="Z18" s="111"/>
      <c r="AA18" s="112"/>
      <c r="AB18" s="128">
        <f t="shared" si="0"/>
        <v>956.98</v>
      </c>
      <c r="AC18" s="117"/>
      <c r="AD18" s="158"/>
    </row>
    <row r="19" spans="1:32" ht="14.25" customHeight="1">
      <c r="A19" s="159" t="s">
        <v>35</v>
      </c>
      <c r="B19" s="159"/>
      <c r="C19" s="113">
        <f>SUM(C4:C18)</f>
        <v>1403.89</v>
      </c>
      <c r="D19" s="113">
        <f t="shared" ref="D19:AA19" si="1">SUM(D4:D18)</f>
        <v>97.3</v>
      </c>
      <c r="E19" s="113">
        <f t="shared" si="1"/>
        <v>2510</v>
      </c>
      <c r="F19" s="113">
        <f t="shared" si="1"/>
        <v>2446</v>
      </c>
      <c r="G19" s="113">
        <f t="shared" si="1"/>
        <v>2374</v>
      </c>
      <c r="H19" s="113">
        <f t="shared" si="1"/>
        <v>4470</v>
      </c>
      <c r="I19" s="113">
        <f t="shared" si="1"/>
        <v>12115</v>
      </c>
      <c r="J19" s="113">
        <f t="shared" si="1"/>
        <v>5059.9799999999996</v>
      </c>
      <c r="K19" s="113">
        <f t="shared" si="1"/>
        <v>2280</v>
      </c>
      <c r="L19" s="114">
        <f t="shared" si="1"/>
        <v>10858.130000000001</v>
      </c>
      <c r="M19" s="114">
        <f t="shared" si="1"/>
        <v>0</v>
      </c>
      <c r="N19" s="114">
        <f t="shared" si="1"/>
        <v>2889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2956</v>
      </c>
      <c r="V19" s="115">
        <f t="shared" si="1"/>
        <v>2801.7700000000004</v>
      </c>
      <c r="W19" s="115">
        <f t="shared" si="1"/>
        <v>19225.97</v>
      </c>
      <c r="X19" s="115">
        <f t="shared" si="1"/>
        <v>3931.98</v>
      </c>
      <c r="Y19" s="115">
        <f t="shared" si="1"/>
        <v>0</v>
      </c>
      <c r="Z19" s="115">
        <f t="shared" si="1"/>
        <v>806</v>
      </c>
      <c r="AA19" s="124">
        <f t="shared" si="1"/>
        <v>0</v>
      </c>
      <c r="AB19" s="129">
        <f>SUM(AB4:AB18)</f>
        <v>92425.02</v>
      </c>
      <c r="AC19" s="130">
        <f>SUM(AC4:AC18)</f>
        <v>96705.110000000015</v>
      </c>
      <c r="AD19" s="133">
        <f>AC19-AB19</f>
        <v>4280.0900000000111</v>
      </c>
    </row>
    <row r="20" spans="1:32" ht="15.75">
      <c r="A20" s="109">
        <v>20</v>
      </c>
      <c r="B20" s="110" t="s">
        <v>3</v>
      </c>
      <c r="C20" s="111">
        <f>1527.91-1000</f>
        <v>527.91000000000008</v>
      </c>
      <c r="D20" s="111">
        <f>399.97</f>
        <v>399.97</v>
      </c>
      <c r="E20" s="111"/>
      <c r="F20" s="111"/>
      <c r="G20" s="111"/>
      <c r="H20" s="111"/>
      <c r="I20" s="111"/>
      <c r="J20" s="111"/>
      <c r="K20" s="111">
        <f>880</f>
        <v>880</v>
      </c>
      <c r="L20" s="111"/>
      <c r="M20" s="111"/>
      <c r="N20" s="111"/>
      <c r="O20" s="111"/>
      <c r="P20" s="111"/>
      <c r="Q20" s="111"/>
      <c r="R20" s="111">
        <v>1000</v>
      </c>
      <c r="S20" s="111"/>
      <c r="T20" s="111"/>
      <c r="U20" s="111">
        <v>311</v>
      </c>
      <c r="V20" s="111"/>
      <c r="W20" s="111">
        <f>2000+1000</f>
        <v>3000</v>
      </c>
      <c r="X20" s="111"/>
      <c r="Y20" s="111"/>
      <c r="Z20" s="111"/>
      <c r="AA20" s="112"/>
      <c r="AB20" s="128">
        <f>SUM(C20:AA20)</f>
        <v>6118.88</v>
      </c>
      <c r="AC20" s="118">
        <v>36738.04</v>
      </c>
      <c r="AD20" s="158"/>
    </row>
    <row r="21" spans="1:32" ht="15.75">
      <c r="A21" s="105">
        <v>21</v>
      </c>
      <c r="B21" s="106" t="s">
        <v>4</v>
      </c>
      <c r="C21" s="107"/>
      <c r="D21" s="107">
        <f>231+493.2</f>
        <v>724.2</v>
      </c>
      <c r="E21" s="107"/>
      <c r="F21" s="107">
        <v>104</v>
      </c>
      <c r="G21" s="107"/>
      <c r="H21" s="107"/>
      <c r="I21" s="107">
        <f>170+1740</f>
        <v>1910</v>
      </c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>
        <v>243</v>
      </c>
      <c r="V21" s="107"/>
      <c r="W21" s="107"/>
      <c r="X21" s="107"/>
      <c r="Y21" s="107"/>
      <c r="Z21" s="107"/>
      <c r="AA21" s="108"/>
      <c r="AB21" s="128">
        <f>SUM(C21:AA21)</f>
        <v>2981.2</v>
      </c>
      <c r="AC21" s="137">
        <v>10000</v>
      </c>
      <c r="AD21" s="158"/>
      <c r="AF21" s="44"/>
    </row>
    <row r="22" spans="1:32" ht="15.75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5" si="2">SUM(C22:AA22)</f>
        <v>0</v>
      </c>
      <c r="AC22" s="117"/>
      <c r="AD22" s="158"/>
    </row>
    <row r="23" spans="1:32" ht="15.75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>
        <f>1357+194+197</f>
        <v>1748</v>
      </c>
      <c r="K23" s="107"/>
      <c r="L23" s="107"/>
      <c r="M23" s="107"/>
      <c r="N23" s="107"/>
      <c r="O23" s="107"/>
      <c r="P23" s="107"/>
      <c r="Q23" s="107"/>
      <c r="R23" s="107">
        <f>798.27</f>
        <v>798.27</v>
      </c>
      <c r="S23" s="107"/>
      <c r="T23" s="107"/>
      <c r="U23" s="107"/>
      <c r="V23" s="107">
        <f>1707.5-201.49</f>
        <v>1506.01</v>
      </c>
      <c r="W23" s="107">
        <f>329+2500</f>
        <v>2829</v>
      </c>
      <c r="X23" s="107"/>
      <c r="Y23" s="107"/>
      <c r="Z23" s="107"/>
      <c r="AA23" s="108"/>
      <c r="AB23" s="128">
        <f t="shared" si="2"/>
        <v>6881.28</v>
      </c>
      <c r="AC23" s="117"/>
      <c r="AD23" s="158"/>
    </row>
    <row r="24" spans="1:32" ht="15.75">
      <c r="A24" s="109">
        <v>24</v>
      </c>
      <c r="B24" s="110" t="s">
        <v>7</v>
      </c>
      <c r="C24" s="111">
        <v>785.88</v>
      </c>
      <c r="D24" s="111">
        <f>589.98</f>
        <v>589.98</v>
      </c>
      <c r="E24" s="111"/>
      <c r="F24" s="111"/>
      <c r="G24" s="111"/>
      <c r="H24" s="111">
        <v>2450</v>
      </c>
      <c r="I24" s="111"/>
      <c r="J24" s="111"/>
      <c r="K24" s="111">
        <f>1800+196.2</f>
        <v>1996.2</v>
      </c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>
        <v>304.63</v>
      </c>
      <c r="W24" s="111"/>
      <c r="X24" s="111"/>
      <c r="Y24" s="111"/>
      <c r="Z24" s="111"/>
      <c r="AA24" s="112"/>
      <c r="AB24" s="128">
        <f t="shared" si="2"/>
        <v>6126.6900000000005</v>
      </c>
      <c r="AC24" s="117"/>
      <c r="AD24" s="158"/>
    </row>
    <row r="25" spans="1:32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>
        <f>1640+110</f>
        <v>1750</v>
      </c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>
        <v>6000</v>
      </c>
      <c r="X25" s="107"/>
      <c r="Y25" s="107"/>
      <c r="Z25" s="107"/>
      <c r="AA25" s="108"/>
      <c r="AB25" s="128">
        <f t="shared" si="2"/>
        <v>7750</v>
      </c>
      <c r="AC25" s="117"/>
      <c r="AD25" s="158"/>
    </row>
    <row r="26" spans="1:32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2"/>
      <c r="AB26" s="128">
        <f t="shared" si="2"/>
        <v>0</v>
      </c>
      <c r="AC26" s="118"/>
      <c r="AD26" s="158"/>
    </row>
    <row r="27" spans="1:32" ht="15.75">
      <c r="A27" s="105">
        <v>27</v>
      </c>
      <c r="B27" s="106" t="s">
        <v>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8"/>
      <c r="AB27" s="128">
        <f t="shared" si="2"/>
        <v>0</v>
      </c>
      <c r="AC27" s="117"/>
      <c r="AD27" s="158"/>
    </row>
    <row r="28" spans="1:32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2"/>
      <c r="AB28" s="128">
        <f t="shared" si="2"/>
        <v>0</v>
      </c>
      <c r="AC28" s="117"/>
      <c r="AD28" s="158"/>
    </row>
    <row r="29" spans="1:32" ht="15.75">
      <c r="A29" s="105">
        <v>29</v>
      </c>
      <c r="B29" s="106" t="s">
        <v>5</v>
      </c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8"/>
      <c r="AB29" s="128">
        <f t="shared" si="2"/>
        <v>0</v>
      </c>
      <c r="AC29" s="117"/>
      <c r="AD29" s="158"/>
    </row>
    <row r="30" spans="1:32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2"/>
      <c r="AB30" s="128">
        <f t="shared" si="2"/>
        <v>0</v>
      </c>
      <c r="AC30" s="117"/>
      <c r="AD30" s="158"/>
    </row>
    <row r="31" spans="1:32" ht="15.75">
      <c r="A31" s="105">
        <v>31</v>
      </c>
      <c r="B31" s="106" t="s">
        <v>7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0</v>
      </c>
      <c r="AC31" s="117"/>
      <c r="AD31" s="158"/>
    </row>
    <row r="32" spans="1:32" ht="15.75">
      <c r="A32" s="109">
        <v>1</v>
      </c>
      <c r="B32" s="110" t="s">
        <v>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2"/>
      <c r="AB32" s="128">
        <f t="shared" si="2"/>
        <v>0</v>
      </c>
      <c r="AC32" s="117"/>
      <c r="AD32" s="158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8"/>
      <c r="AB33" s="128">
        <f t="shared" si="2"/>
        <v>0</v>
      </c>
      <c r="AC33" s="117"/>
      <c r="AD33" s="158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2"/>
      <c r="AB34" s="128">
        <f t="shared" si="2"/>
        <v>0</v>
      </c>
      <c r="AC34" s="117"/>
      <c r="AD34" s="158"/>
    </row>
    <row r="35" spans="1:30" ht="15.75">
      <c r="A35" s="105">
        <v>4</v>
      </c>
      <c r="B35" s="106" t="s">
        <v>4</v>
      </c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8"/>
      <c r="AB35" s="128">
        <f t="shared" si="2"/>
        <v>0</v>
      </c>
      <c r="AC35" s="117"/>
      <c r="AD35" s="158"/>
    </row>
    <row r="36" spans="1:30" ht="14.25" customHeight="1">
      <c r="A36" s="159" t="s">
        <v>36</v>
      </c>
      <c r="B36" s="159"/>
      <c r="C36" s="113">
        <f>SUM(C20:C35)</f>
        <v>1313.79</v>
      </c>
      <c r="D36" s="113">
        <f t="shared" ref="D36:K36" si="3">SUM(D20:D35)</f>
        <v>1714.15</v>
      </c>
      <c r="E36" s="113">
        <f t="shared" si="3"/>
        <v>0</v>
      </c>
      <c r="F36" s="113">
        <f t="shared" si="3"/>
        <v>104</v>
      </c>
      <c r="G36" s="113">
        <f t="shared" si="3"/>
        <v>0</v>
      </c>
      <c r="H36" s="113">
        <f t="shared" si="3"/>
        <v>2450</v>
      </c>
      <c r="I36" s="113">
        <f t="shared" si="3"/>
        <v>1910</v>
      </c>
      <c r="J36" s="113">
        <f t="shared" si="3"/>
        <v>1748</v>
      </c>
      <c r="K36" s="113">
        <f t="shared" si="3"/>
        <v>4626.2</v>
      </c>
      <c r="L36" s="114">
        <f>SUM(L20:L35)</f>
        <v>0</v>
      </c>
      <c r="M36" s="114">
        <f t="shared" ref="M36:Q36" si="4">SUM(M20:M35)</f>
        <v>0</v>
      </c>
      <c r="N36" s="114">
        <f t="shared" si="4"/>
        <v>0</v>
      </c>
      <c r="O36" s="114">
        <f t="shared" si="4"/>
        <v>0</v>
      </c>
      <c r="P36" s="114">
        <f t="shared" si="4"/>
        <v>0</v>
      </c>
      <c r="Q36" s="114">
        <f t="shared" si="4"/>
        <v>0</v>
      </c>
      <c r="R36" s="115">
        <f>SUM(R20:R35)</f>
        <v>1798.27</v>
      </c>
      <c r="S36" s="115">
        <f t="shared" ref="S36:AA36" si="5">SUM(S20:S35)</f>
        <v>0</v>
      </c>
      <c r="T36" s="115">
        <f t="shared" si="5"/>
        <v>0</v>
      </c>
      <c r="U36" s="115">
        <f t="shared" si="5"/>
        <v>554</v>
      </c>
      <c r="V36" s="115">
        <f t="shared" si="5"/>
        <v>1810.6399999999999</v>
      </c>
      <c r="W36" s="115">
        <f t="shared" si="5"/>
        <v>11829</v>
      </c>
      <c r="X36" s="115">
        <f t="shared" si="5"/>
        <v>0</v>
      </c>
      <c r="Y36" s="115">
        <f t="shared" si="5"/>
        <v>0</v>
      </c>
      <c r="Z36" s="115">
        <f t="shared" si="5"/>
        <v>0</v>
      </c>
      <c r="AA36" s="124">
        <f t="shared" si="5"/>
        <v>0</v>
      </c>
      <c r="AB36" s="129">
        <f>SUM(AB20:AB35)</f>
        <v>29858.050000000003</v>
      </c>
      <c r="AC36" s="130">
        <f>SUM(AC20:AC35)</f>
        <v>46738.04</v>
      </c>
      <c r="AD36" s="133">
        <f>AC36-AB36</f>
        <v>16879.989999999998</v>
      </c>
    </row>
    <row r="37" spans="1:30" ht="31.5" customHeight="1">
      <c r="A37" s="156" t="s">
        <v>37</v>
      </c>
      <c r="B37" s="156"/>
      <c r="C37" s="116">
        <f>SUM(C19,C36)</f>
        <v>2717.6800000000003</v>
      </c>
      <c r="D37" s="116"/>
      <c r="E37" s="116"/>
      <c r="F37" s="116">
        <f t="shared" ref="F37:AB37" si="6">SUM(F19,F36)</f>
        <v>2550</v>
      </c>
      <c r="G37" s="116"/>
      <c r="H37" s="116">
        <f t="shared" si="6"/>
        <v>6920</v>
      </c>
      <c r="I37" s="116">
        <f t="shared" si="6"/>
        <v>14025</v>
      </c>
      <c r="J37" s="116">
        <f t="shared" si="6"/>
        <v>6807.98</v>
      </c>
      <c r="K37" s="116">
        <f t="shared" si="6"/>
        <v>6906.2</v>
      </c>
      <c r="L37" s="116">
        <f t="shared" si="6"/>
        <v>10858.130000000001</v>
      </c>
      <c r="M37" s="116">
        <f t="shared" si="6"/>
        <v>0</v>
      </c>
      <c r="N37" s="116">
        <f t="shared" si="6"/>
        <v>2889</v>
      </c>
      <c r="O37" s="116"/>
      <c r="P37" s="116"/>
      <c r="Q37" s="116"/>
      <c r="R37" s="116">
        <f t="shared" si="6"/>
        <v>1798.27</v>
      </c>
      <c r="S37" s="116"/>
      <c r="T37" s="116">
        <f t="shared" si="6"/>
        <v>0</v>
      </c>
      <c r="U37" s="116">
        <f t="shared" si="6"/>
        <v>3510</v>
      </c>
      <c r="V37" s="116">
        <f t="shared" si="6"/>
        <v>4612.41</v>
      </c>
      <c r="W37" s="116">
        <f t="shared" si="6"/>
        <v>31054.97</v>
      </c>
      <c r="X37" s="116">
        <f t="shared" si="6"/>
        <v>3931.98</v>
      </c>
      <c r="Y37" s="116">
        <f t="shared" si="6"/>
        <v>0</v>
      </c>
      <c r="Z37" s="116">
        <f>SUM(Z19,Z36)</f>
        <v>806</v>
      </c>
      <c r="AA37" s="125">
        <f t="shared" si="6"/>
        <v>0</v>
      </c>
      <c r="AB37" s="131">
        <f t="shared" si="6"/>
        <v>122283.07</v>
      </c>
      <c r="AC37" s="132">
        <f>SUM(AC19,AC36)</f>
        <v>143443.15000000002</v>
      </c>
      <c r="AD37" s="134">
        <f>SUM(AD19,AD36)</f>
        <v>21160.080000000009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11">
    <mergeCell ref="A37:B37"/>
    <mergeCell ref="A1:AD1"/>
    <mergeCell ref="AD4:AD18"/>
    <mergeCell ref="A19:B19"/>
    <mergeCell ref="AD20:AD35"/>
    <mergeCell ref="A36:B36"/>
    <mergeCell ref="C2:K2"/>
    <mergeCell ref="L2:Q2"/>
    <mergeCell ref="R2:AA2"/>
    <mergeCell ref="AB2:AD2"/>
    <mergeCell ref="A2:B2"/>
  </mergeCells>
  <conditionalFormatting sqref="AD19:AD20 AD36:AD37">
    <cfRule type="expression" dxfId="1" priority="1">
      <formula>AD19&lt;0</formula>
    </cfRule>
    <cfRule type="expression" dxfId="0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2026-08-25T15:07:30Z</dcterms:modified>
</cp:coreProperties>
</file>