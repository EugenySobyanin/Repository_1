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7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8" i="9"/>
  <c r="AB8" s="1"/>
  <c r="I7"/>
  <c r="AB7" s="1"/>
  <c r="L5"/>
  <c r="AB5" s="1"/>
  <c r="I4"/>
  <c r="AB4" s="1"/>
  <c r="AC4"/>
  <c r="AC19" s="1"/>
  <c r="AB22"/>
  <c r="AB23"/>
  <c r="AB24"/>
  <c r="AB25"/>
  <c r="AB26"/>
  <c r="AB27"/>
  <c r="AB28"/>
  <c r="AB29"/>
  <c r="AB30"/>
  <c r="AB31"/>
  <c r="AB32"/>
  <c r="AB33"/>
  <c r="AB34"/>
  <c r="AB35"/>
  <c r="AB21"/>
  <c r="AB20"/>
  <c r="S36"/>
  <c r="T36"/>
  <c r="U36"/>
  <c r="V36"/>
  <c r="W36"/>
  <c r="X36"/>
  <c r="Y36"/>
  <c r="Z36"/>
  <c r="AA36"/>
  <c r="R36"/>
  <c r="M36"/>
  <c r="N36"/>
  <c r="O36"/>
  <c r="P36"/>
  <c r="Q36"/>
  <c r="L36"/>
  <c r="D36"/>
  <c r="E36"/>
  <c r="F36"/>
  <c r="G36"/>
  <c r="H36"/>
  <c r="I36"/>
  <c r="J36"/>
  <c r="K36"/>
  <c r="C36"/>
  <c r="AB6"/>
  <c r="AB9"/>
  <c r="AB10"/>
  <c r="AB11"/>
  <c r="AB12"/>
  <c r="AB13"/>
  <c r="AB14"/>
  <c r="AB15"/>
  <c r="AB16"/>
  <c r="AB17"/>
  <c r="AB18"/>
  <c r="D19"/>
  <c r="E19"/>
  <c r="F19"/>
  <c r="G19"/>
  <c r="H19"/>
  <c r="J19"/>
  <c r="K19"/>
  <c r="M19"/>
  <c r="N19"/>
  <c r="O19"/>
  <c r="P19"/>
  <c r="Q19"/>
  <c r="R19"/>
  <c r="S19"/>
  <c r="T19"/>
  <c r="U19"/>
  <c r="V19"/>
  <c r="X19"/>
  <c r="Y19"/>
  <c r="Z19"/>
  <c r="AA19"/>
  <c r="C19"/>
  <c r="R37"/>
  <c r="H37"/>
  <c r="AG15" i="8"/>
  <c r="AG14"/>
  <c r="AG13"/>
  <c r="AG12"/>
  <c r="AG11"/>
  <c r="Z38"/>
  <c r="Z37"/>
  <c r="Y37"/>
  <c r="X37"/>
  <c r="W37"/>
  <c r="W20"/>
  <c r="X20"/>
  <c r="X38" s="1"/>
  <c r="Y20"/>
  <c r="W22"/>
  <c r="W23"/>
  <c r="W24"/>
  <c r="W25"/>
  <c r="W26"/>
  <c r="W27"/>
  <c r="W28"/>
  <c r="W29"/>
  <c r="W30"/>
  <c r="W31"/>
  <c r="W32"/>
  <c r="W33"/>
  <c r="W34"/>
  <c r="W35"/>
  <c r="W36"/>
  <c r="W21"/>
  <c r="W3"/>
  <c r="Y3"/>
  <c r="O17"/>
  <c r="U17"/>
  <c r="C17"/>
  <c r="AC36" i="9"/>
  <c r="C22" i="8"/>
  <c r="O24"/>
  <c r="D25"/>
  <c r="T28"/>
  <c r="W19" i="9" l="1"/>
  <c r="W37" s="1"/>
  <c r="V37"/>
  <c r="L19"/>
  <c r="L37" s="1"/>
  <c r="I19"/>
  <c r="I37" s="1"/>
  <c r="AB36"/>
  <c r="AD36" s="1"/>
  <c r="U37"/>
  <c r="T37"/>
  <c r="M37"/>
  <c r="K37"/>
  <c r="F37"/>
  <c r="X37"/>
  <c r="Y37"/>
  <c r="J37"/>
  <c r="Z37"/>
  <c r="AA37"/>
  <c r="N37"/>
  <c r="Z20" i="8"/>
  <c r="AB19" i="9"/>
  <c r="AC37"/>
  <c r="C37"/>
  <c r="V19" i="8"/>
  <c r="Q15"/>
  <c r="C14"/>
  <c r="AD19" i="9" l="1"/>
  <c r="AD37" s="1"/>
  <c r="AB37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4" l="1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T38" s="1"/>
  <c r="R20"/>
  <c r="Q20"/>
  <c r="O20"/>
  <c r="N20"/>
  <c r="M20"/>
  <c r="L20"/>
  <c r="K20"/>
  <c r="J20"/>
  <c r="I20"/>
  <c r="H20"/>
  <c r="G20"/>
  <c r="G38" s="1"/>
  <c r="E20"/>
  <c r="E38" s="1"/>
  <c r="F20"/>
  <c r="F38" s="1"/>
  <c r="D20"/>
  <c r="V20"/>
  <c r="S20"/>
  <c r="S38" s="1"/>
  <c r="C20"/>
  <c r="N38" l="1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F18" s="1"/>
  <c r="C5"/>
  <c r="W5" s="1"/>
  <c r="D4"/>
  <c r="D18" s="1"/>
  <c r="C3"/>
  <c r="C18" s="1"/>
  <c r="H3"/>
  <c r="H18" s="1"/>
  <c r="H36" s="1"/>
  <c r="P7"/>
  <c r="W7" s="1"/>
  <c r="F8"/>
  <c r="N8"/>
  <c r="O9"/>
  <c r="C11"/>
  <c r="W11" s="1"/>
  <c r="P17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M18"/>
  <c r="L18"/>
  <c r="K18"/>
  <c r="J18"/>
  <c r="I18"/>
  <c r="G18"/>
  <c r="E18"/>
  <c r="W17"/>
  <c r="W16"/>
  <c r="W15"/>
  <c r="W14"/>
  <c r="W13"/>
  <c r="W12"/>
  <c r="W10"/>
  <c r="W9"/>
  <c r="W8"/>
  <c r="O18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W4" i="7" l="1"/>
  <c r="J36"/>
  <c r="K36"/>
  <c r="U36"/>
  <c r="N36"/>
  <c r="W24" i="6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O18" s="1"/>
  <c r="C5"/>
  <c r="W5" s="1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6" i="6" l="1"/>
  <c r="W38" i="8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Поход в Ла джорджию</t>
        </r>
      </text>
    </comment>
    <comment ref="O4" authorId="0">
      <text>
        <r>
          <rPr>
            <sz val="9"/>
            <color indexed="81"/>
            <rFont val="Tahoma"/>
            <family val="2"/>
            <charset val="204"/>
          </rPr>
          <t>t2</t>
        </r>
      </text>
    </comment>
    <comment ref="P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color indexed="81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color indexed="81"/>
            <rFont val="Tahoma"/>
            <family val="2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color indexed="81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color indexed="81"/>
            <rFont val="Tahoma"/>
            <family val="2"/>
            <charset val="204"/>
          </rPr>
          <t>Вьет Кук</t>
        </r>
      </text>
    </comment>
    <comment ref="J7" authorId="0">
      <text>
        <r>
          <rPr>
            <b/>
            <sz val="9"/>
            <color indexed="81"/>
            <rFont val="Tahoma"/>
            <family val="2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Z7" authorId="0">
      <text>
        <r>
          <rPr>
            <b/>
            <sz val="9"/>
            <color indexed="81"/>
            <rFont val="Tahoma"/>
            <family val="2"/>
            <charset val="204"/>
          </rPr>
          <t>Билеты в IMAX в химках</t>
        </r>
      </text>
    </comment>
    <comment ref="J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color indexed="81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P9" authorId="0">
      <text>
        <r>
          <rPr>
            <sz val="9"/>
            <color indexed="81"/>
            <rFont val="Tahoma"/>
            <family val="2"/>
            <charset val="204"/>
          </rPr>
          <t xml:space="preserve">Илюхе за пейнтбол
</t>
        </r>
      </text>
    </comment>
  </commentList>
</comments>
</file>

<file path=xl/sharedStrings.xml><?xml version="1.0" encoding="utf-8"?>
<sst xmlns="http://schemas.openxmlformats.org/spreadsheetml/2006/main" count="452" uniqueCount="83">
  <si>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</si>
  <si>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</si>
  <si>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</si>
  <si>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</si>
  <si>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</si>
  <si>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</si>
  <si>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</si>
  <si>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</si>
  <si>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</si>
  <si>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</si>
  <si>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</si>
  <si>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</si>
  <si>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</si>
  <si>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</si>
  <si>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</si>
  <si>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</si>
  <si>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</si>
  <si>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</si>
  <si>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</si>
  <si>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</si>
  <si>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</si>
  <si>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</si>
  <si>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</si>
  <si>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</si>
  <si>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</si>
  <si>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</si>
  <si>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</si>
  <si>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</si>
  <si>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</si>
  <si>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</si>
  <si>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</si>
  <si>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</si>
  <si>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</si>
  <si>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</si>
  <si>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</si>
  <si>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</si>
  <si>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</si>
  <si>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</si>
  <si>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</si>
  <si>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</si>
  <si>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</si>
  <si>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</si>
  <si>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</si>
  <si>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</si>
  <si>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</si>
  <si>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</si>
  <si>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</si>
  <si>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</si>
  <si>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</si>
  <si>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</si>
  <si>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</si>
  <si>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</si>
  <si>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</si>
  <si>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</si>
  <si>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</si>
  <si>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</si>
  <si>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</si>
  <si>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</si>
  <si>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</si>
  <si>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</si>
  <si>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</si>
  <si>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</si>
  <si>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</si>
  <si>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</si>
  <si>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</si>
  <si>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</si>
  <si>
    <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</si>
  <si>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</si>
  <si>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Ярче</t>
  </si>
  <si>
    <t>Магнит/Пятерочка</t>
  </si>
  <si>
    <t>Перекресток</t>
  </si>
  <si>
    <t>Доставка из ресторанов</t>
  </si>
  <si>
    <t>Поход в ресторан</t>
  </si>
  <si>
    <t>Поход в фаст фуд</t>
  </si>
  <si>
    <t>Обеды</t>
  </si>
  <si>
    <t>Базовые потребности (на которых не сэкономить)</t>
  </si>
  <si>
    <t>Ежемесячные платежи</t>
  </si>
  <si>
    <t>Дргое (форс-мажорное)</t>
  </si>
  <si>
    <t>Отдых, развлечение, быт и излишки (все на чем в теории можно сэкономить)</t>
  </si>
  <si>
    <t>Другое (покупки)</t>
  </si>
  <si>
    <t>Друггое (развлечения)</t>
  </si>
  <si>
    <t>ИТОГИ</t>
  </si>
  <si>
    <t>Яндекс Лавка / Самокат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</si>
</sst>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sz val="11"/>
      <color theme="1" tint="4.9989318521683403E-2"/>
      <name val="Franklin Gothic Demi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20"/>
      <color theme="5" tint="-0.24994659260841701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name val="Franklin Gothic Demi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3" fillId="19" borderId="7" xfId="0" applyNumberFormat="1" applyFont="1" applyFill="1" applyBorder="1" applyAlignment="1">
      <alignment horizontal="right" vertical="center"/>
    </xf>
    <xf numFmtId="164" fontId="23" fillId="7" borderId="15" xfId="0" applyNumberFormat="1" applyFont="1" applyFill="1" applyBorder="1" applyAlignment="1">
      <alignment horizontal="right" vertical="center"/>
    </xf>
    <xf numFmtId="164" fontId="23" fillId="17" borderId="15" xfId="0" applyNumberFormat="1" applyFont="1" applyFill="1" applyBorder="1" applyAlignment="1">
      <alignment horizontal="right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5" borderId="16" xfId="0" applyFont="1" applyFill="1" applyBorder="1" applyAlignment="1">
      <alignment horizontal="center" vertical="center" wrapText="1"/>
    </xf>
    <xf numFmtId="164" fontId="27" fillId="6" borderId="15" xfId="0" applyNumberFormat="1" applyFont="1" applyFill="1" applyBorder="1" applyAlignment="1">
      <alignment horizontal="right" vertical="center"/>
    </xf>
    <xf numFmtId="164" fontId="29" fillId="6" borderId="15" xfId="0" applyNumberFormat="1" applyFont="1" applyFill="1" applyBorder="1" applyAlignment="1">
      <alignment horizontal="right" vertical="center"/>
    </xf>
    <xf numFmtId="0" fontId="26" fillId="24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5" borderId="7" xfId="0" applyNumberFormat="1" applyFont="1" applyFill="1" applyBorder="1" applyAlignment="1">
      <alignment horizontal="right" vertical="center"/>
    </xf>
    <xf numFmtId="0" fontId="32" fillId="22" borderId="7" xfId="0" applyFont="1" applyFill="1" applyBorder="1" applyAlignment="1">
      <alignment horizontal="center" vertical="center" wrapText="1"/>
    </xf>
    <xf numFmtId="0" fontId="26" fillId="20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 applyAlignment="1"/>
    <xf numFmtId="164" fontId="33" fillId="23" borderId="7" xfId="0" applyNumberFormat="1" applyFont="1" applyFill="1" applyBorder="1" applyAlignment="1">
      <alignment horizontal="right" vertical="center"/>
    </xf>
    <xf numFmtId="164" fontId="33" fillId="22" borderId="7" xfId="0" applyNumberFormat="1" applyFont="1" applyFill="1" applyBorder="1" applyAlignment="1">
      <alignment horizontal="right" vertical="center"/>
    </xf>
    <xf numFmtId="164" fontId="33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4" fillId="6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/>
    <xf numFmtId="164" fontId="23" fillId="21" borderId="7" xfId="0" applyNumberFormat="1" applyFont="1" applyFill="1" applyBorder="1" applyAlignment="1"/>
    <xf numFmtId="164" fontId="33" fillId="11" borderId="7" xfId="0" applyNumberFormat="1" applyFont="1" applyFill="1" applyBorder="1"/>
    <xf numFmtId="164" fontId="33" fillId="11" borderId="7" xfId="0" applyNumberFormat="1" applyFont="1" applyFill="1" applyBorder="1" applyAlignment="1">
      <alignment horizontal="right" vertical="center"/>
    </xf>
    <xf numFmtId="164" fontId="23" fillId="27" borderId="7" xfId="0" applyNumberFormat="1" applyFont="1" applyFill="1" applyBorder="1"/>
    <xf numFmtId="164" fontId="35" fillId="28" borderId="7" xfId="0" applyNumberFormat="1" applyFont="1" applyFill="1" applyBorder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0" fontId="35" fillId="28" borderId="7" xfId="0" applyFont="1" applyFill="1" applyBorder="1" applyAlignment="1">
      <alignment horizontal="center"/>
    </xf>
    <xf numFmtId="0" fontId="36" fillId="17" borderId="7" xfId="0" applyFont="1" applyFill="1" applyBorder="1" applyAlignment="1">
      <alignment horizontal="center" vertical="center"/>
    </xf>
    <xf numFmtId="0" fontId="38" fillId="28" borderId="0" xfId="0" applyFont="1" applyFill="1" applyAlignment="1">
      <alignment horizontal="center" vertical="center"/>
    </xf>
    <xf numFmtId="0" fontId="40" fillId="30" borderId="14" xfId="0" applyFont="1" applyFill="1" applyBorder="1" applyAlignment="1">
      <alignment horizontal="center" vertical="center"/>
    </xf>
    <xf numFmtId="0" fontId="22" fillId="29" borderId="7" xfId="0" applyFont="1" applyFill="1" applyBorder="1" applyAlignment="1">
      <alignment horizontal="center" vertical="center"/>
    </xf>
    <xf numFmtId="0" fontId="23" fillId="29" borderId="7" xfId="0" applyFont="1" applyFill="1" applyBorder="1" applyAlignment="1">
      <alignment horizontal="center" vertical="center"/>
    </xf>
    <xf numFmtId="164" fontId="23" fillId="29" borderId="7" xfId="0" applyNumberFormat="1" applyFont="1" applyFill="1" applyBorder="1" applyAlignment="1">
      <alignment horizontal="right" vertical="center"/>
    </xf>
    <xf numFmtId="164" fontId="23" fillId="29" borderId="15" xfId="0" applyNumberFormat="1" applyFont="1" applyFill="1" applyBorder="1" applyAlignment="1">
      <alignment horizontal="right" vertical="center"/>
    </xf>
    <xf numFmtId="0" fontId="22" fillId="17" borderId="13" xfId="0" applyFont="1" applyFill="1" applyBorder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164" fontId="23" fillId="17" borderId="13" xfId="0" applyNumberFormat="1" applyFont="1" applyFill="1" applyBorder="1" applyAlignment="1">
      <alignment horizontal="right" vertical="center"/>
    </xf>
    <xf numFmtId="164" fontId="23" fillId="17" borderId="17" xfId="0" applyNumberFormat="1" applyFont="1" applyFill="1" applyBorder="1" applyAlignment="1">
      <alignment horizontal="right" vertical="center"/>
    </xf>
    <xf numFmtId="164" fontId="33" fillId="30" borderId="7" xfId="0" applyNumberFormat="1" applyFont="1" applyFill="1" applyBorder="1" applyAlignment="1">
      <alignment horizontal="right" vertical="center"/>
    </xf>
    <xf numFmtId="164" fontId="33" fillId="31" borderId="7" xfId="0" applyNumberFormat="1" applyFont="1" applyFill="1" applyBorder="1" applyAlignment="1">
      <alignment horizontal="right" vertical="center"/>
    </xf>
    <xf numFmtId="164" fontId="27" fillId="34" borderId="7" xfId="0" applyNumberFormat="1" applyFont="1" applyFill="1" applyBorder="1" applyAlignment="1">
      <alignment horizontal="right" vertical="center"/>
    </xf>
    <xf numFmtId="0" fontId="33" fillId="29" borderId="7" xfId="0" applyFont="1" applyFill="1" applyBorder="1" applyAlignment="1">
      <alignment horizontal="right" vertical="center"/>
    </xf>
    <xf numFmtId="0" fontId="33" fillId="33" borderId="7" xfId="0" applyFont="1" applyFill="1" applyBorder="1" applyAlignment="1">
      <alignment horizontal="right" vertical="center"/>
    </xf>
    <xf numFmtId="164" fontId="33" fillId="33" borderId="7" xfId="0" applyNumberFormat="1" applyFont="1" applyFill="1" applyBorder="1" applyAlignment="1">
      <alignment horizontal="right" vertical="center"/>
    </xf>
    <xf numFmtId="164" fontId="23" fillId="13" borderId="14" xfId="0" applyNumberFormat="1" applyFont="1" applyFill="1" applyBorder="1" applyAlignment="1"/>
    <xf numFmtId="164" fontId="23" fillId="13" borderId="14" xfId="0" applyNumberFormat="1" applyFont="1" applyFill="1" applyBorder="1"/>
    <xf numFmtId="0" fontId="37" fillId="29" borderId="13" xfId="0" applyFont="1" applyFill="1" applyBorder="1" applyAlignment="1">
      <alignment horizontal="center" vertical="center" wrapText="1"/>
    </xf>
    <xf numFmtId="0" fontId="42" fillId="30" borderId="13" xfId="0" applyFont="1" applyFill="1" applyBorder="1" applyAlignment="1">
      <alignment horizontal="center" vertical="center" wrapText="1"/>
    </xf>
    <xf numFmtId="0" fontId="41" fillId="31" borderId="13" xfId="0" applyFont="1" applyFill="1" applyBorder="1" applyAlignment="1">
      <alignment horizontal="center" vertical="center" wrapText="1"/>
    </xf>
    <xf numFmtId="0" fontId="26" fillId="34" borderId="13" xfId="0" applyFont="1" applyFill="1" applyBorder="1" applyAlignment="1">
      <alignment horizontal="center" vertical="center" wrapText="1"/>
    </xf>
    <xf numFmtId="0" fontId="43" fillId="31" borderId="14" xfId="0" applyFont="1" applyFill="1" applyBorder="1" applyAlignment="1">
      <alignment horizontal="center" vertical="center"/>
    </xf>
    <xf numFmtId="0" fontId="44" fillId="34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38" fillId="28" borderId="18" xfId="0" applyFont="1" applyFill="1" applyBorder="1" applyAlignment="1">
      <alignment horizontal="center" vertical="center"/>
    </xf>
    <xf numFmtId="0" fontId="38" fillId="28" borderId="19" xfId="0" applyFont="1" applyFill="1" applyBorder="1" applyAlignment="1">
      <alignment horizontal="center" vertical="center"/>
    </xf>
    <xf numFmtId="0" fontId="26" fillId="34" borderId="17" xfId="0" applyFont="1" applyFill="1" applyBorder="1" applyAlignment="1">
      <alignment horizontal="center" vertical="center" wrapText="1"/>
    </xf>
    <xf numFmtId="164" fontId="27" fillId="34" borderId="15" xfId="0" applyNumberFormat="1" applyFont="1" applyFill="1" applyBorder="1" applyAlignment="1">
      <alignment horizontal="right" vertical="center"/>
    </xf>
    <xf numFmtId="164" fontId="33" fillId="33" borderId="15" xfId="0" applyNumberFormat="1" applyFont="1" applyFill="1" applyBorder="1" applyAlignment="1">
      <alignment horizontal="right" vertical="center"/>
    </xf>
    <xf numFmtId="0" fontId="26" fillId="35" borderId="14" xfId="0" applyFont="1" applyFill="1" applyBorder="1" applyAlignment="1">
      <alignment horizontal="center" vertical="center" wrapText="1"/>
    </xf>
    <xf numFmtId="0" fontId="26" fillId="20" borderId="14" xfId="0" applyFont="1" applyFill="1" applyBorder="1" applyAlignment="1">
      <alignment horizontal="center" vertical="center" wrapText="1"/>
    </xf>
    <xf numFmtId="164" fontId="23" fillId="32" borderId="14" xfId="0" applyNumberFormat="1" applyFont="1" applyFill="1" applyBorder="1" applyAlignment="1">
      <alignment horizontal="right" vertical="center"/>
    </xf>
    <xf numFmtId="164" fontId="23" fillId="2" borderId="14" xfId="0" applyNumberFormat="1" applyFont="1" applyFill="1" applyBorder="1" applyAlignment="1">
      <alignment horizontal="center" vertical="center"/>
    </xf>
    <xf numFmtId="164" fontId="27" fillId="35" borderId="14" xfId="0" applyNumberFormat="1" applyFont="1" applyFill="1" applyBorder="1" applyAlignment="1">
      <alignment horizontal="right" vertical="center"/>
    </xf>
    <xf numFmtId="164" fontId="27" fillId="20" borderId="14" xfId="0" applyNumberFormat="1" applyFont="1" applyFill="1" applyBorder="1"/>
    <xf numFmtId="164" fontId="33" fillId="35" borderId="14" xfId="0" applyNumberFormat="1" applyFont="1" applyFill="1" applyBorder="1" applyAlignment="1">
      <alignment horizontal="right" vertical="center"/>
    </xf>
    <xf numFmtId="164" fontId="33" fillId="20" borderId="14" xfId="0" applyNumberFormat="1" applyFont="1" applyFill="1" applyBorder="1" applyAlignment="1">
      <alignment horizontal="right" vertical="center"/>
    </xf>
    <xf numFmtId="164" fontId="21" fillId="2" borderId="14" xfId="0" applyNumberFormat="1" applyFont="1" applyFill="1" applyBorder="1" applyAlignment="1">
      <alignment vertical="center"/>
    </xf>
    <xf numFmtId="164" fontId="20" fillId="2" borderId="14" xfId="0" applyNumberFormat="1" applyFont="1" applyFill="1" applyBorder="1" applyAlignment="1">
      <alignment horizontal="right" vertical="center"/>
    </xf>
    <xf numFmtId="0" fontId="45" fillId="2" borderId="1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05" t="s">
        <v>27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06" t="s">
        <v>20</v>
      </c>
      <c r="B31" s="106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08" t="s">
        <v>32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07" t="s">
        <v>20</v>
      </c>
      <c r="B32" s="107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08" t="s">
        <v>38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10" t="s">
        <v>35</v>
      </c>
      <c r="B20" s="111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10" t="s">
        <v>36</v>
      </c>
      <c r="B36" s="111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09" t="s">
        <v>37</v>
      </c>
      <c r="B37" s="109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12" t="s">
        <v>57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13" t="s">
        <v>35</v>
      </c>
      <c r="B18" s="113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13" t="s">
        <v>36</v>
      </c>
      <c r="B35" s="113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14" t="s">
        <v>37</v>
      </c>
      <c r="B36" s="114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15" t="s">
        <v>58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16" t="s">
        <v>35</v>
      </c>
      <c r="B18" s="116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16" t="s">
        <v>36</v>
      </c>
      <c r="B35" s="116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17" t="s">
        <v>37</v>
      </c>
      <c r="B36" s="117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85" zoomScaleNormal="85" workbookViewId="0">
      <pane xSplit="2" ySplit="38" topLeftCell="C42" activePane="bottomRight" state="frozen"/>
      <selection pane="topRight" activeCell="C1" sqref="C1"/>
      <selection pane="bottomLeft" activeCell="A28" sqref="A28"/>
      <selection pane="bottomRight" activeCell="A33" sqref="A33:XFD33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18" t="s">
        <v>59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 spans="1:48" ht="45" customHeight="1">
      <c r="A2" s="76" t="s">
        <v>0</v>
      </c>
      <c r="B2" s="76" t="s">
        <v>1</v>
      </c>
      <c r="C2" s="84" t="s">
        <v>9</v>
      </c>
      <c r="D2" s="84" t="s">
        <v>29</v>
      </c>
      <c r="E2" s="84" t="s">
        <v>10</v>
      </c>
      <c r="F2" s="84" t="s">
        <v>33</v>
      </c>
      <c r="G2" s="84" t="s">
        <v>34</v>
      </c>
      <c r="H2" s="84" t="s">
        <v>11</v>
      </c>
      <c r="I2" s="84" t="s">
        <v>30</v>
      </c>
      <c r="J2" s="84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85" t="s">
        <v>26</v>
      </c>
      <c r="W2" s="88" t="s">
        <v>22</v>
      </c>
      <c r="X2" s="91" t="s">
        <v>60</v>
      </c>
      <c r="Y2" s="92" t="s">
        <v>19</v>
      </c>
      <c r="Z2" s="98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2"/>
      <c r="W3" s="89">
        <f>SUM(C3:V3)</f>
        <v>14049</v>
      </c>
      <c r="X3" s="90">
        <v>72082.179999999993</v>
      </c>
      <c r="Y3" s="99">
        <f>(94085+57723.67)</f>
        <v>151808.66999999998</v>
      </c>
      <c r="Z3" s="120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3"/>
      <c r="W4" s="89">
        <f>SUM(C4:V4)</f>
        <v>10533.31</v>
      </c>
      <c r="X4" s="90"/>
      <c r="Y4" s="93"/>
      <c r="Z4" s="120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2"/>
      <c r="W5" s="89">
        <f t="shared" ref="W5:W19" si="0">SUM(C5:V5)</f>
        <v>1455</v>
      </c>
      <c r="X5" s="90"/>
      <c r="Y5" s="93"/>
      <c r="Z5" s="120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3">
        <v>950</v>
      </c>
      <c r="W6" s="89">
        <f t="shared" si="0"/>
        <v>1803.8400000000001</v>
      </c>
      <c r="X6" s="90"/>
      <c r="Y6" s="93"/>
      <c r="Z6" s="120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2"/>
      <c r="W7" s="89">
        <f t="shared" si="0"/>
        <v>3302.61</v>
      </c>
      <c r="X7" s="90"/>
      <c r="Y7" s="93"/>
      <c r="Z7" s="120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3"/>
      <c r="W8" s="89">
        <f t="shared" si="0"/>
        <v>2255</v>
      </c>
      <c r="X8" s="90"/>
      <c r="Y8" s="93"/>
      <c r="Z8" s="120"/>
      <c r="AC8" s="122" t="s">
        <v>61</v>
      </c>
      <c r="AD8" s="122"/>
      <c r="AE8" s="122"/>
      <c r="AF8" s="122"/>
      <c r="AG8" s="122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2"/>
      <c r="W9" s="89">
        <f t="shared" si="0"/>
        <v>1095</v>
      </c>
      <c r="X9" s="90"/>
      <c r="Y9" s="93"/>
      <c r="Z9" s="120"/>
      <c r="AC9" s="122"/>
      <c r="AD9" s="122"/>
      <c r="AE9" s="122"/>
      <c r="AF9" s="122"/>
      <c r="AG9" s="122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3"/>
      <c r="W10" s="89">
        <f t="shared" si="0"/>
        <v>4914</v>
      </c>
      <c r="X10" s="90"/>
      <c r="Y10" s="93"/>
      <c r="Z10" s="120"/>
      <c r="AC10" s="122"/>
      <c r="AD10" s="122"/>
      <c r="AE10" s="122"/>
      <c r="AF10" s="122"/>
      <c r="AG10" s="122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2"/>
      <c r="W11" s="89">
        <f t="shared" si="0"/>
        <v>4632.68</v>
      </c>
      <c r="X11" s="90"/>
      <c r="Y11" s="93"/>
      <c r="Z11" s="120"/>
      <c r="AC11" s="121" t="s">
        <v>62</v>
      </c>
      <c r="AD11" s="121"/>
      <c r="AE11" s="121"/>
      <c r="AF11" s="121"/>
      <c r="AG11" s="104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3"/>
      <c r="W12" s="89">
        <f t="shared" si="0"/>
        <v>4475</v>
      </c>
      <c r="X12" s="90"/>
      <c r="Y12" s="93"/>
      <c r="Z12" s="120"/>
      <c r="AC12" s="121" t="s">
        <v>55</v>
      </c>
      <c r="AD12" s="121"/>
      <c r="AE12" s="121"/>
      <c r="AF12" s="121"/>
      <c r="AG12" s="104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2"/>
      <c r="W13" s="89">
        <f t="shared" si="0"/>
        <v>4015.63</v>
      </c>
      <c r="X13" s="90"/>
      <c r="Y13" s="93"/>
      <c r="Z13" s="120"/>
      <c r="AC13" s="121" t="s">
        <v>63</v>
      </c>
      <c r="AD13" s="121"/>
      <c r="AE13" s="121"/>
      <c r="AF13" s="121"/>
      <c r="AG13" s="104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3"/>
      <c r="W14" s="89">
        <f t="shared" si="0"/>
        <v>2273.7800000000002</v>
      </c>
      <c r="X14" s="90">
        <v>14878.51</v>
      </c>
      <c r="Y14" s="99">
        <v>37634</v>
      </c>
      <c r="Z14" s="120"/>
      <c r="AC14" s="121" t="s">
        <v>64</v>
      </c>
      <c r="AD14" s="121"/>
      <c r="AE14" s="121"/>
      <c r="AF14" s="121"/>
      <c r="AG14" s="104">
        <f>W38</f>
        <v>167654.87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2"/>
      <c r="W15" s="89">
        <f t="shared" si="0"/>
        <v>4096.9799999999996</v>
      </c>
      <c r="X15" s="90"/>
      <c r="Y15" s="93"/>
      <c r="Z15" s="120"/>
      <c r="AC15" s="121" t="s">
        <v>65</v>
      </c>
      <c r="AD15" s="121"/>
      <c r="AE15" s="121"/>
      <c r="AF15" s="121"/>
      <c r="AG15" s="104">
        <f>SUM(C38:H38)</f>
        <v>47166.55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1"/>
      <c r="V16" s="83"/>
      <c r="W16" s="89">
        <f t="shared" si="0"/>
        <v>6141</v>
      </c>
      <c r="X16" s="90"/>
      <c r="Y16" s="93"/>
      <c r="Z16" s="120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2"/>
      <c r="W17" s="89">
        <f t="shared" si="0"/>
        <v>16780</v>
      </c>
      <c r="X17" s="90"/>
      <c r="Y17" s="100">
        <v>15000</v>
      </c>
      <c r="Z17" s="120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1"/>
      <c r="U18" s="72">
        <v>8000</v>
      </c>
      <c r="V18" s="83"/>
      <c r="W18" s="89">
        <f t="shared" si="0"/>
        <v>10517.8</v>
      </c>
      <c r="X18" s="90"/>
      <c r="Y18" s="93"/>
      <c r="Z18" s="120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2">
        <f>83+760+400+6869+83+83+1800+850+1033.84+1423+1349+694+83+6000+1800+305</f>
        <v>23615.84</v>
      </c>
      <c r="W19" s="89">
        <f t="shared" si="0"/>
        <v>29591.93</v>
      </c>
      <c r="X19" s="90"/>
      <c r="Y19" s="100">
        <v>10000</v>
      </c>
      <c r="Z19" s="120"/>
    </row>
    <row r="20" spans="1:28" ht="14.25" customHeight="1">
      <c r="A20" s="116" t="s">
        <v>35</v>
      </c>
      <c r="B20" s="116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6">
        <f t="shared" si="1"/>
        <v>950</v>
      </c>
      <c r="W20" s="94">
        <f>SUM(W3:W19)</f>
        <v>121932.56</v>
      </c>
      <c r="X20" s="95">
        <f>SUM(X3:X19)</f>
        <v>86960.689999999988</v>
      </c>
      <c r="Y20" s="101">
        <f>SUM(Y3:Y19)</f>
        <v>214442.66999999998</v>
      </c>
      <c r="Z20" s="96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2"/>
      <c r="W21" s="89">
        <f>SUM(C21:V21)</f>
        <v>6642</v>
      </c>
      <c r="X21" s="90"/>
      <c r="Y21" s="99">
        <v>36898.639999999999</v>
      </c>
      <c r="Z21" s="120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3"/>
      <c r="W22" s="89">
        <f t="shared" ref="W22:W36" si="2">SUM(C22:V22)</f>
        <v>1376</v>
      </c>
      <c r="X22" s="90">
        <v>23662.84</v>
      </c>
      <c r="Y22" s="93"/>
      <c r="Z22" s="120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2"/>
      <c r="W23" s="89">
        <f t="shared" si="2"/>
        <v>2020</v>
      </c>
      <c r="X23" s="90"/>
      <c r="Y23" s="93"/>
      <c r="Z23" s="120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3"/>
      <c r="W24" s="89">
        <f t="shared" si="2"/>
        <v>3874</v>
      </c>
      <c r="X24" s="90"/>
      <c r="Y24" s="93"/>
      <c r="Z24" s="120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2">
        <v>2000</v>
      </c>
      <c r="W25" s="89">
        <f t="shared" si="2"/>
        <v>7893.3099999999995</v>
      </c>
      <c r="X25" s="90"/>
      <c r="Y25" s="93"/>
      <c r="Z25" s="120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3"/>
      <c r="W26" s="89">
        <f t="shared" si="2"/>
        <v>3329</v>
      </c>
      <c r="X26" s="90"/>
      <c r="Y26" s="93"/>
      <c r="Z26" s="120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2">
        <v>2800</v>
      </c>
      <c r="W27" s="89">
        <f t="shared" si="2"/>
        <v>7497</v>
      </c>
      <c r="X27" s="90"/>
      <c r="Y27" s="103">
        <v>20000</v>
      </c>
      <c r="Z27" s="120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3"/>
      <c r="W28" s="89">
        <f t="shared" si="2"/>
        <v>11161</v>
      </c>
      <c r="X28" s="90"/>
      <c r="Y28" s="93"/>
      <c r="Z28" s="120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2"/>
      <c r="W29" s="89">
        <f t="shared" si="2"/>
        <v>1530</v>
      </c>
      <c r="X29" s="90"/>
      <c r="Y29" s="93"/>
      <c r="Z29" s="120"/>
    </row>
    <row r="30" spans="1:28" ht="15.75">
      <c r="A30" s="66">
        <v>29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400</v>
      </c>
      <c r="R30" s="72"/>
      <c r="S30" s="72"/>
      <c r="T30" s="72"/>
      <c r="U30" s="72"/>
      <c r="V30" s="83"/>
      <c r="W30" s="89">
        <f t="shared" si="2"/>
        <v>400</v>
      </c>
      <c r="X30" s="90"/>
      <c r="Y30" s="93"/>
      <c r="Z30" s="120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2"/>
      <c r="W31" s="89">
        <f t="shared" si="2"/>
        <v>0</v>
      </c>
      <c r="X31" s="90"/>
      <c r="Y31" s="93"/>
      <c r="Z31" s="120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3"/>
      <c r="W32" s="89">
        <f t="shared" si="2"/>
        <v>0</v>
      </c>
      <c r="X32" s="90"/>
      <c r="Y32" s="93"/>
      <c r="Z32" s="120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2"/>
      <c r="W33" s="89">
        <f t="shared" si="2"/>
        <v>0</v>
      </c>
      <c r="X33" s="90"/>
      <c r="Y33" s="93"/>
      <c r="Z33" s="120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83"/>
      <c r="W34" s="89">
        <f t="shared" si="2"/>
        <v>0</v>
      </c>
      <c r="X34" s="90"/>
      <c r="Y34" s="93"/>
      <c r="Z34" s="120"/>
    </row>
    <row r="35" spans="1:26" ht="15.75">
      <c r="A35" s="62">
        <v>3</v>
      </c>
      <c r="B35" s="63" t="s">
        <v>7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82"/>
      <c r="W35" s="89">
        <f t="shared" si="2"/>
        <v>0</v>
      </c>
      <c r="X35" s="90"/>
      <c r="Y35" s="93"/>
      <c r="Z35" s="120"/>
    </row>
    <row r="36" spans="1:26" ht="15.75">
      <c r="A36" s="66">
        <v>4</v>
      </c>
      <c r="B36" s="67" t="s">
        <v>8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83"/>
      <c r="W36" s="89">
        <f t="shared" si="2"/>
        <v>0</v>
      </c>
      <c r="X36" s="90"/>
      <c r="Y36" s="93"/>
      <c r="Z36" s="120"/>
    </row>
    <row r="37" spans="1:26">
      <c r="A37" s="116" t="s">
        <v>36</v>
      </c>
      <c r="B37" s="116"/>
      <c r="C37" s="79">
        <f>SUM(C21:C36)</f>
        <v>3393</v>
      </c>
      <c r="D37" s="79">
        <f t="shared" ref="D37:V37" si="3">SUM(D21:D36)</f>
        <v>6141.3099999999995</v>
      </c>
      <c r="E37" s="79">
        <f t="shared" si="3"/>
        <v>3180</v>
      </c>
      <c r="F37" s="79">
        <f t="shared" si="3"/>
        <v>4420</v>
      </c>
      <c r="G37" s="79">
        <f t="shared" si="3"/>
        <v>0</v>
      </c>
      <c r="H37" s="79">
        <f t="shared" si="3"/>
        <v>2414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1953</v>
      </c>
      <c r="P37" s="79">
        <f t="shared" si="3"/>
        <v>797</v>
      </c>
      <c r="Q37" s="79">
        <f t="shared" si="3"/>
        <v>6023</v>
      </c>
      <c r="R37" s="79">
        <f t="shared" si="3"/>
        <v>0</v>
      </c>
      <c r="S37" s="79">
        <f t="shared" si="3"/>
        <v>1092</v>
      </c>
      <c r="T37" s="79">
        <f>SUM(T21:T36)</f>
        <v>11509</v>
      </c>
      <c r="U37" s="79">
        <f t="shared" si="3"/>
        <v>0</v>
      </c>
      <c r="V37" s="86">
        <f t="shared" si="3"/>
        <v>4800</v>
      </c>
      <c r="W37" s="94">
        <f>SUM(W21:W36)</f>
        <v>45722.31</v>
      </c>
      <c r="X37" s="95">
        <f>SUM(X21:X36)</f>
        <v>23662.84</v>
      </c>
      <c r="Y37" s="101">
        <f>SUM(Y21:Y36)</f>
        <v>56898.64</v>
      </c>
      <c r="Z37" s="97">
        <f>Y37-W37-X37</f>
        <v>-12486.509999999998</v>
      </c>
    </row>
    <row r="38" spans="1:26" ht="31.5" customHeight="1">
      <c r="A38" s="119" t="s">
        <v>37</v>
      </c>
      <c r="B38" s="119"/>
      <c r="C38" s="78">
        <f>SUM(C20,C37)</f>
        <v>14335.99</v>
      </c>
      <c r="D38" s="78">
        <f t="shared" ref="D38:W38" si="4">SUM(D20,D37)</f>
        <v>11666.56</v>
      </c>
      <c r="E38" s="78">
        <f t="shared" si="4"/>
        <v>8530</v>
      </c>
      <c r="F38" s="78">
        <f t="shared" si="4"/>
        <v>6460</v>
      </c>
      <c r="G38" s="78">
        <f t="shared" si="4"/>
        <v>0</v>
      </c>
      <c r="H38" s="78">
        <f t="shared" si="4"/>
        <v>6174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5172</v>
      </c>
      <c r="P38" s="78">
        <f t="shared" si="4"/>
        <v>797</v>
      </c>
      <c r="Q38" s="78">
        <f t="shared" si="4"/>
        <v>27168.98</v>
      </c>
      <c r="R38" s="78">
        <f t="shared" si="4"/>
        <v>0</v>
      </c>
      <c r="S38" s="78">
        <f>SUM(S20,S37)</f>
        <v>6364.63</v>
      </c>
      <c r="T38" s="78">
        <f t="shared" si="4"/>
        <v>14697</v>
      </c>
      <c r="U38" s="78">
        <f t="shared" si="4"/>
        <v>6461</v>
      </c>
      <c r="V38" s="87">
        <f t="shared" si="4"/>
        <v>5750</v>
      </c>
      <c r="W38" s="94">
        <f t="shared" si="4"/>
        <v>167654.87</v>
      </c>
      <c r="X38" s="95">
        <f>SUM(X20,X37)</f>
        <v>110623.52999999998</v>
      </c>
      <c r="Y38" s="102">
        <f>SUM(Y20,Y37)</f>
        <v>271341.31</v>
      </c>
      <c r="Z38" s="70">
        <f>SUM(Z20,Z37)</f>
        <v>-6937.09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C14:AF14"/>
    <mergeCell ref="AC15:AF15"/>
    <mergeCell ref="AC8:AG10"/>
    <mergeCell ref="AC11:AF11"/>
    <mergeCell ref="AC12:AF12"/>
    <mergeCell ref="AC13:AF13"/>
    <mergeCell ref="A1:Z1"/>
    <mergeCell ref="A20:B20"/>
    <mergeCell ref="A37:B37"/>
    <mergeCell ref="A38:B38"/>
    <mergeCell ref="Z3:Z19"/>
    <mergeCell ref="Z21:Z36"/>
  </mergeCells>
  <conditionalFormatting sqref="Z20:Z21 Z37:Z38">
    <cfRule type="expression" dxfId="3" priority="1">
      <formula>Z20&lt;0</formula>
    </cfRule>
    <cfRule type="expression" dxfId="2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85" zoomScaleNormal="85" workbookViewId="0">
      <pane xSplit="2" ySplit="37" topLeftCell="C38" activePane="bottomRight" state="frozen"/>
      <selection pane="topRight" activeCell="C1" sqref="C1"/>
      <selection pane="bottomLeft" activeCell="A28" sqref="A28"/>
      <selection pane="bottomRight" activeCell="AJ8" sqref="AJ8"/>
    </sheetView>
  </sheetViews>
  <sheetFormatPr defaultRowHeight="15"/>
  <cols>
    <col min="1" max="30" width="20.7109375" style="2" customWidth="1"/>
    <col min="31" max="42" width="12.7109375" style="2" customWidth="1"/>
    <col min="43" max="16384" width="9.140625" style="2"/>
  </cols>
  <sheetData>
    <row r="1" spans="1:52" ht="34.5" customHeight="1">
      <c r="A1" s="123" t="s">
        <v>66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</row>
    <row r="2" spans="1:52" ht="26.25">
      <c r="A2" s="148"/>
      <c r="B2" s="149"/>
      <c r="C2" s="124" t="s">
        <v>67</v>
      </c>
      <c r="D2" s="124"/>
      <c r="E2" s="124"/>
      <c r="F2" s="124"/>
      <c r="G2" s="124"/>
      <c r="H2" s="124"/>
      <c r="I2" s="124"/>
      <c r="J2" s="124"/>
      <c r="K2" s="124"/>
      <c r="L2" s="145" t="s">
        <v>75</v>
      </c>
      <c r="M2" s="145"/>
      <c r="N2" s="145"/>
      <c r="O2" s="145"/>
      <c r="P2" s="145"/>
      <c r="Q2" s="145"/>
      <c r="R2" s="146" t="s">
        <v>78</v>
      </c>
      <c r="S2" s="146"/>
      <c r="T2" s="146"/>
      <c r="U2" s="146"/>
      <c r="V2" s="146"/>
      <c r="W2" s="146"/>
      <c r="X2" s="146"/>
      <c r="Y2" s="146"/>
      <c r="Z2" s="146"/>
      <c r="AA2" s="146"/>
      <c r="AB2" s="147" t="s">
        <v>81</v>
      </c>
      <c r="AC2" s="147"/>
      <c r="AD2" s="147"/>
    </row>
    <row r="3" spans="1:52" ht="45" customHeight="1">
      <c r="A3" s="141" t="s">
        <v>0</v>
      </c>
      <c r="B3" s="141" t="s">
        <v>1</v>
      </c>
      <c r="C3" s="142" t="s">
        <v>68</v>
      </c>
      <c r="D3" s="142" t="s">
        <v>69</v>
      </c>
      <c r="E3" s="142" t="s">
        <v>70</v>
      </c>
      <c r="F3" s="142" t="s">
        <v>29</v>
      </c>
      <c r="G3" s="142" t="s">
        <v>82</v>
      </c>
      <c r="H3" s="142" t="s">
        <v>71</v>
      </c>
      <c r="I3" s="142" t="s">
        <v>72</v>
      </c>
      <c r="J3" s="142" t="s">
        <v>73</v>
      </c>
      <c r="K3" s="142" t="s">
        <v>74</v>
      </c>
      <c r="L3" s="143" t="s">
        <v>24</v>
      </c>
      <c r="M3" s="143" t="s">
        <v>14</v>
      </c>
      <c r="N3" s="143" t="s">
        <v>76</v>
      </c>
      <c r="O3" s="143" t="s">
        <v>25</v>
      </c>
      <c r="P3" s="143" t="s">
        <v>25</v>
      </c>
      <c r="Q3" s="143" t="s">
        <v>77</v>
      </c>
      <c r="R3" s="144" t="s">
        <v>30</v>
      </c>
      <c r="S3" s="144" t="s">
        <v>23</v>
      </c>
      <c r="T3" s="144" t="s">
        <v>13</v>
      </c>
      <c r="U3" s="144" t="s">
        <v>15</v>
      </c>
      <c r="V3" s="144" t="s">
        <v>16</v>
      </c>
      <c r="W3" s="144" t="s">
        <v>28</v>
      </c>
      <c r="X3" s="144" t="s">
        <v>79</v>
      </c>
      <c r="Y3" s="144" t="s">
        <v>79</v>
      </c>
      <c r="Z3" s="144" t="s">
        <v>80</v>
      </c>
      <c r="AA3" s="150" t="s">
        <v>26</v>
      </c>
      <c r="AB3" s="153" t="s">
        <v>22</v>
      </c>
      <c r="AC3" s="154" t="s">
        <v>19</v>
      </c>
      <c r="AD3" s="163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29">
        <v>5</v>
      </c>
      <c r="B4" s="130" t="s">
        <v>2</v>
      </c>
      <c r="C4" s="131">
        <v>429.95</v>
      </c>
      <c r="D4" s="131"/>
      <c r="E4" s="131"/>
      <c r="F4" s="131"/>
      <c r="G4" s="131"/>
      <c r="H4" s="131"/>
      <c r="I4" s="131">
        <f>4660+545</f>
        <v>5205</v>
      </c>
      <c r="J4" s="131"/>
      <c r="K4" s="131"/>
      <c r="L4" s="131"/>
      <c r="M4" s="131"/>
      <c r="N4" s="131"/>
      <c r="O4" s="131">
        <v>100</v>
      </c>
      <c r="P4" s="131">
        <v>10000</v>
      </c>
      <c r="Q4" s="131"/>
      <c r="R4" s="131"/>
      <c r="S4" s="131"/>
      <c r="T4" s="131"/>
      <c r="U4" s="131"/>
      <c r="V4" s="131"/>
      <c r="W4" s="131"/>
      <c r="X4" s="131">
        <v>1237</v>
      </c>
      <c r="Y4" s="131"/>
      <c r="Z4" s="131"/>
      <c r="AA4" s="132"/>
      <c r="AB4" s="155">
        <f>SUM(C4:AA4)</f>
        <v>16971.95</v>
      </c>
      <c r="AC4" s="140">
        <f>37635+40252.26+18817.85</f>
        <v>96705.110000000015</v>
      </c>
      <c r="AD4" s="156"/>
    </row>
    <row r="5" spans="1:52" ht="15.75">
      <c r="A5" s="125">
        <v>6</v>
      </c>
      <c r="B5" s="126" t="s">
        <v>3</v>
      </c>
      <c r="C5" s="127"/>
      <c r="D5" s="127"/>
      <c r="E5" s="127"/>
      <c r="F5" s="127">
        <v>351</v>
      </c>
      <c r="G5" s="127"/>
      <c r="H5" s="127"/>
      <c r="I5" s="127"/>
      <c r="J5" s="127"/>
      <c r="K5" s="127"/>
      <c r="L5" s="127">
        <f>5748.49+2803.26+2306.38</f>
        <v>10858.130000000001</v>
      </c>
      <c r="M5" s="127"/>
      <c r="N5" s="127"/>
      <c r="O5" s="127"/>
      <c r="P5" s="127"/>
      <c r="Q5" s="127">
        <v>3500</v>
      </c>
      <c r="R5" s="127"/>
      <c r="S5" s="127"/>
      <c r="T5" s="127"/>
      <c r="U5" s="127">
        <v>294</v>
      </c>
      <c r="V5" s="127"/>
      <c r="W5" s="127">
        <v>1500</v>
      </c>
      <c r="X5" s="127"/>
      <c r="Y5" s="127"/>
      <c r="Z5" s="127"/>
      <c r="AA5" s="128"/>
      <c r="AB5" s="155">
        <f>SUM(C5:AA5)</f>
        <v>16503.13</v>
      </c>
      <c r="AC5" s="139"/>
      <c r="AD5" s="156"/>
    </row>
    <row r="6" spans="1:52" ht="15.75">
      <c r="A6" s="129">
        <v>7</v>
      </c>
      <c r="B6" s="130" t="s">
        <v>4</v>
      </c>
      <c r="C6" s="131"/>
      <c r="D6" s="131"/>
      <c r="E6" s="131"/>
      <c r="F6" s="131"/>
      <c r="G6" s="131"/>
      <c r="H6" s="131"/>
      <c r="I6" s="131"/>
      <c r="J6" s="131">
        <v>838</v>
      </c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>
        <v>158.61000000000001</v>
      </c>
      <c r="W6" s="131"/>
      <c r="X6" s="131"/>
      <c r="Y6" s="131"/>
      <c r="Z6" s="131"/>
      <c r="AA6" s="132"/>
      <c r="AB6" s="155">
        <f t="shared" ref="AB6:AB18" si="0">SUM(C6:AA6)</f>
        <v>996.61</v>
      </c>
      <c r="AC6" s="139"/>
      <c r="AD6" s="156"/>
    </row>
    <row r="7" spans="1:52" ht="15.75">
      <c r="A7" s="125">
        <v>8</v>
      </c>
      <c r="B7" s="126" t="s">
        <v>5</v>
      </c>
      <c r="C7" s="127"/>
      <c r="D7" s="127"/>
      <c r="E7" s="127"/>
      <c r="F7" s="127">
        <v>1461</v>
      </c>
      <c r="G7" s="127">
        <v>821</v>
      </c>
      <c r="H7" s="127"/>
      <c r="I7" s="127">
        <f>2510+220</f>
        <v>2730</v>
      </c>
      <c r="J7" s="127">
        <v>730</v>
      </c>
      <c r="K7" s="127"/>
      <c r="L7" s="127"/>
      <c r="M7" s="127"/>
      <c r="N7" s="127"/>
      <c r="O7" s="127">
        <v>100</v>
      </c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>
        <v>2626</v>
      </c>
      <c r="AA7" s="128"/>
      <c r="AB7" s="155">
        <f t="shared" si="0"/>
        <v>8468</v>
      </c>
      <c r="AC7" s="139"/>
      <c r="AD7" s="156"/>
    </row>
    <row r="8" spans="1:52" ht="15" customHeight="1">
      <c r="A8" s="129">
        <v>9</v>
      </c>
      <c r="B8" s="130" t="s">
        <v>6</v>
      </c>
      <c r="C8" s="131"/>
      <c r="D8" s="131"/>
      <c r="E8" s="131">
        <v>2510</v>
      </c>
      <c r="F8" s="131"/>
      <c r="G8" s="131"/>
      <c r="H8" s="131"/>
      <c r="I8" s="131"/>
      <c r="J8" s="131">
        <v>1534</v>
      </c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>
        <f>400+1115+3400+1409.98+1800</f>
        <v>8124.98</v>
      </c>
      <c r="X8" s="131"/>
      <c r="Y8" s="131"/>
      <c r="Z8" s="131"/>
      <c r="AA8" s="132"/>
      <c r="AB8" s="155">
        <f t="shared" si="0"/>
        <v>12168.98</v>
      </c>
      <c r="AC8" s="139"/>
      <c r="AD8" s="156"/>
    </row>
    <row r="9" spans="1:52" ht="15.75">
      <c r="A9" s="125">
        <v>10</v>
      </c>
      <c r="B9" s="126" t="s">
        <v>7</v>
      </c>
      <c r="C9" s="127"/>
      <c r="D9" s="127"/>
      <c r="E9" s="127"/>
      <c r="F9" s="127"/>
      <c r="G9" s="127"/>
      <c r="H9" s="127"/>
      <c r="I9" s="127"/>
      <c r="J9" s="127"/>
      <c r="K9" s="127">
        <v>1860</v>
      </c>
      <c r="L9" s="127"/>
      <c r="M9" s="127"/>
      <c r="N9" s="127">
        <v>700</v>
      </c>
      <c r="O9" s="127"/>
      <c r="P9" s="127">
        <v>2000</v>
      </c>
      <c r="Q9" s="127"/>
      <c r="R9" s="127"/>
      <c r="S9" s="127"/>
      <c r="T9" s="127"/>
      <c r="U9" s="127">
        <v>420</v>
      </c>
      <c r="V9" s="127"/>
      <c r="W9" s="127"/>
      <c r="X9" s="127"/>
      <c r="Y9" s="127"/>
      <c r="Z9" s="127"/>
      <c r="AA9" s="128"/>
      <c r="AB9" s="155">
        <f t="shared" si="0"/>
        <v>4980</v>
      </c>
      <c r="AC9" s="139"/>
      <c r="AD9" s="156"/>
    </row>
    <row r="10" spans="1:52" ht="15.75">
      <c r="A10" s="129">
        <v>11</v>
      </c>
      <c r="B10" s="130" t="s">
        <v>8</v>
      </c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2"/>
      <c r="AB10" s="155">
        <f t="shared" si="0"/>
        <v>0</v>
      </c>
      <c r="AC10" s="139"/>
      <c r="AD10" s="156"/>
    </row>
    <row r="11" spans="1:52" ht="15.75">
      <c r="A11" s="125">
        <v>12</v>
      </c>
      <c r="B11" s="126" t="s">
        <v>2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8"/>
      <c r="AB11" s="155">
        <f t="shared" si="0"/>
        <v>0</v>
      </c>
      <c r="AC11" s="139"/>
      <c r="AD11" s="156"/>
    </row>
    <row r="12" spans="1:52" ht="15.75">
      <c r="A12" s="129">
        <v>13</v>
      </c>
      <c r="B12" s="130" t="s">
        <v>3</v>
      </c>
      <c r="C12" s="131"/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  <c r="AA12" s="132"/>
      <c r="AB12" s="155">
        <f t="shared" si="0"/>
        <v>0</v>
      </c>
      <c r="AC12" s="139"/>
      <c r="AD12" s="156"/>
    </row>
    <row r="13" spans="1:52" ht="15.75">
      <c r="A13" s="125">
        <v>14</v>
      </c>
      <c r="B13" s="126" t="s">
        <v>4</v>
      </c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8"/>
      <c r="AB13" s="155">
        <f t="shared" si="0"/>
        <v>0</v>
      </c>
      <c r="AC13" s="139"/>
      <c r="AD13" s="156"/>
    </row>
    <row r="14" spans="1:52" ht="15.75">
      <c r="A14" s="129">
        <v>15</v>
      </c>
      <c r="B14" s="130" t="s">
        <v>5</v>
      </c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2"/>
      <c r="AB14" s="155">
        <f t="shared" si="0"/>
        <v>0</v>
      </c>
      <c r="AC14" s="139"/>
      <c r="AD14" s="156"/>
    </row>
    <row r="15" spans="1:52" ht="15.75">
      <c r="A15" s="125">
        <v>16</v>
      </c>
      <c r="B15" s="126" t="s">
        <v>6</v>
      </c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8"/>
      <c r="AB15" s="155">
        <f t="shared" si="0"/>
        <v>0</v>
      </c>
      <c r="AC15" s="140"/>
      <c r="AD15" s="156"/>
    </row>
    <row r="16" spans="1:52" ht="15.75">
      <c r="A16" s="129">
        <v>17</v>
      </c>
      <c r="B16" s="130" t="s">
        <v>7</v>
      </c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2"/>
      <c r="AB16" s="155">
        <f t="shared" si="0"/>
        <v>0</v>
      </c>
      <c r="AC16" s="139"/>
      <c r="AD16" s="156"/>
    </row>
    <row r="17" spans="1:32" ht="15.75">
      <c r="A17" s="125">
        <v>18</v>
      </c>
      <c r="B17" s="126" t="s">
        <v>8</v>
      </c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8"/>
      <c r="AB17" s="155">
        <f t="shared" si="0"/>
        <v>0</v>
      </c>
      <c r="AC17" s="139"/>
      <c r="AD17" s="156"/>
    </row>
    <row r="18" spans="1:32" ht="15.75">
      <c r="A18" s="129">
        <v>19</v>
      </c>
      <c r="B18" s="130" t="s">
        <v>2</v>
      </c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2"/>
      <c r="AB18" s="155">
        <f t="shared" si="0"/>
        <v>0</v>
      </c>
      <c r="AC18" s="139"/>
      <c r="AD18" s="156"/>
    </row>
    <row r="19" spans="1:32" ht="14.25" customHeight="1">
      <c r="A19" s="136" t="s">
        <v>35</v>
      </c>
      <c r="B19" s="136"/>
      <c r="C19" s="133">
        <f>SUM(C4:C18)</f>
        <v>429.95</v>
      </c>
      <c r="D19" s="133">
        <f t="shared" ref="D19:AA19" si="1">SUM(D4:D18)</f>
        <v>0</v>
      </c>
      <c r="E19" s="133">
        <f t="shared" si="1"/>
        <v>2510</v>
      </c>
      <c r="F19" s="133">
        <f t="shared" si="1"/>
        <v>1812</v>
      </c>
      <c r="G19" s="133">
        <f t="shared" si="1"/>
        <v>821</v>
      </c>
      <c r="H19" s="133">
        <f t="shared" si="1"/>
        <v>0</v>
      </c>
      <c r="I19" s="133">
        <f t="shared" si="1"/>
        <v>7935</v>
      </c>
      <c r="J19" s="133">
        <f t="shared" si="1"/>
        <v>3102</v>
      </c>
      <c r="K19" s="133">
        <f t="shared" si="1"/>
        <v>1860</v>
      </c>
      <c r="L19" s="134">
        <f t="shared" si="1"/>
        <v>10858.130000000001</v>
      </c>
      <c r="M19" s="134">
        <f t="shared" si="1"/>
        <v>0</v>
      </c>
      <c r="N19" s="134">
        <f t="shared" si="1"/>
        <v>700</v>
      </c>
      <c r="O19" s="134">
        <f t="shared" si="1"/>
        <v>200</v>
      </c>
      <c r="P19" s="134">
        <f t="shared" si="1"/>
        <v>12000</v>
      </c>
      <c r="Q19" s="134">
        <f t="shared" si="1"/>
        <v>3500</v>
      </c>
      <c r="R19" s="135">
        <f t="shared" si="1"/>
        <v>0</v>
      </c>
      <c r="S19" s="135">
        <f t="shared" si="1"/>
        <v>0</v>
      </c>
      <c r="T19" s="135">
        <f t="shared" si="1"/>
        <v>0</v>
      </c>
      <c r="U19" s="135">
        <f t="shared" si="1"/>
        <v>714</v>
      </c>
      <c r="V19" s="135">
        <f t="shared" si="1"/>
        <v>158.61000000000001</v>
      </c>
      <c r="W19" s="135">
        <f t="shared" si="1"/>
        <v>9624.98</v>
      </c>
      <c r="X19" s="135">
        <f t="shared" si="1"/>
        <v>1237</v>
      </c>
      <c r="Y19" s="135">
        <f t="shared" si="1"/>
        <v>0</v>
      </c>
      <c r="Z19" s="135">
        <f t="shared" si="1"/>
        <v>2626</v>
      </c>
      <c r="AA19" s="151">
        <f t="shared" si="1"/>
        <v>0</v>
      </c>
      <c r="AB19" s="157">
        <f>SUM(AB4:AB18)</f>
        <v>60088.67</v>
      </c>
      <c r="AC19" s="158">
        <f>SUM(AC4:AC18)</f>
        <v>96705.110000000015</v>
      </c>
      <c r="AD19" s="161">
        <f>AC19-AB19</f>
        <v>36616.440000000017</v>
      </c>
    </row>
    <row r="20" spans="1:32" ht="15.75">
      <c r="A20" s="129">
        <v>20</v>
      </c>
      <c r="B20" s="130" t="s">
        <v>3</v>
      </c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  <c r="AA20" s="132"/>
      <c r="AB20" s="155">
        <f>SUM(C20:AA20)</f>
        <v>0</v>
      </c>
      <c r="AC20" s="140"/>
      <c r="AD20" s="156"/>
    </row>
    <row r="21" spans="1:32" ht="15.75">
      <c r="A21" s="125">
        <v>21</v>
      </c>
      <c r="B21" s="126" t="s">
        <v>4</v>
      </c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8"/>
      <c r="AB21" s="155">
        <f>SUM(C21:AA21)</f>
        <v>0</v>
      </c>
      <c r="AC21" s="139"/>
      <c r="AD21" s="156"/>
      <c r="AF21" s="44"/>
    </row>
    <row r="22" spans="1:32" ht="15.75">
      <c r="A22" s="129">
        <v>22</v>
      </c>
      <c r="B22" s="130" t="s">
        <v>5</v>
      </c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  <c r="AA22" s="132"/>
      <c r="AB22" s="155">
        <f t="shared" ref="AB22:AB35" si="2">SUM(C22:AA22)</f>
        <v>0</v>
      </c>
      <c r="AC22" s="139"/>
      <c r="AD22" s="156"/>
    </row>
    <row r="23" spans="1:32" ht="15.75">
      <c r="A23" s="125">
        <v>23</v>
      </c>
      <c r="B23" s="126" t="s">
        <v>6</v>
      </c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8"/>
      <c r="AB23" s="155">
        <f t="shared" si="2"/>
        <v>0</v>
      </c>
      <c r="AC23" s="139"/>
      <c r="AD23" s="156"/>
    </row>
    <row r="24" spans="1:32" ht="15.75">
      <c r="A24" s="129">
        <v>24</v>
      </c>
      <c r="B24" s="130" t="s">
        <v>7</v>
      </c>
      <c r="C24" s="131"/>
      <c r="D24" s="131"/>
      <c r="E24" s="131"/>
      <c r="F24" s="131"/>
      <c r="G24" s="131"/>
      <c r="H24" s="131"/>
      <c r="I24" s="131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2"/>
      <c r="AB24" s="155">
        <f t="shared" si="2"/>
        <v>0</v>
      </c>
      <c r="AC24" s="139"/>
      <c r="AD24" s="156"/>
    </row>
    <row r="25" spans="1:32" ht="15.75">
      <c r="A25" s="125">
        <v>25</v>
      </c>
      <c r="B25" s="126" t="s">
        <v>8</v>
      </c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8"/>
      <c r="AB25" s="155">
        <f t="shared" si="2"/>
        <v>0</v>
      </c>
      <c r="AC25" s="139"/>
      <c r="AD25" s="156"/>
    </row>
    <row r="26" spans="1:32" ht="15.75">
      <c r="A26" s="129">
        <v>26</v>
      </c>
      <c r="B26" s="130" t="s">
        <v>2</v>
      </c>
      <c r="C26" s="131"/>
      <c r="D26" s="131"/>
      <c r="E26" s="131"/>
      <c r="F26" s="131"/>
      <c r="G26" s="131"/>
      <c r="H26" s="131"/>
      <c r="I26" s="131"/>
      <c r="J26" s="131"/>
      <c r="K26" s="13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  <c r="AA26" s="132"/>
      <c r="AB26" s="155">
        <f t="shared" si="2"/>
        <v>0</v>
      </c>
      <c r="AC26" s="140"/>
      <c r="AD26" s="156"/>
    </row>
    <row r="27" spans="1:32" ht="15.75">
      <c r="A27" s="125">
        <v>27</v>
      </c>
      <c r="B27" s="126" t="s">
        <v>3</v>
      </c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8"/>
      <c r="AB27" s="155">
        <f t="shared" si="2"/>
        <v>0</v>
      </c>
      <c r="AC27" s="139"/>
      <c r="AD27" s="156"/>
    </row>
    <row r="28" spans="1:32" ht="15.75">
      <c r="A28" s="129">
        <v>28</v>
      </c>
      <c r="B28" s="130" t="s">
        <v>4</v>
      </c>
      <c r="C28" s="131"/>
      <c r="D28" s="131"/>
      <c r="E28" s="131"/>
      <c r="F28" s="131"/>
      <c r="G28" s="131"/>
      <c r="H28" s="131"/>
      <c r="I28" s="131"/>
      <c r="J28" s="131"/>
      <c r="K28" s="131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  <c r="AA28" s="132"/>
      <c r="AB28" s="155">
        <f t="shared" si="2"/>
        <v>0</v>
      </c>
      <c r="AC28" s="139"/>
      <c r="AD28" s="156"/>
    </row>
    <row r="29" spans="1:32" ht="15.75">
      <c r="A29" s="125">
        <v>29</v>
      </c>
      <c r="B29" s="126" t="s">
        <v>5</v>
      </c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8"/>
      <c r="AB29" s="155">
        <f t="shared" si="2"/>
        <v>0</v>
      </c>
      <c r="AC29" s="139"/>
      <c r="AD29" s="156"/>
    </row>
    <row r="30" spans="1:32" ht="15.75">
      <c r="A30" s="129">
        <v>30</v>
      </c>
      <c r="B30" s="130" t="s">
        <v>6</v>
      </c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2"/>
      <c r="AB30" s="155">
        <f t="shared" si="2"/>
        <v>0</v>
      </c>
      <c r="AC30" s="139"/>
      <c r="AD30" s="156"/>
    </row>
    <row r="31" spans="1:32" ht="15.75">
      <c r="A31" s="125">
        <v>31</v>
      </c>
      <c r="B31" s="126" t="s">
        <v>7</v>
      </c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8"/>
      <c r="AB31" s="155">
        <f t="shared" si="2"/>
        <v>0</v>
      </c>
      <c r="AC31" s="139"/>
      <c r="AD31" s="156"/>
    </row>
    <row r="32" spans="1:32" ht="15.75">
      <c r="A32" s="129">
        <v>1</v>
      </c>
      <c r="B32" s="130" t="s">
        <v>8</v>
      </c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  <c r="AA32" s="132"/>
      <c r="AB32" s="155">
        <f t="shared" si="2"/>
        <v>0</v>
      </c>
      <c r="AC32" s="139"/>
      <c r="AD32" s="156"/>
    </row>
    <row r="33" spans="1:30" ht="15.75">
      <c r="A33" s="125">
        <v>2</v>
      </c>
      <c r="B33" s="126" t="s">
        <v>2</v>
      </c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8"/>
      <c r="AB33" s="155">
        <f t="shared" si="2"/>
        <v>0</v>
      </c>
      <c r="AC33" s="139"/>
      <c r="AD33" s="156"/>
    </row>
    <row r="34" spans="1:30" ht="15.75">
      <c r="A34" s="129">
        <v>3</v>
      </c>
      <c r="B34" s="130" t="s">
        <v>3</v>
      </c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2"/>
      <c r="AB34" s="155">
        <f t="shared" si="2"/>
        <v>0</v>
      </c>
      <c r="AC34" s="139"/>
      <c r="AD34" s="156"/>
    </row>
    <row r="35" spans="1:30" ht="15.75">
      <c r="A35" s="125">
        <v>4</v>
      </c>
      <c r="B35" s="126" t="s">
        <v>4</v>
      </c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8"/>
      <c r="AB35" s="155">
        <f t="shared" si="2"/>
        <v>0</v>
      </c>
      <c r="AC35" s="139"/>
      <c r="AD35" s="156"/>
    </row>
    <row r="36" spans="1:30" ht="14.25" customHeight="1">
      <c r="A36" s="136" t="s">
        <v>36</v>
      </c>
      <c r="B36" s="136"/>
      <c r="C36" s="133">
        <f>SUM(C20:C35)</f>
        <v>0</v>
      </c>
      <c r="D36" s="133">
        <f t="shared" ref="D36:K36" si="3">SUM(D20:D35)</f>
        <v>0</v>
      </c>
      <c r="E36" s="133">
        <f t="shared" si="3"/>
        <v>0</v>
      </c>
      <c r="F36" s="133">
        <f t="shared" si="3"/>
        <v>0</v>
      </c>
      <c r="G36" s="133">
        <f t="shared" si="3"/>
        <v>0</v>
      </c>
      <c r="H36" s="133">
        <f t="shared" si="3"/>
        <v>0</v>
      </c>
      <c r="I36" s="133">
        <f t="shared" si="3"/>
        <v>0</v>
      </c>
      <c r="J36" s="133">
        <f t="shared" si="3"/>
        <v>0</v>
      </c>
      <c r="K36" s="133">
        <f t="shared" si="3"/>
        <v>0</v>
      </c>
      <c r="L36" s="134">
        <f>SUM(L20:L35)</f>
        <v>0</v>
      </c>
      <c r="M36" s="134">
        <f t="shared" ref="M36:Q36" si="4">SUM(M20:M35)</f>
        <v>0</v>
      </c>
      <c r="N36" s="134">
        <f t="shared" si="4"/>
        <v>0</v>
      </c>
      <c r="O36" s="134">
        <f t="shared" si="4"/>
        <v>0</v>
      </c>
      <c r="P36" s="134">
        <f t="shared" si="4"/>
        <v>0</v>
      </c>
      <c r="Q36" s="134">
        <f t="shared" si="4"/>
        <v>0</v>
      </c>
      <c r="R36" s="135">
        <f>SUM(R20:R35)</f>
        <v>0</v>
      </c>
      <c r="S36" s="135">
        <f t="shared" ref="S36:AA36" si="5">SUM(S20:S35)</f>
        <v>0</v>
      </c>
      <c r="T36" s="135">
        <f t="shared" si="5"/>
        <v>0</v>
      </c>
      <c r="U36" s="135">
        <f t="shared" si="5"/>
        <v>0</v>
      </c>
      <c r="V36" s="135">
        <f t="shared" si="5"/>
        <v>0</v>
      </c>
      <c r="W36" s="135">
        <f t="shared" si="5"/>
        <v>0</v>
      </c>
      <c r="X36" s="135">
        <f t="shared" si="5"/>
        <v>0</v>
      </c>
      <c r="Y36" s="135">
        <f t="shared" si="5"/>
        <v>0</v>
      </c>
      <c r="Z36" s="135">
        <f t="shared" si="5"/>
        <v>0</v>
      </c>
      <c r="AA36" s="151">
        <f t="shared" si="5"/>
        <v>0</v>
      </c>
      <c r="AB36" s="157">
        <f>SUM(AB20:AB35)</f>
        <v>0</v>
      </c>
      <c r="AC36" s="158">
        <f>SUM(AC20:AC35)</f>
        <v>0</v>
      </c>
      <c r="AD36" s="161">
        <f>AC36-AB36</f>
        <v>0</v>
      </c>
    </row>
    <row r="37" spans="1:30" ht="31.5" customHeight="1">
      <c r="A37" s="137" t="s">
        <v>37</v>
      </c>
      <c r="B37" s="137"/>
      <c r="C37" s="138">
        <f>SUM(C19,C36)</f>
        <v>429.95</v>
      </c>
      <c r="D37" s="138"/>
      <c r="E37" s="138"/>
      <c r="F37" s="138">
        <f t="shared" ref="F37:AB37" si="6">SUM(F19,F36)</f>
        <v>1812</v>
      </c>
      <c r="G37" s="138"/>
      <c r="H37" s="138">
        <f t="shared" si="6"/>
        <v>0</v>
      </c>
      <c r="I37" s="138">
        <f t="shared" si="6"/>
        <v>7935</v>
      </c>
      <c r="J37" s="138">
        <f t="shared" si="6"/>
        <v>3102</v>
      </c>
      <c r="K37" s="138">
        <f t="shared" si="6"/>
        <v>1860</v>
      </c>
      <c r="L37" s="138">
        <f t="shared" si="6"/>
        <v>10858.130000000001</v>
      </c>
      <c r="M37" s="138">
        <f t="shared" si="6"/>
        <v>0</v>
      </c>
      <c r="N37" s="138">
        <f t="shared" si="6"/>
        <v>700</v>
      </c>
      <c r="O37" s="138"/>
      <c r="P37" s="138"/>
      <c r="Q37" s="138"/>
      <c r="R37" s="138">
        <f t="shared" si="6"/>
        <v>0</v>
      </c>
      <c r="S37" s="138"/>
      <c r="T37" s="138">
        <f t="shared" si="6"/>
        <v>0</v>
      </c>
      <c r="U37" s="138">
        <f t="shared" si="6"/>
        <v>714</v>
      </c>
      <c r="V37" s="138">
        <f t="shared" si="6"/>
        <v>158.61000000000001</v>
      </c>
      <c r="W37" s="138">
        <f t="shared" si="6"/>
        <v>9624.98</v>
      </c>
      <c r="X37" s="138">
        <f t="shared" si="6"/>
        <v>1237</v>
      </c>
      <c r="Y37" s="138">
        <f t="shared" si="6"/>
        <v>0</v>
      </c>
      <c r="Z37" s="138">
        <f>SUM(Z19,Z36)</f>
        <v>2626</v>
      </c>
      <c r="AA37" s="152">
        <f t="shared" si="6"/>
        <v>0</v>
      </c>
      <c r="AB37" s="159">
        <f t="shared" si="6"/>
        <v>60088.67</v>
      </c>
      <c r="AC37" s="160">
        <f>SUM(AC19,AC36)</f>
        <v>96705.110000000015</v>
      </c>
      <c r="AD37" s="162">
        <f>SUM(AD19,AD36)</f>
        <v>36616.440000000017</v>
      </c>
    </row>
    <row r="41" spans="1:30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</sheetData>
  <mergeCells count="11">
    <mergeCell ref="A37:B37"/>
    <mergeCell ref="A1:AD1"/>
    <mergeCell ref="AD4:AD18"/>
    <mergeCell ref="A19:B19"/>
    <mergeCell ref="AD20:AD35"/>
    <mergeCell ref="A36:B36"/>
    <mergeCell ref="C2:K2"/>
    <mergeCell ref="L2:Q2"/>
    <mergeCell ref="R2:AA2"/>
    <mergeCell ref="AB2:AD2"/>
    <mergeCell ref="A2:B2"/>
  </mergeCells>
  <conditionalFormatting sqref="AD19:AD20 AD36:AD37">
    <cfRule type="expression" dxfId="1" priority="1">
      <formula>AD19&lt;0</formula>
    </cfRule>
    <cfRule type="expression" dxfId="0" priority="2">
      <formula>AD19&gt;0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2026-08-10T12:55:15Z</dcterms:modified>
</cp:coreProperties>
</file>