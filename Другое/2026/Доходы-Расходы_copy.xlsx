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G\Git\Repository_1\Другое\2026\"/>
    </mc:Choice>
  </mc:AlternateContent>
  <bookViews>
    <workbookView xWindow="0" yWindow="0" windowWidth="24000" windowHeight="10980" tabRatio="672" activeTab="9"/>
  </bookViews>
  <sheets>
    <sheet name="Сводная" sheetId="5" r:id="rId1"/>
    <sheet name="Февраль 2026" sheetId="3" r:id="rId2"/>
    <sheet name="Март 2026" sheetId="1" r:id="rId3"/>
    <sheet name="Апрель 2026" sheetId="4" r:id="rId4"/>
    <sheet name="Май 2026" sheetId="6" r:id="rId5"/>
    <sheet name=" Июнь 2026" sheetId="7" r:id="rId6"/>
    <sheet name="Июль 2026" sheetId="8" r:id="rId7"/>
    <sheet name="Август 2026" sheetId="9" r:id="rId8"/>
    <sheet name="Сентябрь 2026" sheetId="10" r:id="rId9"/>
    <sheet name="Октябрь 2026" sheetId="11" r:id="rId10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1" l="1"/>
  <c r="X9" i="11"/>
  <c r="C9" i="11"/>
  <c r="F8" i="11"/>
  <c r="D7" i="11"/>
  <c r="C7" i="11"/>
  <c r="M7" i="11"/>
  <c r="U7" i="11"/>
  <c r="U6" i="11"/>
  <c r="Q6" i="11"/>
  <c r="J6" i="11"/>
  <c r="X6" i="11"/>
  <c r="I6" i="11"/>
  <c r="I5" i="11"/>
  <c r="O5" i="11"/>
  <c r="Z5" i="11"/>
  <c r="W5" i="11"/>
  <c r="U5" i="11"/>
  <c r="W4" i="11"/>
  <c r="U4" i="11"/>
  <c r="I4" i="11"/>
  <c r="C36" i="11"/>
  <c r="AB36" i="10"/>
  <c r="AB18" i="10"/>
  <c r="AB18" i="11"/>
  <c r="S19" i="11"/>
  <c r="T19" i="11"/>
  <c r="U19" i="11"/>
  <c r="V19" i="11"/>
  <c r="W19" i="11"/>
  <c r="X19" i="11"/>
  <c r="Y19" i="11"/>
  <c r="Y37" i="11" s="1"/>
  <c r="Z19" i="11"/>
  <c r="AA19" i="11"/>
  <c r="AA37" i="11" s="1"/>
  <c r="R19" i="11"/>
  <c r="R37" i="11" s="1"/>
  <c r="M19" i="11"/>
  <c r="N19" i="11"/>
  <c r="O19" i="11"/>
  <c r="P19" i="11"/>
  <c r="Q19" i="11"/>
  <c r="L19" i="11"/>
  <c r="D19" i="11"/>
  <c r="E19" i="11"/>
  <c r="E37" i="11" s="1"/>
  <c r="F19" i="11"/>
  <c r="G19" i="11"/>
  <c r="H19" i="11"/>
  <c r="I19" i="11"/>
  <c r="I37" i="11" s="1"/>
  <c r="J19" i="11"/>
  <c r="K19" i="11"/>
  <c r="C19" i="11"/>
  <c r="AC36" i="11"/>
  <c r="AA36" i="11"/>
  <c r="Z36" i="11"/>
  <c r="Y36" i="11"/>
  <c r="S36" i="11"/>
  <c r="Q36" i="11"/>
  <c r="P36" i="11"/>
  <c r="N36" i="11"/>
  <c r="M36" i="11"/>
  <c r="L36" i="11"/>
  <c r="J36" i="11"/>
  <c r="AB35" i="11"/>
  <c r="H36" i="11"/>
  <c r="AB34" i="11"/>
  <c r="O36" i="11"/>
  <c r="AB33" i="11"/>
  <c r="AB32" i="11"/>
  <c r="AB31" i="11"/>
  <c r="AB30" i="11"/>
  <c r="AB29" i="11"/>
  <c r="T36" i="11"/>
  <c r="E36" i="11"/>
  <c r="R36" i="11"/>
  <c r="AB27" i="11"/>
  <c r="AB26" i="11"/>
  <c r="AB25" i="11"/>
  <c r="AB24" i="11"/>
  <c r="V36" i="11"/>
  <c r="G36" i="11"/>
  <c r="AB22" i="11"/>
  <c r="W36" i="11"/>
  <c r="AB21" i="11"/>
  <c r="X36" i="11"/>
  <c r="AB20" i="11"/>
  <c r="I36" i="11"/>
  <c r="Q37" i="11"/>
  <c r="P37" i="11"/>
  <c r="L37" i="11"/>
  <c r="AB17" i="11"/>
  <c r="AL16" i="11"/>
  <c r="AB16" i="11"/>
  <c r="AL15" i="11"/>
  <c r="AB15" i="11"/>
  <c r="AB14" i="11"/>
  <c r="AB13" i="11"/>
  <c r="AB12" i="11"/>
  <c r="AB11" i="11"/>
  <c r="AB10" i="11"/>
  <c r="AB9" i="11"/>
  <c r="AB7" i="11"/>
  <c r="AB5" i="11"/>
  <c r="AB4" i="11"/>
  <c r="AG16" i="8"/>
  <c r="O37" i="11" l="1"/>
  <c r="Z37" i="11"/>
  <c r="W37" i="11"/>
  <c r="AL20" i="11" s="1"/>
  <c r="AL14" i="11"/>
  <c r="G37" i="11"/>
  <c r="J37" i="11"/>
  <c r="V37" i="11"/>
  <c r="M37" i="11"/>
  <c r="C37" i="11"/>
  <c r="X37" i="11"/>
  <c r="K37" i="11"/>
  <c r="AB23" i="11"/>
  <c r="AB36" i="11" s="1"/>
  <c r="AD36" i="11" s="1"/>
  <c r="D36" i="11"/>
  <c r="D37" i="11" s="1"/>
  <c r="T37" i="11"/>
  <c r="AL22" i="11" s="1"/>
  <c r="AB6" i="11"/>
  <c r="AB19" i="11" s="1"/>
  <c r="U36" i="11"/>
  <c r="U37" i="11" s="1"/>
  <c r="AL21" i="11" s="1"/>
  <c r="H37" i="11"/>
  <c r="AC19" i="11"/>
  <c r="F36" i="11"/>
  <c r="F37" i="11" s="1"/>
  <c r="N37" i="11"/>
  <c r="AB28" i="11"/>
  <c r="K36" i="11"/>
  <c r="AB8" i="11"/>
  <c r="AG15" i="8"/>
  <c r="AL20" i="10"/>
  <c r="AL19" i="10"/>
  <c r="AL18" i="10"/>
  <c r="AL16" i="10"/>
  <c r="AL14" i="10"/>
  <c r="AL15" i="10"/>
  <c r="U35" i="10"/>
  <c r="I35" i="10"/>
  <c r="X35" i="10"/>
  <c r="Z35" i="10"/>
  <c r="N35" i="10"/>
  <c r="W34" i="10"/>
  <c r="J34" i="10"/>
  <c r="H34" i="10"/>
  <c r="R34" i="10"/>
  <c r="X34" i="10"/>
  <c r="I34" i="10"/>
  <c r="Z34" i="10"/>
  <c r="R33" i="10"/>
  <c r="AB33" i="10" s="1"/>
  <c r="I33" i="10"/>
  <c r="U33" i="10"/>
  <c r="N33" i="10"/>
  <c r="AB32" i="10"/>
  <c r="AB34" i="10"/>
  <c r="AB35" i="10"/>
  <c r="AB31" i="10"/>
  <c r="Z32" i="10"/>
  <c r="W32" i="10"/>
  <c r="J32" i="10"/>
  <c r="I32" i="10"/>
  <c r="O32" i="10"/>
  <c r="K32" i="10"/>
  <c r="K36" i="10" s="1"/>
  <c r="K37" i="10" s="1"/>
  <c r="AL17" i="10" s="1"/>
  <c r="U32" i="10"/>
  <c r="U36" i="10" s="1"/>
  <c r="U37" i="10" s="1"/>
  <c r="F31" i="10"/>
  <c r="F36" i="10" s="1"/>
  <c r="F37" i="10" s="1"/>
  <c r="T31" i="10"/>
  <c r="P31" i="10"/>
  <c r="W31" i="10"/>
  <c r="V31" i="10"/>
  <c r="J30" i="10"/>
  <c r="V30" i="10"/>
  <c r="F30" i="10"/>
  <c r="N30" i="10"/>
  <c r="V29" i="10"/>
  <c r="W29" i="10"/>
  <c r="AB29" i="10" s="1"/>
  <c r="C28" i="10"/>
  <c r="AB28" i="10" s="1"/>
  <c r="C27" i="10"/>
  <c r="E27" i="10"/>
  <c r="T27" i="10"/>
  <c r="T36" i="10" s="1"/>
  <c r="T37" i="10" s="1"/>
  <c r="AL21" i="10" s="1"/>
  <c r="W27" i="10"/>
  <c r="M27" i="10"/>
  <c r="M36" i="10" s="1"/>
  <c r="M37" i="10" s="1"/>
  <c r="D26" i="10"/>
  <c r="R26" i="10"/>
  <c r="N26" i="10"/>
  <c r="J26" i="10"/>
  <c r="V26" i="10"/>
  <c r="K26" i="10"/>
  <c r="F26" i="10"/>
  <c r="F25" i="10"/>
  <c r="U25" i="10"/>
  <c r="AA24" i="10"/>
  <c r="U24" i="10"/>
  <c r="M24" i="10"/>
  <c r="X24" i="10"/>
  <c r="V24" i="10"/>
  <c r="V36" i="10" s="1"/>
  <c r="V37" i="10" s="1"/>
  <c r="F24" i="10"/>
  <c r="J24" i="10"/>
  <c r="I23" i="10"/>
  <c r="AC23" i="10"/>
  <c r="J22" i="10"/>
  <c r="V22" i="10"/>
  <c r="K22" i="10"/>
  <c r="G22" i="10"/>
  <c r="I21" i="10"/>
  <c r="W20" i="10"/>
  <c r="M20" i="10"/>
  <c r="I20" i="10"/>
  <c r="Y37" i="10"/>
  <c r="Q37" i="10"/>
  <c r="P37" i="10"/>
  <c r="L37" i="10"/>
  <c r="H37" i="10"/>
  <c r="G37" i="10"/>
  <c r="AC36" i="10"/>
  <c r="AC37" i="10" s="1"/>
  <c r="AA36" i="10"/>
  <c r="AA37" i="10" s="1"/>
  <c r="Z36" i="10"/>
  <c r="Z37" i="10" s="1"/>
  <c r="Y36" i="10"/>
  <c r="X36" i="10"/>
  <c r="X37" i="10" s="1"/>
  <c r="W36" i="10"/>
  <c r="W37" i="10" s="1"/>
  <c r="S36" i="10"/>
  <c r="Q36" i="10"/>
  <c r="P36" i="10"/>
  <c r="O36" i="10"/>
  <c r="O37" i="10" s="1"/>
  <c r="N36" i="10"/>
  <c r="N37" i="10" s="1"/>
  <c r="L36" i="10"/>
  <c r="H36" i="10"/>
  <c r="G36" i="10"/>
  <c r="E36" i="10"/>
  <c r="E37" i="10" s="1"/>
  <c r="D36" i="10"/>
  <c r="D37" i="10" s="1"/>
  <c r="AB30" i="10"/>
  <c r="AB27" i="10"/>
  <c r="AB26" i="10"/>
  <c r="AB25" i="10"/>
  <c r="AB23" i="10"/>
  <c r="AB22" i="10"/>
  <c r="AB21" i="10"/>
  <c r="AB20" i="10"/>
  <c r="F20" i="10"/>
  <c r="AB19" i="10"/>
  <c r="X19" i="10"/>
  <c r="U19" i="10"/>
  <c r="I19" i="10"/>
  <c r="AD18" i="10"/>
  <c r="AC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AB17" i="10"/>
  <c r="W17" i="10"/>
  <c r="Q17" i="10"/>
  <c r="N17" i="10"/>
  <c r="M17" i="10"/>
  <c r="H17" i="10"/>
  <c r="AB16" i="10"/>
  <c r="W16" i="10"/>
  <c r="V16" i="10"/>
  <c r="N16" i="10"/>
  <c r="AB15" i="10"/>
  <c r="W15" i="10"/>
  <c r="V15" i="10"/>
  <c r="U15" i="10"/>
  <c r="J15" i="10"/>
  <c r="I15" i="10"/>
  <c r="AB14" i="10"/>
  <c r="V14" i="10"/>
  <c r="G14" i="10"/>
  <c r="F14" i="10"/>
  <c r="AB13" i="10"/>
  <c r="W13" i="10"/>
  <c r="U13" i="10"/>
  <c r="R13" i="10"/>
  <c r="J13" i="10"/>
  <c r="F13" i="10"/>
  <c r="AB12" i="10"/>
  <c r="X12" i="10"/>
  <c r="U12" i="10"/>
  <c r="T12" i="10"/>
  <c r="Q12" i="10"/>
  <c r="J12" i="10"/>
  <c r="AB11" i="10"/>
  <c r="K11" i="10"/>
  <c r="AB10" i="10"/>
  <c r="F10" i="10"/>
  <c r="AB9" i="10"/>
  <c r="W9" i="10"/>
  <c r="G9" i="10"/>
  <c r="AB8" i="10"/>
  <c r="W8" i="10"/>
  <c r="O8" i="10"/>
  <c r="M8" i="10"/>
  <c r="K8" i="10"/>
  <c r="F8" i="10"/>
  <c r="D8" i="10"/>
  <c r="AB7" i="10"/>
  <c r="Y7" i="10"/>
  <c r="W7" i="10"/>
  <c r="K7" i="10"/>
  <c r="D7" i="10"/>
  <c r="AB6" i="10"/>
  <c r="W6" i="10"/>
  <c r="T6" i="10"/>
  <c r="I6" i="10"/>
  <c r="AB5" i="10"/>
  <c r="X5" i="10"/>
  <c r="U5" i="10"/>
  <c r="M5" i="10"/>
  <c r="H5" i="10"/>
  <c r="AC4" i="10"/>
  <c r="AB4" i="10"/>
  <c r="Z4" i="10"/>
  <c r="AD36" i="9"/>
  <c r="AC36" i="9"/>
  <c r="AB36" i="9"/>
  <c r="AA36" i="9"/>
  <c r="Z36" i="9"/>
  <c r="Y36" i="9"/>
  <c r="X36" i="9"/>
  <c r="W36" i="9"/>
  <c r="V36" i="9"/>
  <c r="U36" i="9"/>
  <c r="T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AB34" i="9"/>
  <c r="W34" i="9"/>
  <c r="AB33" i="9"/>
  <c r="V33" i="9"/>
  <c r="AB32" i="9"/>
  <c r="W32" i="9"/>
  <c r="K32" i="9"/>
  <c r="AB31" i="9"/>
  <c r="K31" i="9"/>
  <c r="AB30" i="9"/>
  <c r="V30" i="9"/>
  <c r="N30" i="9"/>
  <c r="J30" i="9"/>
  <c r="AB29" i="9"/>
  <c r="Z29" i="9"/>
  <c r="J29" i="9"/>
  <c r="D29" i="9"/>
  <c r="C29" i="9"/>
  <c r="AB28" i="9"/>
  <c r="W28" i="9"/>
  <c r="AB27" i="9"/>
  <c r="K27" i="9"/>
  <c r="AB26" i="9"/>
  <c r="W26" i="9"/>
  <c r="N26" i="9"/>
  <c r="AB25" i="9"/>
  <c r="K25" i="9"/>
  <c r="AB24" i="9"/>
  <c r="K24" i="9"/>
  <c r="D24" i="9"/>
  <c r="AL23" i="9"/>
  <c r="AB23" i="9"/>
  <c r="W23" i="9"/>
  <c r="V23" i="9"/>
  <c r="R23" i="9"/>
  <c r="J23" i="9"/>
  <c r="AL22" i="9"/>
  <c r="AB22" i="9"/>
  <c r="AL21" i="9"/>
  <c r="AB21" i="9"/>
  <c r="I21" i="9"/>
  <c r="D21" i="9"/>
  <c r="AL20" i="9"/>
  <c r="AB20" i="9"/>
  <c r="W20" i="9"/>
  <c r="K20" i="9"/>
  <c r="D20" i="9"/>
  <c r="C20" i="9"/>
  <c r="AL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L18" i="9"/>
  <c r="AB18" i="9"/>
  <c r="X18" i="9"/>
  <c r="U18" i="9"/>
  <c r="AL17" i="9"/>
  <c r="AB17" i="9"/>
  <c r="AL16" i="9"/>
  <c r="AB16" i="9"/>
  <c r="N16" i="9"/>
  <c r="G16" i="9"/>
  <c r="AL15" i="9"/>
  <c r="AB15" i="9"/>
  <c r="Z15" i="9"/>
  <c r="W15" i="9"/>
  <c r="J15" i="9"/>
  <c r="AL14" i="9"/>
  <c r="AB14" i="9"/>
  <c r="W14" i="9"/>
  <c r="AB13" i="9"/>
  <c r="W13" i="9"/>
  <c r="I13" i="9"/>
  <c r="AB12" i="9"/>
  <c r="W12" i="9"/>
  <c r="U12" i="9"/>
  <c r="AB11" i="9"/>
  <c r="F11" i="9"/>
  <c r="AB10" i="9"/>
  <c r="U10" i="9"/>
  <c r="AB9" i="9"/>
  <c r="N9" i="9"/>
  <c r="AB8" i="9"/>
  <c r="W8" i="9"/>
  <c r="AB7" i="9"/>
  <c r="Z7" i="9"/>
  <c r="I7" i="9"/>
  <c r="AB6" i="9"/>
  <c r="AB5" i="9"/>
  <c r="L5" i="9"/>
  <c r="AC4" i="9"/>
  <c r="AB4" i="9"/>
  <c r="I4" i="9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W36" i="8"/>
  <c r="W35" i="8"/>
  <c r="F35" i="8"/>
  <c r="W34" i="8"/>
  <c r="W33" i="8"/>
  <c r="W32" i="8"/>
  <c r="W31" i="8"/>
  <c r="W30" i="8"/>
  <c r="Q30" i="8"/>
  <c r="W29" i="8"/>
  <c r="W28" i="8"/>
  <c r="T28" i="8"/>
  <c r="W27" i="8"/>
  <c r="W26" i="8"/>
  <c r="W25" i="8"/>
  <c r="D25" i="8"/>
  <c r="W24" i="8"/>
  <c r="O24" i="8"/>
  <c r="W23" i="8"/>
  <c r="W22" i="8"/>
  <c r="C22" i="8"/>
  <c r="W21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W19" i="8"/>
  <c r="V19" i="8"/>
  <c r="W18" i="8"/>
  <c r="W17" i="8"/>
  <c r="U17" i="8"/>
  <c r="O17" i="8"/>
  <c r="C17" i="8"/>
  <c r="W16" i="8"/>
  <c r="W15" i="8"/>
  <c r="Q15" i="8"/>
  <c r="AG14" i="8"/>
  <c r="W14" i="8"/>
  <c r="C14" i="8"/>
  <c r="AG13" i="8"/>
  <c r="W13" i="8"/>
  <c r="AG12" i="8"/>
  <c r="W12" i="8"/>
  <c r="AG11" i="8"/>
  <c r="W11" i="8"/>
  <c r="C11" i="8"/>
  <c r="W10" i="8"/>
  <c r="O10" i="8"/>
  <c r="W9" i="8"/>
  <c r="W8" i="8"/>
  <c r="Q8" i="8"/>
  <c r="W7" i="8"/>
  <c r="C7" i="8"/>
  <c r="W6" i="8"/>
  <c r="W5" i="8"/>
  <c r="C5" i="8"/>
  <c r="W4" i="8"/>
  <c r="O4" i="8"/>
  <c r="H4" i="8"/>
  <c r="D4" i="8"/>
  <c r="Y3" i="8"/>
  <c r="W3" i="8"/>
  <c r="Q3" i="8"/>
  <c r="L3" i="8"/>
  <c r="C3" i="8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W34" i="7"/>
  <c r="W33" i="7"/>
  <c r="W32" i="7"/>
  <c r="W31" i="7"/>
  <c r="W30" i="7"/>
  <c r="W29" i="7"/>
  <c r="W28" i="7"/>
  <c r="W27" i="7"/>
  <c r="W26" i="7"/>
  <c r="W25" i="7"/>
  <c r="W24" i="7"/>
  <c r="W23" i="7"/>
  <c r="W22" i="7"/>
  <c r="W21" i="7"/>
  <c r="W20" i="7"/>
  <c r="W19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W17" i="7"/>
  <c r="P17" i="7"/>
  <c r="W16" i="7"/>
  <c r="W15" i="7"/>
  <c r="W14" i="7"/>
  <c r="W13" i="7"/>
  <c r="W12" i="7"/>
  <c r="W11" i="7"/>
  <c r="C11" i="7"/>
  <c r="W10" i="7"/>
  <c r="W9" i="7"/>
  <c r="O9" i="7"/>
  <c r="W8" i="7"/>
  <c r="N8" i="7"/>
  <c r="F8" i="7"/>
  <c r="W7" i="7"/>
  <c r="P7" i="7"/>
  <c r="W6" i="7"/>
  <c r="F6" i="7"/>
  <c r="C6" i="7"/>
  <c r="W5" i="7"/>
  <c r="C5" i="7"/>
  <c r="W4" i="7"/>
  <c r="D4" i="7"/>
  <c r="X3" i="7"/>
  <c r="W3" i="7"/>
  <c r="V3" i="7"/>
  <c r="S3" i="7"/>
  <c r="H3" i="7"/>
  <c r="C3" i="7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W34" i="6"/>
  <c r="W33" i="6"/>
  <c r="W32" i="6"/>
  <c r="W31" i="6"/>
  <c r="S31" i="6"/>
  <c r="N31" i="6"/>
  <c r="W30" i="6"/>
  <c r="C30" i="6"/>
  <c r="W29" i="6"/>
  <c r="C29" i="6"/>
  <c r="W28" i="6"/>
  <c r="V28" i="6"/>
  <c r="L28" i="6"/>
  <c r="H28" i="6"/>
  <c r="W27" i="6"/>
  <c r="S27" i="6"/>
  <c r="O27" i="6"/>
  <c r="W26" i="6"/>
  <c r="W25" i="6"/>
  <c r="V25" i="6"/>
  <c r="O25" i="6"/>
  <c r="C25" i="6"/>
  <c r="W24" i="6"/>
  <c r="O24" i="6"/>
  <c r="C24" i="6"/>
  <c r="W23" i="6"/>
  <c r="C23" i="6"/>
  <c r="W22" i="6"/>
  <c r="W21" i="6"/>
  <c r="I21" i="6"/>
  <c r="H21" i="6"/>
  <c r="W20" i="6"/>
  <c r="O20" i="6"/>
  <c r="D20" i="6"/>
  <c r="W19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W17" i="6"/>
  <c r="W16" i="6"/>
  <c r="W15" i="6"/>
  <c r="W14" i="6"/>
  <c r="C14" i="6"/>
  <c r="W13" i="6"/>
  <c r="W12" i="6"/>
  <c r="W11" i="6"/>
  <c r="H11" i="6"/>
  <c r="W10" i="6"/>
  <c r="Q10" i="6"/>
  <c r="W9" i="6"/>
  <c r="T9" i="6"/>
  <c r="D9" i="6"/>
  <c r="C9" i="6"/>
  <c r="W8" i="6"/>
  <c r="W7" i="6"/>
  <c r="W6" i="6"/>
  <c r="O6" i="6"/>
  <c r="W5" i="6"/>
  <c r="F5" i="6"/>
  <c r="C5" i="6"/>
  <c r="W4" i="6"/>
  <c r="O4" i="6"/>
  <c r="H4" i="6"/>
  <c r="W3" i="6"/>
  <c r="S3" i="6"/>
  <c r="P3" i="6"/>
  <c r="D3" i="6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W35" i="4"/>
  <c r="C35" i="4"/>
  <c r="W34" i="4"/>
  <c r="W33" i="4"/>
  <c r="C33" i="4"/>
  <c r="W32" i="4"/>
  <c r="C32" i="4"/>
  <c r="W31" i="4"/>
  <c r="H31" i="4"/>
  <c r="C31" i="4"/>
  <c r="W30" i="4"/>
  <c r="W29" i="4"/>
  <c r="O29" i="4"/>
  <c r="W28" i="4"/>
  <c r="O28" i="4"/>
  <c r="W27" i="4"/>
  <c r="W26" i="4"/>
  <c r="W25" i="4"/>
  <c r="W24" i="4"/>
  <c r="W23" i="4"/>
  <c r="W22" i="4"/>
  <c r="W21" i="4"/>
  <c r="S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W19" i="4"/>
  <c r="W18" i="4"/>
  <c r="C18" i="4"/>
  <c r="W17" i="4"/>
  <c r="W16" i="4"/>
  <c r="C16" i="4"/>
  <c r="W15" i="4"/>
  <c r="W14" i="4"/>
  <c r="W13" i="4"/>
  <c r="W12" i="4"/>
  <c r="C12" i="4"/>
  <c r="W11" i="4"/>
  <c r="O11" i="4"/>
  <c r="N11" i="4"/>
  <c r="C11" i="4"/>
  <c r="W10" i="4"/>
  <c r="W9" i="4"/>
  <c r="W8" i="4"/>
  <c r="W7" i="4"/>
  <c r="P7" i="4"/>
  <c r="W6" i="4"/>
  <c r="P6" i="4"/>
  <c r="W5" i="4"/>
  <c r="C5" i="4"/>
  <c r="W4" i="4"/>
  <c r="V4" i="4"/>
  <c r="H4" i="4"/>
  <c r="C4" i="4"/>
  <c r="W3" i="4"/>
  <c r="S3" i="4"/>
  <c r="Q3" i="4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V31" i="1"/>
  <c r="V30" i="1"/>
  <c r="V29" i="1"/>
  <c r="V28" i="1"/>
  <c r="F28" i="1"/>
  <c r="V27" i="1"/>
  <c r="N27" i="1"/>
  <c r="C27" i="1"/>
  <c r="V26" i="1"/>
  <c r="V25" i="1"/>
  <c r="N25" i="1"/>
  <c r="V24" i="1"/>
  <c r="V23" i="1"/>
  <c r="N23" i="1"/>
  <c r="F23" i="1"/>
  <c r="C23" i="1"/>
  <c r="V22" i="1"/>
  <c r="V21" i="1"/>
  <c r="V20" i="1"/>
  <c r="C20" i="1"/>
  <c r="V19" i="1"/>
  <c r="R19" i="1"/>
  <c r="C19" i="1"/>
  <c r="V18" i="1"/>
  <c r="C18" i="1"/>
  <c r="V17" i="1"/>
  <c r="N17" i="1"/>
  <c r="V16" i="1"/>
  <c r="F16" i="1"/>
  <c r="V15" i="1"/>
  <c r="V14" i="1"/>
  <c r="F14" i="1"/>
  <c r="V13" i="1"/>
  <c r="C13" i="1"/>
  <c r="V12" i="1"/>
  <c r="V11" i="1"/>
  <c r="N11" i="1"/>
  <c r="F11" i="1"/>
  <c r="V10" i="1"/>
  <c r="S10" i="1"/>
  <c r="G10" i="1"/>
  <c r="F10" i="1"/>
  <c r="V9" i="1"/>
  <c r="F9" i="1"/>
  <c r="V8" i="1"/>
  <c r="V7" i="1"/>
  <c r="V6" i="1"/>
  <c r="C6" i="1"/>
  <c r="V5" i="1"/>
  <c r="R5" i="1"/>
  <c r="G5" i="1"/>
  <c r="V4" i="1"/>
  <c r="S4" i="1"/>
  <c r="N4" i="1"/>
  <c r="V3" i="1"/>
  <c r="C3" i="1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X30" i="3"/>
  <c r="V30" i="3"/>
  <c r="V29" i="3"/>
  <c r="V28" i="3"/>
  <c r="F28" i="3"/>
  <c r="V27" i="3"/>
  <c r="S27" i="3"/>
  <c r="V26" i="3"/>
  <c r="N26" i="3"/>
  <c r="L26" i="3"/>
  <c r="V25" i="3"/>
  <c r="U25" i="3"/>
  <c r="N25" i="3"/>
  <c r="V24" i="3"/>
  <c r="N24" i="3"/>
  <c r="V23" i="3"/>
  <c r="S23" i="3"/>
  <c r="N23" i="3"/>
  <c r="F23" i="3"/>
  <c r="V22" i="3"/>
  <c r="V21" i="3"/>
  <c r="V20" i="3"/>
  <c r="C20" i="3"/>
  <c r="V19" i="3"/>
  <c r="G19" i="3"/>
  <c r="W18" i="3"/>
  <c r="V18" i="3"/>
  <c r="N18" i="3"/>
  <c r="X17" i="3"/>
  <c r="V17" i="3"/>
  <c r="V16" i="3"/>
  <c r="V15" i="3"/>
  <c r="V14" i="3"/>
  <c r="V13" i="3"/>
  <c r="C13" i="3"/>
  <c r="V12" i="3"/>
  <c r="P12" i="3"/>
  <c r="N12" i="3"/>
  <c r="D12" i="3"/>
  <c r="C12" i="3"/>
  <c r="V11" i="3"/>
  <c r="P11" i="3"/>
  <c r="G11" i="3"/>
  <c r="C11" i="3"/>
  <c r="V10" i="3"/>
  <c r="V9" i="3"/>
  <c r="V8" i="3"/>
  <c r="V7" i="3"/>
  <c r="V6" i="3"/>
  <c r="N6" i="3"/>
  <c r="V5" i="3"/>
  <c r="N5" i="3"/>
  <c r="V4" i="3"/>
  <c r="N4" i="3"/>
  <c r="V3" i="3"/>
  <c r="C3" i="3"/>
  <c r="H16" i="5"/>
  <c r="H15" i="5"/>
  <c r="H14" i="5"/>
  <c r="H13" i="5"/>
  <c r="H12" i="5"/>
  <c r="G12" i="5"/>
  <c r="F12" i="5"/>
  <c r="E12" i="5"/>
  <c r="D12" i="5"/>
  <c r="H11" i="5"/>
  <c r="G11" i="5"/>
  <c r="F11" i="5"/>
  <c r="E11" i="5"/>
  <c r="D11" i="5"/>
  <c r="H10" i="5"/>
  <c r="G10" i="5"/>
  <c r="F10" i="5"/>
  <c r="E10" i="5"/>
  <c r="D10" i="5"/>
  <c r="H9" i="5"/>
  <c r="G9" i="5"/>
  <c r="F9" i="5"/>
  <c r="E9" i="5"/>
  <c r="D9" i="5"/>
  <c r="H8" i="5"/>
  <c r="H7" i="5"/>
  <c r="H6" i="5"/>
  <c r="AL19" i="11" l="1"/>
  <c r="AB37" i="11"/>
  <c r="AL17" i="11"/>
  <c r="AC37" i="11"/>
  <c r="AD19" i="11"/>
  <c r="AD37" i="11" s="1"/>
  <c r="R36" i="10"/>
  <c r="R37" i="10" s="1"/>
  <c r="J36" i="10"/>
  <c r="J37" i="10" s="1"/>
  <c r="I36" i="10"/>
  <c r="I37" i="10" s="1"/>
  <c r="C36" i="10"/>
  <c r="C37" i="10" s="1"/>
  <c r="AB24" i="10"/>
  <c r="AB37" i="10" l="1"/>
  <c r="AD36" i="10"/>
  <c r="AD37" i="10" s="1"/>
</calcChain>
</file>

<file path=xl/comments1.xml><?xml version="1.0" encoding="utf-8"?>
<comments xmlns="http://schemas.openxmlformats.org/spreadsheetml/2006/main">
  <authors>
    <author>Автор</author>
  </authors>
  <commentList>
    <comment ref="S3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Долг маме
</t>
        </r>
      </text>
    </comment>
    <comment ref="P11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К 14 февраля
</t>
        </r>
      </text>
    </comment>
    <comment ref="R16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Яндекс Плюс
</t>
        </r>
      </text>
    </comment>
    <comment ref="P20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Дубликат ключей</t>
        </r>
      </text>
    </comment>
    <comment ref="P24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Левомеколь</t>
        </r>
      </text>
    </comment>
    <comment ref="H25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Вино
</t>
        </r>
      </text>
    </comment>
    <comment ref="J25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Газпром</t>
        </r>
      </text>
    </comment>
    <comment ref="J26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Росатом Энергосбыт</t>
        </r>
      </text>
    </comment>
    <comment ref="L26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Галстук + Брюки</t>
        </r>
      </text>
    </comment>
    <comment ref="P26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Торт Мишутка</t>
        </r>
      </text>
    </comment>
    <comment ref="J27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УК Эталон</t>
        </r>
      </text>
    </comment>
  </commentList>
</comments>
</file>

<file path=xl/comments2.xml><?xml version="1.0" encoding="utf-8"?>
<comments xmlns="http://schemas.openxmlformats.org/spreadsheetml/2006/main">
  <authors>
    <author>Автор</author>
  </authors>
  <commentList>
    <comment ref="R3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На ВПН</t>
        </r>
      </text>
    </comment>
    <comment ref="F4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Лапшичка</t>
        </r>
      </text>
    </comment>
    <comment ref="R4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Вк музыка
</t>
        </r>
      </text>
    </comment>
    <comment ref="S4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Покупки на работе, связанные с 8 марта</t>
        </r>
      </text>
    </comment>
    <comment ref="T4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Подарок маме на 8 марта</t>
        </r>
      </text>
    </comment>
    <comment ref="G5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Брекфаст бенд</t>
        </r>
      </text>
    </comment>
    <comment ref="P5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Подарок на 8 марта</t>
        </r>
      </text>
    </comment>
    <comment ref="P6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Цветы на 8 марта
</t>
        </r>
      </text>
    </comment>
    <comment ref="S10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Лампочки в ванную</t>
        </r>
      </text>
    </comment>
    <comment ref="A11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 этот день по сути деньги закончились</t>
        </r>
      </text>
    </comment>
    <comment ref="R18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Яндекс Плюс
</t>
        </r>
      </text>
    </comment>
    <comment ref="S18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Влажные салфетки</t>
        </r>
      </text>
    </comment>
    <comment ref="R19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Интернет
</t>
        </r>
      </text>
    </comment>
    <comment ref="S19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Постельное белье</t>
        </r>
      </text>
    </comment>
    <comment ref="S20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Подарки Климу и Адольфу на др</t>
        </r>
      </text>
    </comment>
    <comment ref="T20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Наташе на ДР</t>
        </r>
      </text>
    </comment>
    <comment ref="S22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Подарочные пакеты</t>
        </r>
      </text>
    </comment>
    <comment ref="S26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Аптека</t>
        </r>
      </text>
    </comment>
  </commentList>
</comments>
</file>

<file path=xl/comments3.xml><?xml version="1.0" encoding="utf-8"?>
<comments xmlns="http://schemas.openxmlformats.org/spreadsheetml/2006/main">
  <authors>
    <author>Автор</author>
  </authors>
  <commentList>
    <comment ref="Q3" authorId="0" shapeId="0">
      <text>
        <r>
          <rPr>
            <b/>
            <sz val="9"/>
            <rFont val="Tahoma"/>
            <charset val="204"/>
          </rPr>
          <t>Автор
Пальто + Цветы</t>
        </r>
      </text>
    </comment>
    <comment ref="S3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Белье + сотовая связь + яндекс плюс
</t>
        </r>
      </text>
    </comment>
    <comment ref="T3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Долг маме + штрафы за парковку
</t>
        </r>
      </text>
    </comment>
    <comment ref="U3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Проиграл маме в теннис</t>
        </r>
      </text>
    </comment>
    <comment ref="H4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Брекфаст бенд и макдак</t>
        </r>
      </text>
    </comment>
    <comment ref="K4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за УК Эталон</t>
        </r>
      </text>
    </comment>
    <comment ref="N4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Уролог</t>
        </r>
      </text>
    </comment>
    <comment ref="Q4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Сдек за пальто
</t>
        </r>
      </text>
    </comment>
    <comment ref="S4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На сотовую связь
</t>
        </r>
      </text>
    </comment>
    <comment ref="U4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Плата за 2sub на 3 месяца
</t>
        </r>
      </text>
    </comment>
    <comment ref="V4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Поход в кино</t>
        </r>
      </text>
    </comment>
    <comment ref="I5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Вино
</t>
        </r>
      </text>
    </comment>
    <comment ref="S5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вк музыка</t>
        </r>
      </text>
    </comment>
    <comment ref="K6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Вода и мусор
</t>
        </r>
      </text>
    </comment>
    <comment ref="S6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ВПН
</t>
        </r>
      </text>
    </comment>
    <comment ref="H8" authorId="0" shapeId="0">
      <text>
        <r>
          <rPr>
            <b/>
            <sz val="9"/>
            <rFont val="Tahoma"/>
            <charset val="204"/>
          </rPr>
          <t xml:space="preserve">круасан в пекарне
</t>
        </r>
      </text>
    </comment>
    <comment ref="E10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Додо пицца
</t>
        </r>
      </text>
    </comment>
    <comment ref="X11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Мама дала в долг
</t>
        </r>
      </text>
    </comment>
    <comment ref="X12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Подарок от мамы</t>
        </r>
      </text>
    </comment>
    <comment ref="H14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КФЦ
</t>
        </r>
      </text>
    </comment>
    <comment ref="H15" authorId="0" shapeId="0">
      <text>
        <r>
          <rPr>
            <b/>
            <sz val="9"/>
            <rFont val="Tahoma"/>
            <charset val="204"/>
          </rPr>
          <t xml:space="preserve">ВАФЕЛ
</t>
        </r>
      </text>
    </comment>
    <comment ref="T15" authorId="0" shapeId="0">
      <text>
        <r>
          <rPr>
            <sz val="9"/>
            <rFont val="Tahoma"/>
            <charset val="204"/>
          </rPr>
          <t xml:space="preserve">Гель для душа и журнал
</t>
        </r>
      </text>
    </comment>
    <comment ref="E17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Додо пицца</t>
        </r>
      </text>
    </comment>
    <comment ref="Q17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На роллы</t>
        </r>
      </text>
    </comment>
    <comment ref="S19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Интернет</t>
        </r>
      </text>
    </comment>
    <comment ref="S21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Белье + сотовая связь
</t>
        </r>
      </text>
    </comment>
    <comment ref="T21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Книга про стиль</t>
        </r>
      </text>
    </comment>
    <comment ref="F22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Промясо</t>
        </r>
      </text>
    </comment>
    <comment ref="H22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КФЦ</t>
        </r>
      </text>
    </comment>
    <comment ref="T22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Журналы Чтиво и Книга про вино</t>
        </r>
      </text>
    </comment>
    <comment ref="E24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Поке
</t>
        </r>
      </text>
    </comment>
    <comment ref="F25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Поке
</t>
        </r>
      </text>
    </comment>
    <comment ref="E27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До-до пицца
</t>
        </r>
      </text>
    </comment>
    <comment ref="H29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Лапшичка</t>
        </r>
      </text>
    </comment>
    <comment ref="S29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Яндекс Плюс</t>
        </r>
      </text>
    </comment>
    <comment ref="F30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КФЦ</t>
        </r>
      </text>
    </comment>
    <comment ref="X30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 долг у бати</t>
        </r>
      </text>
    </comment>
    <comment ref="H31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Брэкфаст бенд</t>
        </r>
      </text>
    </comment>
    <comment ref="S33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Яндекс Плюс</t>
        </r>
      </text>
    </comment>
    <comment ref="X35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 долг у мамы</t>
        </r>
      </text>
    </comment>
  </commentList>
</comments>
</file>

<file path=xl/comments4.xml><?xml version="1.0" encoding="utf-8"?>
<comments xmlns="http://schemas.openxmlformats.org/spreadsheetml/2006/main">
  <authors>
    <author>Автор</author>
  </authors>
  <commentList>
    <comment ref="S3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Вк музыка, белье, сотовая связь</t>
        </r>
      </text>
    </comment>
    <comment ref="T3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Долг маме
</t>
        </r>
      </text>
    </comment>
    <comment ref="H4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Поход в гиннес на обед</t>
        </r>
      </text>
    </comment>
    <comment ref="F5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КФЦ</t>
        </r>
      </text>
    </comment>
    <comment ref="S5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ВПН</t>
        </r>
      </text>
    </comment>
    <comment ref="H6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Друзья</t>
        </r>
      </text>
    </comment>
    <comment ref="K7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Вода, мусор</t>
        </r>
      </text>
    </comment>
    <comment ref="X7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Мама перевела якобы за впн, кинопоиск и бензин</t>
        </r>
      </text>
    </comment>
    <comment ref="K8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УК Эталон</t>
        </r>
      </text>
    </comment>
    <comment ref="K9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Электроэнергия</t>
        </r>
      </text>
    </comment>
    <comment ref="F10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Про мясо
</t>
        </r>
      </text>
    </comment>
    <comment ref="H11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Чикен хаус</t>
        </r>
      </text>
    </comment>
    <comment ref="H13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Макдоналдс
</t>
        </r>
      </text>
    </comment>
    <comment ref="Q19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Сиги</t>
        </r>
      </text>
    </comment>
    <comment ref="S19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Интернет</t>
        </r>
      </text>
    </comment>
    <comment ref="T20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журнал Чтиво
</t>
        </r>
      </text>
    </comment>
    <comment ref="H21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Макдоналдс + Мяуча</t>
        </r>
      </text>
    </comment>
    <comment ref="T21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журнал ЧТИВО
</t>
        </r>
      </text>
    </comment>
    <comment ref="X21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На бенз</t>
        </r>
      </text>
    </comment>
    <comment ref="J24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Рыбалка</t>
        </r>
      </text>
    </comment>
    <comment ref="S24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Теле 2</t>
        </r>
      </text>
    </comment>
    <comment ref="V25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Журнальчики</t>
        </r>
      </text>
    </comment>
    <comment ref="H27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КФЦ</t>
        </r>
      </text>
    </comment>
    <comment ref="S27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Яндекс Плюс</t>
        </r>
      </text>
    </comment>
    <comment ref="H28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КФЦ</t>
        </r>
      </text>
    </comment>
    <comment ref="V28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Поход в кино
</t>
        </r>
      </text>
    </comment>
    <comment ref="X28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Мама дала в долг</t>
        </r>
      </text>
    </comment>
    <comment ref="E29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Додо пицца</t>
        </r>
      </text>
    </comment>
    <comment ref="X29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Мама дала в долг</t>
        </r>
      </text>
    </comment>
    <comment ref="S31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Яндекс Плюс + доля за орнамент</t>
        </r>
      </text>
    </comment>
    <comment ref="S33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Яндекс Плюс</t>
        </r>
      </text>
    </comment>
    <comment ref="X34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Мама перевела на бензин, впн, кинопоиск
</t>
        </r>
      </text>
    </comment>
  </commentList>
</comments>
</file>

<file path=xl/comments5.xml><?xml version="1.0" encoding="utf-8"?>
<comments xmlns="http://schemas.openxmlformats.org/spreadsheetml/2006/main">
  <authors>
    <author>Автор</author>
  </authors>
  <commentList>
    <comment ref="F3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КФЦ</t>
        </r>
      </text>
    </comment>
    <comment ref="H3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БК</t>
        </r>
      </text>
    </comment>
    <comment ref="S3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ВК музыка</t>
        </r>
      </text>
    </comment>
    <comment ref="T3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Чурсанову на шары на др</t>
        </r>
      </text>
    </comment>
    <comment ref="V3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Журнал ЧТИВО</t>
        </r>
      </text>
    </comment>
    <comment ref="H4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Бабл ти и поке</t>
        </r>
      </text>
    </comment>
    <comment ref="N4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Поход к Паньшину</t>
        </r>
      </text>
    </comment>
    <comment ref="Q4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Снял в банкомате и отдал Ане</t>
        </r>
      </text>
    </comment>
    <comment ref="S4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Теле2</t>
        </r>
      </text>
    </comment>
    <comment ref="H5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1/2</t>
        </r>
      </text>
    </comment>
    <comment ref="T5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Не помню, что это</t>
        </r>
      </text>
    </comment>
    <comment ref="F6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Бабл ти</t>
        </r>
      </text>
    </comment>
    <comment ref="H6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Вкусно и Точка</t>
        </r>
      </text>
    </comment>
    <comment ref="T6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Не помню на что</t>
        </r>
      </text>
    </comment>
    <comment ref="Q7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Перевод Ане</t>
        </r>
      </text>
    </comment>
    <comment ref="F8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Про мясо и бабл ти</t>
        </r>
      </text>
    </comment>
    <comment ref="Q8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Цветы</t>
        </r>
      </text>
    </comment>
    <comment ref="S8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Доля ми за журнальчик</t>
        </r>
      </text>
    </comment>
    <comment ref="Q9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Перевод Ане</t>
        </r>
      </text>
    </comment>
    <comment ref="X9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Батя дал на таблетки</t>
        </r>
      </text>
    </comment>
    <comment ref="E10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Додо Пицца</t>
        </r>
      </text>
    </comment>
    <comment ref="E11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Хочука</t>
        </r>
      </text>
    </comment>
    <comment ref="I11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Игристое для посиделок с Гогой и Владой</t>
        </r>
      </text>
    </comment>
    <comment ref="Q12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Перевод от Ани
</t>
        </r>
      </text>
    </comment>
    <comment ref="Q13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Перевод от Ани</t>
        </r>
      </text>
    </comment>
    <comment ref="S13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Долямми за журнальчик</t>
        </r>
      </text>
    </comment>
    <comment ref="X14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Мама дала в долг</t>
        </r>
      </text>
    </comment>
    <comment ref="X16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Мама перевела Ане (дала в долг)</t>
        </r>
      </text>
    </comment>
    <comment ref="H17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Макдоналдс
</t>
        </r>
      </text>
    </comment>
    <comment ref="S17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Яндекс Плюс</t>
        </r>
      </text>
    </comment>
    <comment ref="T17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Кофе</t>
        </r>
      </text>
    </comment>
    <comment ref="H19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Макдоналдс</t>
        </r>
      </text>
    </comment>
    <comment ref="N19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Удаление кондиломы</t>
        </r>
      </text>
    </comment>
  </commentList>
</comments>
</file>

<file path=xl/comments6.xml><?xml version="1.0" encoding="utf-8"?>
<comments xmlns="http://schemas.openxmlformats.org/spreadsheetml/2006/main">
  <authors>
    <author>Автор</author>
  </authors>
  <commentList>
    <comment ref="Q3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Компенсация за ВПЧ
</t>
        </r>
      </text>
    </comment>
    <comment ref="S3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Яндекс Плюс</t>
        </r>
      </text>
    </comment>
    <comment ref="H4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Завтрак в 1/2</t>
        </r>
      </text>
    </comment>
    <comment ref="S5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ВК музыка
</t>
        </r>
      </text>
    </comment>
    <comment ref="V6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Покупка ЧТИВО</t>
        </r>
      </text>
    </comment>
    <comment ref="F7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Промясо</t>
        </r>
      </text>
    </comment>
    <comment ref="Q8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Поке + бабл ти
</t>
        </r>
      </text>
    </comment>
    <comment ref="S8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Долями за орнамент
</t>
        </r>
      </text>
    </comment>
    <comment ref="S9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T2</t>
        </r>
      </text>
    </comment>
    <comment ref="E10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Макдоналдс</t>
        </r>
      </text>
    </comment>
    <comment ref="S10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ВПН</t>
        </r>
      </text>
    </comment>
    <comment ref="Q12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Ане на таблетки</t>
        </r>
      </text>
    </comment>
    <comment ref="Q13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Извинительный букет
</t>
        </r>
      </text>
    </comment>
    <comment ref="S13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Долями - за журнальчик орнамент</t>
        </r>
      </text>
    </comment>
    <comment ref="Y14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Премия
</t>
        </r>
      </text>
    </comment>
    <comment ref="Q15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За такси + вино</t>
        </r>
      </text>
    </comment>
    <comment ref="S15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t2</t>
        </r>
      </text>
    </comment>
    <comment ref="E16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Хочука</t>
        </r>
      </text>
    </comment>
    <comment ref="F16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Обед</t>
        </r>
      </text>
    </comment>
    <comment ref="M16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Отказ на ламоде
</t>
        </r>
      </text>
    </comment>
    <comment ref="T16" authorId="0" shapeId="0">
      <text>
        <r>
          <rPr>
            <b/>
            <sz val="9"/>
            <rFont val="Tahoma"/>
            <charset val="204"/>
          </rPr>
          <t>Парикмахерская</t>
        </r>
      </text>
    </comment>
    <comment ref="M17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Рубашка Henderson</t>
        </r>
      </text>
    </comment>
    <comment ref="S17" authorId="0" shapeId="0">
      <text>
        <r>
          <rPr>
            <b/>
            <sz val="9"/>
            <rFont val="Tahoma"/>
            <charset val="1"/>
          </rPr>
          <t>Автор:</t>
        </r>
        <r>
          <rPr>
            <sz val="9"/>
            <rFont val="Tahoma"/>
            <charset val="1"/>
          </rPr>
          <t xml:space="preserve">
Интернет</t>
        </r>
      </text>
    </comment>
    <comment ref="T17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Средства для волос</t>
        </r>
      </text>
    </comment>
    <comment ref="U17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Простава на работе в связи с уходом из отдела</t>
        </r>
      </text>
    </comment>
    <comment ref="Y17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Мама скинула на МСК</t>
        </r>
      </text>
    </comment>
    <comment ref="S18" authorId="0" shapeId="0">
      <text>
        <r>
          <rPr>
            <b/>
            <sz val="9"/>
            <rFont val="Tahoma"/>
            <charset val="1"/>
          </rPr>
          <t>Автор:</t>
        </r>
        <r>
          <rPr>
            <sz val="9"/>
            <rFont val="Tahoma"/>
            <charset val="1"/>
          </rPr>
          <t xml:space="preserve">
Яндекс Плюс</t>
        </r>
      </text>
    </comment>
    <comment ref="U18" authorId="0" shapeId="0">
      <text>
        <r>
          <rPr>
            <b/>
            <sz val="9"/>
            <rFont val="Tahoma"/>
            <charset val="1"/>
          </rPr>
          <t>Автор:</t>
        </r>
        <r>
          <rPr>
            <sz val="9"/>
            <rFont val="Tahoma"/>
            <charset val="1"/>
          </rPr>
          <t xml:space="preserve">
Подарок Кулику</t>
        </r>
      </text>
    </comment>
    <comment ref="E19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Хочука</t>
        </r>
      </text>
    </comment>
    <comment ref="V19" authorId="0" shapeId="0">
      <text>
        <r>
          <rPr>
            <b/>
            <sz val="9"/>
            <rFont val="Tahoma"/>
            <charset val="1"/>
          </rPr>
          <t>Автор:</t>
        </r>
        <r>
          <rPr>
            <sz val="9"/>
            <rFont val="Tahoma"/>
            <charset val="1"/>
          </rPr>
          <t xml:space="preserve">
Поездка в МСК к Кулику на ДР</t>
        </r>
      </text>
    </comment>
    <comment ref="Y19" authorId="0" shapeId="0">
      <text>
        <r>
          <rPr>
            <b/>
            <sz val="9"/>
            <rFont val="Tahoma"/>
            <charset val="204"/>
          </rPr>
          <t>Батя скинул, когда были в МСК</t>
        </r>
      </text>
    </comment>
    <comment ref="F21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БАБЛ ТИ и ПОКЕ</t>
        </r>
      </text>
    </comment>
    <comment ref="T21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КНИГИ
</t>
        </r>
      </text>
    </comment>
    <comment ref="F23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ПОКЕ</t>
        </r>
      </text>
    </comment>
    <comment ref="S23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Долями за орнамент</t>
        </r>
      </text>
    </comment>
    <comment ref="F24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ПОКЕ и БАБЛ ТИ</t>
        </r>
      </text>
    </comment>
    <comment ref="H25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Вкусно и Точка</t>
        </r>
      </text>
    </comment>
    <comment ref="V25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Пейнтбол</t>
        </r>
      </text>
    </comment>
    <comment ref="E27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Хочука</t>
        </r>
      </text>
    </comment>
    <comment ref="V27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Книги по строительству</t>
        </r>
      </text>
    </comment>
    <comment ref="Y27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Подарок от мамы на ДР</t>
        </r>
      </text>
    </comment>
    <comment ref="S28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Яндекс Ппюс</t>
        </r>
      </text>
    </comment>
    <comment ref="T28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Простава на работе</t>
        </r>
      </text>
    </comment>
    <comment ref="Q29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1"/>
          </rPr>
          <t xml:space="preserve">
Завтрак для Ани</t>
        </r>
      </text>
    </comment>
    <comment ref="F30" authorId="0" shapeId="0">
      <text>
        <r>
          <rPr>
            <sz val="9"/>
            <rFont val="Tahoma"/>
            <charset val="1"/>
          </rPr>
          <t xml:space="preserve">Промясо
</t>
        </r>
      </text>
    </comment>
    <comment ref="Q30" authorId="0" shapeId="0">
      <text>
        <r>
          <rPr>
            <b/>
            <sz val="9"/>
            <rFont val="Tahoma"/>
            <charset val="1"/>
          </rPr>
          <t>Автор:</t>
        </r>
        <r>
          <rPr>
            <sz val="9"/>
            <rFont val="Tahoma"/>
            <charset val="1"/>
          </rPr>
          <t xml:space="preserve">
На такси и еще на что-то</t>
        </r>
      </text>
    </comment>
    <comment ref="Y33" authorId="0" shapeId="0">
      <text>
        <r>
          <rPr>
            <sz val="9"/>
            <rFont val="Tahoma"/>
            <charset val="1"/>
          </rPr>
          <t xml:space="preserve">Взял в долг у мамы.
ЭТОТ ДОЛГ Я ОТДАЛ
</t>
        </r>
      </text>
    </comment>
    <comment ref="S34" authorId="0" shapeId="0">
      <text>
        <r>
          <rPr>
            <b/>
            <sz val="9"/>
            <rFont val="Tahoma"/>
            <charset val="1"/>
          </rPr>
          <t xml:space="preserve">Яндекс Плюс
</t>
        </r>
      </text>
    </comment>
    <comment ref="T34" authorId="0" shapeId="0">
      <text>
        <r>
          <rPr>
            <b/>
            <sz val="9"/>
            <rFont val="Tahoma"/>
            <charset val="1"/>
          </rPr>
          <t>t2</t>
        </r>
      </text>
    </comment>
    <comment ref="E35" authorId="0" shapeId="0">
      <text>
        <r>
          <rPr>
            <b/>
            <sz val="9"/>
            <rFont val="Tahoma"/>
            <charset val="1"/>
          </rPr>
          <t>Яндекс лавка</t>
        </r>
      </text>
    </comment>
    <comment ref="F35" authorId="0" shapeId="0">
      <text>
        <r>
          <rPr>
            <b/>
            <sz val="9"/>
            <rFont val="Tahoma"/>
            <charset val="1"/>
          </rPr>
          <t>Автор:</t>
        </r>
        <r>
          <rPr>
            <sz val="9"/>
            <rFont val="Tahoma"/>
            <charset val="1"/>
          </rPr>
          <t xml:space="preserve">
Феличита в обед</t>
        </r>
      </text>
    </comment>
    <comment ref="S35" authorId="0" shapeId="0">
      <text>
        <r>
          <rPr>
            <b/>
            <sz val="9"/>
            <rFont val="Tahoma"/>
            <charset val="1"/>
          </rPr>
          <t>Автор:</t>
        </r>
        <r>
          <rPr>
            <sz val="9"/>
            <rFont val="Tahoma"/>
            <charset val="1"/>
          </rPr>
          <t xml:space="preserve">
Литрес
</t>
        </r>
      </text>
    </comment>
    <comment ref="H36" authorId="0" shapeId="0">
      <text>
        <r>
          <rPr>
            <b/>
            <sz val="9"/>
            <rFont val="Tahoma"/>
            <charset val="1"/>
          </rPr>
          <t>Автор:</t>
        </r>
        <r>
          <rPr>
            <sz val="9"/>
            <rFont val="Tahoma"/>
            <charset val="1"/>
          </rPr>
          <t xml:space="preserve">
Феличита после работы</t>
        </r>
      </text>
    </comment>
    <comment ref="S36" authorId="0" shapeId="0">
      <text>
        <r>
          <rPr>
            <b/>
            <sz val="9"/>
            <rFont val="Tahoma"/>
            <charset val="1"/>
          </rPr>
          <t>Автор:</t>
        </r>
        <r>
          <rPr>
            <sz val="9"/>
            <rFont val="Tahoma"/>
            <charset val="1"/>
          </rPr>
          <t xml:space="preserve">
ВК музыка</t>
        </r>
      </text>
    </comment>
  </commentList>
</comments>
</file>

<file path=xl/comments7.xml><?xml version="1.0" encoding="utf-8"?>
<comments xmlns="http://schemas.openxmlformats.org/spreadsheetml/2006/main">
  <authors>
    <author>Автор</author>
  </authors>
  <commentList>
    <comment ref="I4" authorId="0" shapeId="0">
      <text>
        <r>
          <rPr>
            <b/>
            <sz val="9"/>
            <rFont val="Tahoma"/>
            <charset val="204"/>
          </rPr>
          <t>Поход в Ла джорджию</t>
        </r>
      </text>
    </comment>
    <comment ref="O4" authorId="0" shapeId="0">
      <text>
        <r>
          <rPr>
            <sz val="9"/>
            <rFont val="Tahoma"/>
            <charset val="204"/>
          </rPr>
          <t>t2</t>
        </r>
      </text>
    </comment>
    <comment ref="P4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Вернул маме долг
</t>
        </r>
      </text>
    </comment>
    <comment ref="X4" authorId="0" shapeId="0">
      <text>
        <r>
          <rPr>
            <sz val="9"/>
            <rFont val="Tahoma"/>
            <charset val="204"/>
          </rPr>
          <t xml:space="preserve">Купил на озоне 3 двд диска.
</t>
        </r>
      </text>
    </comment>
    <comment ref="L5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1. 5 748,49 - УК Эталон
2. 2 803,26 - Росатом (электричество)
3. 2 329,44 - ЕРК (вода)</t>
        </r>
      </text>
    </comment>
    <comment ref="Q5" authorId="0" shapeId="0">
      <text>
        <r>
          <rPr>
            <sz val="9"/>
            <rFont val="Tahoma"/>
            <charset val="204"/>
          </rPr>
          <t xml:space="preserve">Плата за сантехника
</t>
        </r>
      </text>
    </comment>
    <comment ref="W5" authorId="0" shapeId="0">
      <text>
        <r>
          <rPr>
            <sz val="9"/>
            <rFont val="Tahoma"/>
            <charset val="204"/>
          </rPr>
          <t xml:space="preserve">Перевел за такси (она сама попросила)
</t>
        </r>
      </text>
    </comment>
    <comment ref="J6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Макдоналдс</t>
        </r>
      </text>
    </comment>
    <comment ref="I7" authorId="0" shapeId="0">
      <text>
        <r>
          <rPr>
            <b/>
            <sz val="9"/>
            <rFont val="Tahoma"/>
            <charset val="204"/>
          </rPr>
          <t>Вьет Кук</t>
        </r>
      </text>
    </comment>
    <comment ref="J7" authorId="0" shapeId="0">
      <text>
        <r>
          <rPr>
            <b/>
            <sz val="9"/>
            <rFont val="Tahoma"/>
            <charset val="204"/>
          </rPr>
          <t>Смузи и лимонад в окошке в боне</t>
        </r>
      </text>
    </comment>
    <comment ref="O7" authorId="0" shapeId="0">
      <text>
        <r>
          <rPr>
            <sz val="9"/>
            <rFont val="Tahoma"/>
            <charset val="204"/>
          </rPr>
          <t xml:space="preserve">t2
</t>
        </r>
      </text>
    </comment>
    <comment ref="Z7" authorId="0" shapeId="0">
      <text>
        <r>
          <rPr>
            <b/>
            <sz val="9"/>
            <rFont val="Tahoma"/>
            <charset val="204"/>
          </rPr>
          <t>Билеты в IMAX в химках.
Я их купил, а потом вернул</t>
        </r>
      </text>
    </comment>
    <comment ref="J8" authorId="0" shape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Макдоналдс</t>
        </r>
      </text>
    </comment>
    <comment ref="W8" authorId="0" shapeId="0">
      <text>
        <r>
          <rPr>
            <b/>
            <sz val="9"/>
            <rFont val="Tahoma"/>
            <charset val="204"/>
          </rPr>
          <t>Ане на такси + торт + билеты в театр + вино + цветы</t>
        </r>
      </text>
    </comment>
    <comment ref="N9" authorId="0" shapeId="0">
      <text>
        <r>
          <rPr>
            <sz val="9"/>
            <rFont val="Tahoma"/>
            <charset val="204"/>
          </rPr>
          <t xml:space="preserve">t2 + впн
</t>
        </r>
      </text>
    </comment>
    <comment ref="P9" authorId="0" shapeId="0">
      <text>
        <r>
          <rPr>
            <sz val="9"/>
            <rFont val="Tahoma"/>
            <charset val="204"/>
          </rPr>
          <t xml:space="preserve">Илюхе за пейнтбол
</t>
        </r>
      </text>
    </comment>
    <comment ref="Q10" authorId="0" shapeId="0">
      <text>
        <r>
          <rPr>
            <sz val="9"/>
            <rFont val="Tahoma"/>
            <charset val="1"/>
          </rPr>
          <t xml:space="preserve">Сдал на ДР БГ
</t>
        </r>
      </text>
    </comment>
    <comment ref="W10" authorId="0" shapeId="0">
      <text>
        <r>
          <rPr>
            <sz val="9"/>
            <rFont val="Tahoma"/>
            <charset val="1"/>
          </rPr>
          <t xml:space="preserve">поке и бабл ти
</t>
        </r>
      </text>
    </comment>
    <comment ref="X10" authorId="0" shapeId="0">
      <text>
        <r>
          <rPr>
            <b/>
            <sz val="9"/>
            <rFont val="Tahoma"/>
            <charset val="1"/>
          </rPr>
          <t>Автор:</t>
        </r>
        <r>
          <rPr>
            <sz val="9"/>
            <rFont val="Tahoma"/>
            <charset val="1"/>
          </rPr>
          <t xml:space="preserve">
Списали на долбанном сайте для редактирования картинок с помощью ИИ</t>
        </r>
      </text>
    </comment>
    <comment ref="W11" authorId="0" shapeId="0">
      <text>
        <r>
          <rPr>
            <b/>
            <sz val="9"/>
            <rFont val="Tahoma"/>
            <charset val="1"/>
          </rPr>
          <t>Автор:</t>
        </r>
        <r>
          <rPr>
            <sz val="9"/>
            <rFont val="Tahoma"/>
            <charset val="1"/>
          </rPr>
          <t xml:space="preserve">
На такси
</t>
        </r>
      </text>
    </comment>
    <comment ref="K12" authorId="0" shapeId="0">
      <text>
        <r>
          <rPr>
            <b/>
            <sz val="9"/>
            <rFont val="Tahoma"/>
            <charset val="1"/>
          </rPr>
          <t>Автор:</t>
        </r>
        <r>
          <rPr>
            <sz val="9"/>
            <rFont val="Tahoma"/>
            <charset val="1"/>
          </rPr>
          <t xml:space="preserve">
Лапшичка</t>
        </r>
      </text>
    </comment>
    <comment ref="W12" authorId="0" shapeId="0">
      <text>
        <r>
          <rPr>
            <b/>
            <sz val="9"/>
            <rFont val="Tahoma"/>
            <charset val="1"/>
          </rPr>
          <t>Автор:</t>
        </r>
        <r>
          <rPr>
            <sz val="9"/>
            <rFont val="Tahoma"/>
            <charset val="1"/>
          </rPr>
          <t xml:space="preserve">
Книга + ягоды во вкусвилле + поке и бабл ти</t>
        </r>
      </text>
    </comment>
    <comment ref="I13" authorId="0" shapeId="0">
      <text>
        <r>
          <rPr>
            <b/>
            <sz val="9"/>
            <rFont val="Tahoma"/>
            <charset val="1"/>
          </rPr>
          <t>Автор:</t>
        </r>
        <r>
          <rPr>
            <sz val="9"/>
            <rFont val="Tahoma"/>
            <charset val="1"/>
          </rPr>
          <t xml:space="preserve">
Обед в феличите</t>
        </r>
      </text>
    </comment>
    <comment ref="W13" authorId="0" shapeId="0">
      <text>
        <r>
          <rPr>
            <b/>
            <sz val="9"/>
            <rFont val="Tahoma"/>
            <charset val="1"/>
          </rPr>
          <t>Автор:</t>
        </r>
        <r>
          <rPr>
            <sz val="9"/>
            <rFont val="Tahoma"/>
            <charset val="1"/>
          </rPr>
          <t xml:space="preserve">
Цветы + такси</t>
        </r>
      </text>
    </comment>
    <comment ref="H14" authorId="0" shapeId="0">
      <text>
        <r>
          <rPr>
            <b/>
            <sz val="9"/>
            <rFont val="Tahoma"/>
            <charset val="204"/>
          </rPr>
          <t>Хочука (на Меня, Аню и Фаину)</t>
        </r>
      </text>
    </comment>
    <comment ref="W14" authorId="0" shapeId="0">
      <text>
        <r>
          <rPr>
            <b/>
            <sz val="9"/>
            <rFont val="Tahoma"/>
            <charset val="1"/>
          </rPr>
          <t>Автор:</t>
        </r>
        <r>
          <rPr>
            <sz val="9"/>
            <rFont val="Tahoma"/>
            <charset val="1"/>
          </rPr>
          <t xml:space="preserve">
Вино для Ани с Фаиной + отказ Ани на ламоде</t>
        </r>
      </text>
    </comment>
    <comment ref="D15" authorId="0" shapeId="0">
      <text>
        <r>
          <rPr>
            <b/>
            <sz val="9"/>
            <rFont val="Tahoma"/>
            <charset val="204"/>
          </rPr>
          <t>хлеб в амбаре</t>
        </r>
      </text>
    </comment>
    <comment ref="J15" authorId="0" shapeId="0">
      <text>
        <r>
          <rPr>
            <b/>
            <sz val="9"/>
            <rFont val="Tahoma"/>
            <charset val="204"/>
          </rPr>
          <t>Шаурма в глобусе
+ вкусно и точка</t>
        </r>
      </text>
    </comment>
    <comment ref="W15" authorId="0" shapeId="0">
      <text>
        <r>
          <rPr>
            <b/>
            <sz val="9"/>
            <rFont val="Tahoma"/>
            <charset val="204"/>
          </rPr>
          <t>Коктейль в Энике
+ дублика ключа</t>
        </r>
      </text>
    </comment>
    <comment ref="X15" authorId="0" shapeId="0">
      <text>
        <r>
          <rPr>
            <b/>
            <sz val="9"/>
            <rFont val="Tahoma"/>
            <charset val="204"/>
          </rPr>
          <t>Списали на долбанном сайте для редактирования картинок (я наконец-то понял, что это мошенники)</t>
        </r>
      </text>
    </comment>
    <comment ref="Z15" authorId="0" shapeId="0">
      <text>
        <r>
          <rPr>
            <b/>
            <sz val="9"/>
            <rFont val="Tahoma"/>
            <charset val="204"/>
          </rPr>
          <t>Аэрохоккей с гошей и сашей</t>
        </r>
      </text>
    </comment>
    <comment ref="I16" authorId="0" shapeId="0">
      <text>
        <r>
          <rPr>
            <b/>
            <sz val="9"/>
            <rFont val="Tahoma"/>
            <charset val="204"/>
          </rPr>
          <t>Феличета на обеде</t>
        </r>
      </text>
    </comment>
    <comment ref="N16" authorId="0" shapeId="0">
      <text>
        <r>
          <rPr>
            <b/>
            <sz val="9"/>
            <rFont val="Tahoma"/>
            <charset val="1"/>
          </rPr>
          <t>Домашний интернет
+ яндекс плюс</t>
        </r>
      </text>
    </comment>
    <comment ref="X16" authorId="0" shapeId="0">
      <text>
        <r>
          <rPr>
            <b/>
            <sz val="9"/>
            <rFont val="Tahoma"/>
            <charset val="1"/>
          </rPr>
          <t>Фотки на загран</t>
        </r>
      </text>
    </comment>
    <comment ref="X18" authorId="0" shapeId="0">
      <text>
        <r>
          <rPr>
            <b/>
            <sz val="9"/>
            <rFont val="Tahoma"/>
            <charset val="1"/>
          </rPr>
          <t>Гель для волос</t>
        </r>
      </text>
    </comment>
    <comment ref="K20" authorId="0" shapeId="0">
      <text>
        <r>
          <rPr>
            <b/>
            <sz val="9"/>
            <rFont val="Tahoma"/>
            <charset val="1"/>
          </rPr>
          <t>Купил себе поке и бабл ти</t>
        </r>
      </text>
    </comment>
    <comment ref="W20" authorId="0" shapeId="0">
      <text>
        <r>
          <rPr>
            <b/>
            <sz val="9"/>
            <rFont val="Tahoma"/>
            <charset val="1"/>
          </rPr>
          <t>Перевел Ане, потому что она попросила
+ 1000 на поке</t>
        </r>
      </text>
    </comment>
    <comment ref="I21" authorId="0" shapeId="0">
      <text>
        <r>
          <rPr>
            <b/>
            <sz val="9"/>
            <rFont val="Tahoma"/>
            <charset val="1"/>
          </rPr>
          <t>Поход в феличету на обед</t>
        </r>
      </text>
    </comment>
    <comment ref="AC21" authorId="0" shapeId="0">
      <text>
        <r>
          <rPr>
            <sz val="9"/>
            <rFont val="Tahoma"/>
            <charset val="1"/>
          </rPr>
          <t xml:space="preserve">Мама дала в долг на брюки
</t>
        </r>
      </text>
    </comment>
    <comment ref="J23" authorId="0" shapeId="0">
      <text>
        <r>
          <rPr>
            <sz val="9"/>
            <rFont val="Tahoma"/>
            <charset val="1"/>
          </rPr>
          <t xml:space="preserve">Мак завтрак
</t>
        </r>
      </text>
    </comment>
    <comment ref="W23" authorId="0" shapeId="0">
      <text>
        <r>
          <rPr>
            <sz val="9"/>
            <rFont val="Tahoma"/>
            <charset val="1"/>
          </rPr>
          <t>Отказ Ани на ламоде
+ цветы</t>
        </r>
      </text>
    </comment>
    <comment ref="H24" authorId="0" shapeId="0">
      <text>
        <r>
          <rPr>
            <b/>
            <sz val="9"/>
            <rFont val="Tahoma"/>
            <charset val="1"/>
          </rPr>
          <t>Хочука</t>
        </r>
      </text>
    </comment>
    <comment ref="K24" authorId="0" shapeId="0">
      <text>
        <r>
          <rPr>
            <b/>
            <sz val="9"/>
            <rFont val="Tahoma"/>
            <charset val="1"/>
          </rPr>
          <t>Обед в феличите</t>
        </r>
        <r>
          <rPr>
            <sz val="9"/>
            <rFont val="Tahoma"/>
            <charset val="1"/>
          </rPr>
          <t xml:space="preserve">
</t>
        </r>
      </text>
    </comment>
    <comment ref="K25" authorId="0" shapeId="0">
      <text>
        <r>
          <rPr>
            <b/>
            <sz val="9"/>
            <rFont val="Tahoma"/>
            <charset val="1"/>
          </rPr>
          <t>Обед во вьет куке</t>
        </r>
      </text>
    </comment>
    <comment ref="W25" authorId="0" shapeId="0">
      <text>
        <r>
          <rPr>
            <b/>
            <sz val="9"/>
            <rFont val="Tahoma"/>
            <charset val="1"/>
          </rPr>
          <t>Мы поругались и Аня просто с утра сказала "Переведи мне 6к"</t>
        </r>
      </text>
    </comment>
    <comment ref="N26" authorId="0" shapeId="0">
      <text>
        <r>
          <rPr>
            <sz val="9"/>
            <rFont val="Tahoma"/>
            <charset val="1"/>
          </rPr>
          <t xml:space="preserve">Яндекс Плюс
</t>
        </r>
      </text>
    </comment>
    <comment ref="W26" authorId="0" shapeId="0">
      <text>
        <r>
          <rPr>
            <b/>
            <sz val="9"/>
            <rFont val="Tahoma"/>
            <charset val="1"/>
          </rPr>
          <t xml:space="preserve">Цветы + что-то еще
</t>
        </r>
        <r>
          <rPr>
            <sz val="9"/>
            <rFont val="Tahoma"/>
            <charset val="1"/>
          </rPr>
          <t xml:space="preserve">
</t>
        </r>
      </text>
    </comment>
    <comment ref="X26" authorId="0" shapeId="0">
      <text>
        <r>
          <rPr>
            <b/>
            <sz val="9"/>
            <rFont val="Tahoma"/>
            <charset val="1"/>
          </rPr>
          <t>Чтиво журнал</t>
        </r>
        <r>
          <rPr>
            <sz val="9"/>
            <rFont val="Tahoma"/>
            <charset val="1"/>
          </rPr>
          <t xml:space="preserve">
</t>
        </r>
      </text>
    </comment>
    <comment ref="K27" authorId="0" shapeId="0">
      <text>
        <r>
          <rPr>
            <sz val="9"/>
            <rFont val="Tahoma"/>
            <charset val="1"/>
          </rPr>
          <t xml:space="preserve">Промясо
</t>
        </r>
      </text>
    </comment>
    <comment ref="X27" authorId="0" shapeId="0">
      <text>
        <r>
          <rPr>
            <sz val="9"/>
            <rFont val="Tahoma"/>
            <charset val="1"/>
          </rPr>
          <t xml:space="preserve">Ручки в Читай городе
</t>
        </r>
      </text>
    </comment>
    <comment ref="W28" authorId="0" shapeId="0">
      <text>
        <r>
          <rPr>
            <sz val="9"/>
            <rFont val="Tahoma"/>
            <charset val="1"/>
          </rPr>
          <t xml:space="preserve">Бабл ти энд поке
</t>
        </r>
      </text>
    </comment>
    <comment ref="Z28" authorId="0" shapeId="0">
      <text>
        <r>
          <rPr>
            <sz val="9"/>
            <rFont val="Tahoma"/>
            <charset val="1"/>
          </rPr>
          <t xml:space="preserve">Пейнтбол
</t>
        </r>
      </text>
    </comment>
    <comment ref="J29" authorId="0" shapeId="0">
      <text>
        <r>
          <rPr>
            <b/>
            <sz val="9"/>
            <rFont val="Tahoma"/>
            <charset val="1"/>
          </rPr>
          <t>Вкусно и точка</t>
        </r>
        <r>
          <rPr>
            <sz val="9"/>
            <rFont val="Tahoma"/>
            <charset val="1"/>
          </rPr>
          <t xml:space="preserve">
</t>
        </r>
      </text>
    </comment>
    <comment ref="Z29" authorId="0" shapeId="0">
      <text>
        <r>
          <rPr>
            <sz val="9"/>
            <rFont val="Tahoma"/>
            <charset val="1"/>
          </rPr>
          <t xml:space="preserve">Поход в кино на Одиссею
</t>
        </r>
      </text>
    </comment>
    <comment ref="AC29" authorId="0" shapeId="0">
      <text>
        <r>
          <rPr>
            <sz val="9"/>
            <rFont val="Tahoma"/>
            <charset val="1"/>
          </rPr>
          <t xml:space="preserve">Мама перевела за бенз
</t>
        </r>
      </text>
    </comment>
    <comment ref="J30" authorId="0" shapeId="0">
      <text>
        <r>
          <rPr>
            <sz val="9"/>
            <rFont val="Tahoma"/>
            <charset val="1"/>
          </rPr>
          <t xml:space="preserve">Вкусно и Точка
</t>
        </r>
      </text>
    </comment>
    <comment ref="N30" authorId="0" shapeId="0">
      <text>
        <r>
          <rPr>
            <b/>
            <sz val="9"/>
            <rFont val="Tahoma"/>
            <charset val="1"/>
          </rPr>
          <t>Яндекс Плюс</t>
        </r>
      </text>
    </comment>
    <comment ref="K31" authorId="0" shapeId="0">
      <text>
        <r>
          <rPr>
            <b/>
            <sz val="9"/>
            <rFont val="Tahoma"/>
            <charset val="1"/>
          </rPr>
          <t>Обед во вьет кук</t>
        </r>
      </text>
    </comment>
    <comment ref="K32" authorId="0" shapeId="0">
      <text>
        <r>
          <rPr>
            <sz val="9"/>
            <rFont val="Tahoma"/>
            <charset val="1"/>
          </rPr>
          <t xml:space="preserve">Бабл ти энд Поке
</t>
        </r>
      </text>
    </comment>
    <comment ref="W32" authorId="0" shapeId="0">
      <text>
        <r>
          <rPr>
            <sz val="9"/>
            <rFont val="Tahoma"/>
            <charset val="1"/>
          </rPr>
          <t>Не помню на что
+ на колготки</t>
        </r>
      </text>
    </comment>
    <comment ref="N33" authorId="0" shapeId="0">
      <text>
        <r>
          <rPr>
            <sz val="9"/>
            <rFont val="Tahoma"/>
            <charset val="1"/>
          </rPr>
          <t xml:space="preserve">Литрес
</t>
        </r>
      </text>
    </comment>
    <comment ref="W34" authorId="0" shapeId="0">
      <text>
        <r>
          <rPr>
            <b/>
            <sz val="9"/>
            <rFont val="Tahoma"/>
            <charset val="1"/>
          </rPr>
          <t>На такси и покушать
И вычитаем 500 руб, которые она скинула 1 сентября</t>
        </r>
      </text>
    </comment>
    <comment ref="AC34" authorId="0" shapeId="0">
      <text>
        <r>
          <rPr>
            <sz val="9"/>
            <rFont val="Tahoma"/>
            <charset val="1"/>
          </rPr>
          <t xml:space="preserve">Взял в долг у мамы
</t>
        </r>
      </text>
    </comment>
  </commentList>
</comments>
</file>

<file path=xl/comments8.xml><?xml version="1.0" encoding="utf-8"?>
<comments xmlns="http://schemas.openxmlformats.org/spreadsheetml/2006/main">
  <authors>
    <author>easob</author>
    <author>Автор</author>
    <author>SABEN_MUSIC</author>
  </authors>
  <commentList>
    <comment ref="X4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Купил зарядку в ДНС</t>
        </r>
      </text>
    </comment>
    <comment ref="Y4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Пополнил кредитку</t>
        </r>
      </text>
    </comment>
    <comment ref="Z4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Заказал зарядку на озоне и еще что-то</t>
        </r>
      </text>
    </comment>
    <comment ref="H5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Хочука</t>
        </r>
      </text>
    </comment>
    <comment ref="J5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Вкусно и точка</t>
        </r>
      </text>
    </comment>
    <comment ref="M5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Клиника эксперт</t>
        </r>
      </text>
    </comment>
    <comment ref="N5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Вк музыка</t>
        </r>
      </text>
    </comment>
    <comment ref="X5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Книга в читай городе</t>
        </r>
      </text>
    </comment>
    <comment ref="I6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Кампай</t>
        </r>
      </text>
    </comment>
    <comment ref="T6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Рубашка + ремень в хендерсоне</t>
        </r>
      </text>
    </comment>
    <comment ref="W6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Имтимиссими (белье для Ани)</t>
        </r>
      </text>
    </comment>
    <comment ref="K7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Бабл ти энд Поке
</t>
        </r>
      </text>
    </comment>
    <comment ref="W7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Что-то купили Ане в аптеке Апрель</t>
        </r>
      </text>
    </comment>
    <comment ref="X7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Госпошлина на загран</t>
        </r>
      </text>
    </comment>
    <comment ref="Y7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Гель для волос</t>
        </r>
      </text>
    </comment>
    <comment ref="H8" authorId="1" shapeId="0">
      <text>
        <r>
          <rPr>
            <b/>
            <sz val="9"/>
            <rFont val="Tahoma"/>
            <charset val="1"/>
          </rPr>
          <t>Автор:</t>
        </r>
        <r>
          <rPr>
            <sz val="9"/>
            <rFont val="Tahoma"/>
            <charset val="1"/>
          </rPr>
          <t xml:space="preserve">
Чай в буна буна
</t>
        </r>
      </text>
    </comment>
    <comment ref="K8" authorId="1" shapeId="0">
      <text>
        <r>
          <rPr>
            <b/>
            <sz val="9"/>
            <rFont val="Tahoma"/>
            <charset val="1"/>
          </rPr>
          <t>Ханой стрит</t>
        </r>
      </text>
    </comment>
    <comment ref="M8" authorId="1" shapeId="0">
      <text>
        <r>
          <rPr>
            <b/>
            <sz val="9"/>
            <rFont val="Tahoma"/>
            <charset val="1"/>
          </rPr>
          <t>Вопрос на сайте "Спроси врача"</t>
        </r>
      </text>
    </comment>
    <comment ref="O8" authorId="1" shapeId="0">
      <text>
        <r>
          <rPr>
            <b/>
            <sz val="9"/>
            <rFont val="Tahoma"/>
            <charset val="1"/>
          </rPr>
          <t>Замена батарейки в ключе от шлагбаума</t>
        </r>
      </text>
    </comment>
    <comment ref="W8" authorId="1" shapeId="0">
      <text>
        <r>
          <rPr>
            <b/>
            <sz val="9"/>
            <rFont val="Tahoma"/>
            <charset val="1"/>
          </rPr>
          <t>Такси и завтрак</t>
        </r>
      </text>
    </comment>
    <comment ref="K9" authorId="1" shapeId="0">
      <text>
        <r>
          <rPr>
            <b/>
            <sz val="9"/>
            <rFont val="Tahoma"/>
            <charset val="1"/>
          </rPr>
          <t>Автор:</t>
        </r>
        <r>
          <rPr>
            <sz val="9"/>
            <rFont val="Tahoma"/>
            <charset val="1"/>
          </rPr>
          <t xml:space="preserve">
Феличита</t>
        </r>
      </text>
    </comment>
    <comment ref="W9" authorId="1" shapeId="0">
      <text>
        <r>
          <rPr>
            <b/>
            <sz val="9"/>
            <rFont val="Tahoma"/>
            <charset val="1"/>
          </rPr>
          <t>На врача</t>
        </r>
      </text>
    </comment>
    <comment ref="N10" authorId="1" shapeId="0">
      <text>
        <r>
          <rPr>
            <b/>
            <sz val="9"/>
            <rFont val="Tahoma"/>
            <charset val="1"/>
          </rPr>
          <t>Автор:</t>
        </r>
        <r>
          <rPr>
            <sz val="9"/>
            <rFont val="Tahoma"/>
            <charset val="1"/>
          </rPr>
          <t xml:space="preserve">
Т2</t>
        </r>
      </text>
    </comment>
    <comment ref="K11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Бабл ти энд поке
</t>
        </r>
      </text>
    </comment>
    <comment ref="N11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T2</t>
        </r>
      </text>
    </comment>
    <comment ref="Z11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Пенйтбол</t>
        </r>
      </text>
    </comment>
    <comment ref="J12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Завтрак во вкусно и точка</t>
        </r>
      </text>
    </comment>
    <comment ref="Q12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Подарок Гоге на свадьбу
</t>
        </r>
      </text>
    </comment>
    <comment ref="T12" authorId="0" shapeId="0">
      <text>
        <r>
          <rPr>
            <b/>
            <sz val="9"/>
            <rFont val="Times New Roman"/>
          </rPr>
          <t xml:space="preserve">easob:
</t>
        </r>
        <r>
          <rPr>
            <sz val="9"/>
            <rFont val="Times New Roman"/>
          </rPr>
          <t>Подшив брюк, платок в шайбе, платок и галстук в хендерсон + хендерсон (галстук и носки) к свадьбе Гоги</t>
        </r>
      </text>
    </comment>
    <comment ref="X12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Не помню на что это было
</t>
        </r>
      </text>
    </comment>
    <comment ref="I13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Вьет кук</t>
        </r>
      </text>
    </comment>
    <comment ref="J13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Бургер кинг</t>
        </r>
      </text>
    </comment>
    <comment ref="R13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Энивейбар</t>
        </r>
      </text>
    </comment>
    <comment ref="W13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Цветы + перевод на что-то
</t>
        </r>
      </text>
    </comment>
    <comment ref="I15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Кампай с Адольфом
</t>
        </r>
      </text>
    </comment>
    <comment ref="J15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Мак завтрак
</t>
        </r>
      </text>
    </comment>
    <comment ref="W15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Перевел</t>
        </r>
      </text>
    </comment>
    <comment ref="N16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Интернет</t>
        </r>
      </text>
    </comment>
    <comment ref="W16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Перевел</t>
        </r>
      </text>
    </comment>
    <comment ref="AC16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Мама дала в долг</t>
        </r>
      </text>
    </comment>
    <comment ref="M17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Покупки в аптеке</t>
        </r>
      </text>
    </comment>
    <comment ref="N17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Яндекс плюс</t>
        </r>
      </text>
    </comment>
    <comment ref="Q17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На ДР Марьяне</t>
        </r>
      </text>
    </comment>
    <comment ref="I19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Феличета
</t>
        </r>
      </text>
    </comment>
    <comment ref="X19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Книги</t>
        </r>
      </text>
    </comment>
    <comment ref="I20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Поход во вьет кук + в ёкай</t>
        </r>
      </text>
    </comment>
    <comment ref="M20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На какие-то мед. Услуги, уже не понять на какие.</t>
        </r>
      </text>
    </comment>
    <comment ref="W20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Аптека</t>
        </r>
      </text>
    </comment>
    <comment ref="AC20" authorId="0" shapeId="0">
      <text>
        <r>
          <rPr>
            <b/>
            <sz val="9"/>
            <rFont val="Times New Roman"/>
          </rPr>
          <t>easob:</t>
        </r>
        <r>
          <rPr>
            <sz val="9"/>
            <rFont val="Times New Roman"/>
          </rPr>
          <t xml:space="preserve">
От Мамы на бенз</t>
        </r>
      </text>
    </comment>
    <comment ref="I21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Кампай</t>
        </r>
      </text>
    </comment>
    <comment ref="J22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Вкусно и точка</t>
        </r>
      </text>
    </comment>
    <comment ref="K22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Бабл ти энд Поке
</t>
        </r>
      </text>
    </comment>
    <comment ref="V22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Парковка
</t>
        </r>
      </text>
    </comment>
    <comment ref="I23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Вьеткук</t>
        </r>
      </text>
    </comment>
    <comment ref="W23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Не помню уже за что я переводил 5 к</t>
        </r>
      </text>
    </comment>
    <comment ref="AA23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Отель в СПБ</t>
        </r>
      </text>
    </comment>
    <comment ref="AC23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Отпускные</t>
        </r>
      </text>
    </comment>
    <comment ref="J24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Мак завтрак
</t>
        </r>
      </text>
    </comment>
    <comment ref="M24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Аптека</t>
        </r>
      </text>
    </comment>
    <comment ref="X24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Покупки на озоне</t>
        </r>
      </text>
    </comment>
    <comment ref="AA24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Билеты в СПБ</t>
        </r>
      </text>
    </comment>
    <comment ref="J26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Фаст фуд</t>
        </r>
      </text>
    </comment>
    <comment ref="K26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Бу пон</t>
        </r>
      </text>
    </comment>
    <comment ref="N26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Яндекс Плюс</t>
        </r>
      </text>
    </comment>
    <comment ref="M27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Аптека</t>
        </r>
      </text>
    </comment>
    <comment ref="T27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Джинсы в хендерсон
</t>
        </r>
      </text>
    </comment>
    <comment ref="W27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Кальзедония</t>
        </r>
      </text>
    </comment>
    <comment ref="AC28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Батя дал в долг</t>
        </r>
      </text>
    </comment>
    <comment ref="W29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На что-то перевел</t>
        </r>
      </text>
    </comment>
    <comment ref="J30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Вкусно и точка</t>
        </r>
      </text>
    </comment>
    <comment ref="N30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Яндекс Плюс</t>
        </r>
      </text>
    </comment>
    <comment ref="O31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Парикмахерская</t>
        </r>
      </text>
    </comment>
    <comment ref="P31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Батарейки
</t>
        </r>
      </text>
    </comment>
    <comment ref="T31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Поло в лексмере</t>
        </r>
      </text>
    </comment>
    <comment ref="W31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Аптеки
</t>
        </r>
      </text>
    </comment>
    <comment ref="A32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Начинается отпуск в СПБ</t>
        </r>
      </text>
    </comment>
    <comment ref="I32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Умами</t>
        </r>
      </text>
    </comment>
    <comment ref="J32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Смузи на фуд корте в галерее</t>
        </r>
      </text>
    </comment>
    <comment ref="K32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Еда в сапсане</t>
        </r>
      </text>
    </comment>
    <comment ref="O32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Чаевые носильщику в отеле
</t>
        </r>
      </text>
    </comment>
    <comment ref="W32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Золотое яблоко</t>
        </r>
      </text>
    </comment>
    <comment ref="Z32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Билеты в Эрмитаж</t>
        </r>
      </text>
    </comment>
    <comment ref="I33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Буше + Марчеллис</t>
        </r>
      </text>
    </comment>
    <comment ref="N33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Литрес
</t>
        </r>
      </text>
    </comment>
    <comment ref="R33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Вино в АМ</t>
        </r>
      </text>
    </comment>
    <comment ref="U33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Метро
</t>
        </r>
      </text>
    </comment>
    <comment ref="H34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Торт и стейки Ане на ДР</t>
        </r>
      </text>
    </comment>
    <comment ref="I34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Му-му бургеры</t>
        </r>
      </text>
    </comment>
    <comment ref="J34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Синабон
</t>
        </r>
      </text>
    </comment>
    <comment ref="R34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Вино в Simple Vine</t>
        </r>
      </text>
    </comment>
    <comment ref="W34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Цветы на ДР</t>
        </r>
      </text>
    </comment>
    <comment ref="X34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Магнитеки в планетарии</t>
        </r>
      </text>
    </comment>
    <comment ref="Z34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Планетарий</t>
        </r>
      </text>
    </comment>
    <comment ref="AC34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В долг от Ани</t>
        </r>
      </text>
    </comment>
    <comment ref="I35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Завтрак в эггселент + поход в JOLI</t>
        </r>
      </text>
    </comment>
    <comment ref="N35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T2</t>
        </r>
      </text>
    </comment>
    <comment ref="X35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Свечи в Казанскои соборе</t>
        </r>
      </text>
    </comment>
    <comment ref="Z35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Билеты в Спас на крови, куда мы не пошли</t>
        </r>
      </text>
    </comment>
    <comment ref="AC35" authorId="2" shapeId="0">
      <text>
        <r>
          <rPr>
            <b/>
            <sz val="9"/>
            <color indexed="81"/>
            <rFont val="Tahoma"/>
            <charset val="1"/>
          </rPr>
          <t>SABEN_MUSIC:</t>
        </r>
        <r>
          <rPr>
            <sz val="9"/>
            <color indexed="81"/>
            <rFont val="Tahoma"/>
            <charset val="1"/>
          </rPr>
          <t xml:space="preserve">
В долг от бати</t>
        </r>
      </text>
    </comment>
  </commentList>
</comments>
</file>

<file path=xl/comments9.xml><?xml version="1.0" encoding="utf-8"?>
<comments xmlns="http://schemas.openxmlformats.org/spreadsheetml/2006/main">
  <authors>
    <author>SABEN_MUSIC</author>
  </authors>
  <commentList>
    <comment ref="A4" authorId="0" shapeId="0">
      <text>
        <r>
          <rPr>
            <b/>
            <sz val="9"/>
            <color indexed="81"/>
            <rFont val="Tahoma"/>
            <family val="2"/>
            <charset val="204"/>
          </rPr>
          <t>SABEN_MUSIC:</t>
        </r>
        <r>
          <rPr>
            <sz val="9"/>
            <color indexed="81"/>
            <rFont val="Tahoma"/>
            <family val="2"/>
            <charset val="204"/>
          </rPr>
          <t xml:space="preserve">
Вторая часть поездки в СПБ</t>
        </r>
      </text>
    </comment>
    <comment ref="I4" authorId="0" shapeId="0">
      <text>
        <r>
          <rPr>
            <b/>
            <sz val="9"/>
            <color indexed="81"/>
            <rFont val="Tahoma"/>
            <family val="2"/>
            <charset val="204"/>
          </rPr>
          <t>SABEN_MUSIC:</t>
        </r>
        <r>
          <rPr>
            <sz val="9"/>
            <color indexed="81"/>
            <rFont val="Tahoma"/>
            <family val="2"/>
            <charset val="204"/>
          </rPr>
          <t xml:space="preserve">
Умами</t>
        </r>
      </text>
    </comment>
    <comment ref="N4" authorId="0" shapeId="0">
      <text>
        <r>
          <rPr>
            <b/>
            <sz val="9"/>
            <color indexed="81"/>
            <rFont val="Tahoma"/>
            <family val="2"/>
            <charset val="204"/>
          </rPr>
          <t>SABEN_MUSIC:</t>
        </r>
        <r>
          <rPr>
            <sz val="9"/>
            <color indexed="81"/>
            <rFont val="Tahoma"/>
            <family val="2"/>
            <charset val="204"/>
          </rPr>
          <t xml:space="preserve">
Вк музыка</t>
        </r>
      </text>
    </comment>
    <comment ref="U4" authorId="0" shapeId="0">
      <text>
        <r>
          <rPr>
            <b/>
            <sz val="9"/>
            <color indexed="81"/>
            <rFont val="Tahoma"/>
            <family val="2"/>
            <charset val="204"/>
          </rPr>
          <t>SABEN_MUSIC:</t>
        </r>
        <r>
          <rPr>
            <sz val="9"/>
            <color indexed="81"/>
            <rFont val="Tahoma"/>
            <family val="2"/>
            <charset val="204"/>
          </rPr>
          <t xml:space="preserve">
Метро</t>
        </r>
      </text>
    </comment>
    <comment ref="W4" authorId="0" shapeId="0">
      <text>
        <r>
          <rPr>
            <b/>
            <sz val="9"/>
            <color indexed="81"/>
            <rFont val="Tahoma"/>
            <family val="2"/>
            <charset val="204"/>
          </rPr>
          <t>SABEN_MUSIC:</t>
        </r>
        <r>
          <rPr>
            <sz val="9"/>
            <color indexed="81"/>
            <rFont val="Tahoma"/>
            <family val="2"/>
            <charset val="204"/>
          </rPr>
          <t xml:space="preserve">
Перевел вместе с деньгами за Умами
+
Подарок в золотом яблоке</t>
        </r>
      </text>
    </comment>
    <comment ref="X4" authorId="0" shapeId="0">
      <text>
        <r>
          <rPr>
            <b/>
            <sz val="9"/>
            <color indexed="81"/>
            <rFont val="Tahoma"/>
            <family val="2"/>
            <charset val="204"/>
          </rPr>
          <t>SABEN_MUSIC:</t>
        </r>
        <r>
          <rPr>
            <sz val="9"/>
            <color indexed="81"/>
            <rFont val="Tahoma"/>
            <family val="2"/>
            <charset val="204"/>
          </rPr>
          <t xml:space="preserve">
Вернул долг бате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  <charset val="204"/>
          </rPr>
          <t>SABEN_MUSIC:</t>
        </r>
        <r>
          <rPr>
            <sz val="9"/>
            <color indexed="81"/>
            <rFont val="Tahoma"/>
            <family val="2"/>
            <charset val="204"/>
          </rPr>
          <t xml:space="preserve">
Соул бейби - завтрак,
Итали - ужин</t>
        </r>
      </text>
    </comment>
    <comment ref="O5" authorId="0" shapeId="0">
      <text>
        <r>
          <rPr>
            <b/>
            <sz val="9"/>
            <color indexed="81"/>
            <rFont val="Tahoma"/>
            <family val="2"/>
            <charset val="204"/>
          </rPr>
          <t>SABEN_MUSIC:</t>
        </r>
        <r>
          <rPr>
            <sz val="9"/>
            <color indexed="81"/>
            <rFont val="Tahoma"/>
            <family val="2"/>
            <charset val="204"/>
          </rPr>
          <t xml:space="preserve">
Суверниры родителям из СПБ
</t>
        </r>
      </text>
    </comment>
    <comment ref="P5" authorId="0" shapeId="0">
      <text>
        <r>
          <rPr>
            <b/>
            <sz val="9"/>
            <color indexed="81"/>
            <rFont val="Tahoma"/>
            <family val="2"/>
            <charset val="204"/>
          </rPr>
          <t>SABEN_MUSIC:</t>
        </r>
        <r>
          <rPr>
            <sz val="9"/>
            <color indexed="81"/>
            <rFont val="Tahoma"/>
            <family val="2"/>
            <charset val="204"/>
          </rPr>
          <t xml:space="preserve">
Подарок маме на ДР</t>
        </r>
      </text>
    </comment>
    <comment ref="U5" authorId="0" shapeId="0">
      <text>
        <r>
          <rPr>
            <b/>
            <sz val="9"/>
            <color indexed="81"/>
            <rFont val="Tahoma"/>
            <family val="2"/>
            <charset val="204"/>
          </rPr>
          <t>SABEN_MUSIC:</t>
        </r>
        <r>
          <rPr>
            <sz val="9"/>
            <color indexed="81"/>
            <rFont val="Tahoma"/>
            <family val="2"/>
            <charset val="204"/>
          </rPr>
          <t xml:space="preserve">
Метро</t>
        </r>
      </text>
    </comment>
    <comment ref="W5" authorId="0" shapeId="0">
      <text>
        <r>
          <rPr>
            <b/>
            <sz val="9"/>
            <color indexed="81"/>
            <rFont val="Tahoma"/>
            <family val="2"/>
            <charset val="204"/>
          </rPr>
          <t>SABEN_MUSIC:</t>
        </r>
        <r>
          <rPr>
            <sz val="9"/>
            <color indexed="81"/>
            <rFont val="Tahoma"/>
            <family val="2"/>
            <charset val="204"/>
          </rPr>
          <t xml:space="preserve">
Перевел 4500 в начале дня, не помню на что
+
первый платеж за серьги и браслет (подарок на др)
</t>
        </r>
      </text>
    </comment>
    <comment ref="Z5" authorId="0" shapeId="0">
      <text>
        <r>
          <rPr>
            <b/>
            <sz val="9"/>
            <color indexed="81"/>
            <rFont val="Tahoma"/>
            <family val="2"/>
            <charset val="204"/>
          </rPr>
          <t>SABEN_MUSIC:</t>
        </r>
        <r>
          <rPr>
            <sz val="9"/>
            <color indexed="81"/>
            <rFont val="Tahoma"/>
            <family val="2"/>
            <charset val="204"/>
          </rPr>
          <t xml:space="preserve">
Кунтскамера</t>
        </r>
      </text>
    </comment>
    <comment ref="I6" authorId="0" shapeId="0">
      <text>
        <r>
          <rPr>
            <b/>
            <sz val="9"/>
            <color indexed="81"/>
            <rFont val="Tahoma"/>
            <family val="2"/>
            <charset val="204"/>
          </rPr>
          <t>SABEN_MUSIC:</t>
        </r>
        <r>
          <rPr>
            <sz val="9"/>
            <color indexed="81"/>
            <rFont val="Tahoma"/>
            <family val="2"/>
            <charset val="204"/>
          </rPr>
          <t xml:space="preserve">
Завтрак в астер</t>
        </r>
      </text>
    </comment>
    <comment ref="Q6" authorId="0" shapeId="0">
      <text>
        <r>
          <rPr>
            <b/>
            <sz val="9"/>
            <color indexed="81"/>
            <rFont val="Tahoma"/>
            <family val="2"/>
            <charset val="204"/>
          </rPr>
          <t>SABEN_MUSIC:</t>
        </r>
        <r>
          <rPr>
            <sz val="9"/>
            <color indexed="81"/>
            <rFont val="Tahoma"/>
            <family val="2"/>
            <charset val="204"/>
          </rPr>
          <t xml:space="preserve">
Чаевые дворецкому</t>
        </r>
      </text>
    </comment>
    <comment ref="X6" authorId="0" shapeId="0">
      <text>
        <r>
          <rPr>
            <b/>
            <sz val="9"/>
            <color indexed="81"/>
            <rFont val="Tahoma"/>
            <family val="2"/>
            <charset val="204"/>
          </rPr>
          <t>SABEN_MUSIC:</t>
        </r>
        <r>
          <rPr>
            <sz val="9"/>
            <color indexed="81"/>
            <rFont val="Tahoma"/>
            <family val="2"/>
            <charset val="204"/>
          </rPr>
          <t xml:space="preserve">
Книги в буквоеде</t>
        </r>
      </text>
    </comment>
    <comment ref="M7" authorId="0" shapeId="0">
      <text>
        <r>
          <rPr>
            <b/>
            <sz val="9"/>
            <color indexed="81"/>
            <rFont val="Tahoma"/>
            <family val="2"/>
            <charset val="204"/>
          </rPr>
          <t>SABEN_MUSIC:</t>
        </r>
        <r>
          <rPr>
            <sz val="9"/>
            <color indexed="81"/>
            <rFont val="Tahoma"/>
            <family val="2"/>
            <charset val="204"/>
          </rPr>
          <t xml:space="preserve">
Аптека</t>
        </r>
      </text>
    </comment>
    <comment ref="AC7" authorId="0" shapeId="0">
      <text>
        <r>
          <rPr>
            <b/>
            <sz val="9"/>
            <color indexed="81"/>
            <rFont val="Tahoma"/>
            <family val="2"/>
            <charset val="204"/>
          </rPr>
          <t>SABEN_MUSIC:</t>
        </r>
        <r>
          <rPr>
            <sz val="9"/>
            <color indexed="81"/>
            <rFont val="Tahoma"/>
            <family val="2"/>
            <charset val="204"/>
          </rPr>
          <t xml:space="preserve">
Мама перевела на бенз</t>
        </r>
      </text>
    </comment>
    <comment ref="X9" authorId="0" shapeId="0">
      <text>
        <r>
          <rPr>
            <b/>
            <sz val="9"/>
            <color indexed="81"/>
            <rFont val="Tahoma"/>
            <family val="2"/>
            <charset val="204"/>
          </rPr>
          <t>SABEN_MUSIC:</t>
        </r>
        <r>
          <rPr>
            <sz val="9"/>
            <color indexed="81"/>
            <rFont val="Tahoma"/>
            <family val="2"/>
            <charset val="204"/>
          </rPr>
          <t xml:space="preserve">
Озон
</t>
        </r>
      </text>
    </comment>
  </commentList>
</comments>
</file>

<file path=xl/sharedStrings.xml><?xml version="1.0" encoding="utf-8"?>
<sst xmlns="http://schemas.openxmlformats.org/spreadsheetml/2006/main" count="619" uniqueCount="92">
  <si>
    <t>Месяц</t>
  </si>
  <si>
    <t>ЗП</t>
  </si>
  <si>
    <t>Подарили</t>
  </si>
  <si>
    <t>Занял</t>
  </si>
  <si>
    <t>Расходы</t>
  </si>
  <si>
    <t>Сальдо</t>
  </si>
  <si>
    <t>Январь</t>
  </si>
  <si>
    <t>-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</si>
  <si>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</si>
  <si>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</si>
  <si>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</si>
  <si>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</si>
  <si>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</si>
  <si>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</si>
  <si>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</si>
  <si>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</si>
  <si>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</si>
  <si>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</si>
  <si>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</si>
  <si>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ИТОГО</t>
  </si>
  <si>
    <t>Доходы - Расходы Февраль 2026</t>
  </si>
  <si>
    <t>Число</t>
  </si>
  <si>
    <t>День недели</t>
  </si>
  <si>
    <t>Магазин</t>
  </si>
  <si>
    <t>Доставка</t>
  </si>
  <si>
    <t>Вкус Вилл</t>
  </si>
  <si>
    <t>Столовая (обед)</t>
  </si>
  <si>
    <t>Кафе</t>
  </si>
  <si>
    <t>Алкоголь</t>
  </si>
  <si>
    <t>Бар/Клуб</t>
  </si>
  <si>
    <t>Коммуналка / ЖКХ</t>
  </si>
  <si>
    <t>Теннис</t>
  </si>
  <si>
    <t>Одежда</t>
  </si>
  <si>
    <t>Медицина</t>
  </si>
  <si>
    <t>Такси</t>
  </si>
  <si>
    <t>Бензин/
Парковка</t>
  </si>
  <si>
    <t>Аня</t>
  </si>
  <si>
    <t>Учеба</t>
  </si>
  <si>
    <t>Ежемесячны платежи</t>
  </si>
  <si>
    <t>Другое (повседневное)</t>
  </si>
  <si>
    <t>Другое (развлечения)</t>
  </si>
  <si>
    <t>Итого Расходы</t>
  </si>
  <si>
    <t>Доходы</t>
  </si>
  <si>
    <t>Чт</t>
  </si>
  <si>
    <t>Пт</t>
  </si>
  <si>
    <t>Сб</t>
  </si>
  <si>
    <t>Вс</t>
  </si>
  <si>
    <t>Пн</t>
  </si>
  <si>
    <t>Вт</t>
  </si>
  <si>
    <t>Ср</t>
  </si>
  <si>
    <t>Доходы - Расходы Март 2026</t>
  </si>
  <si>
    <t>Обед</t>
  </si>
  <si>
    <t>Доходы - Расходы Апрель 2026</t>
  </si>
  <si>
    <t>Синабон</t>
  </si>
  <si>
    <t>Итоги по ЗП:</t>
  </si>
  <si>
    <t>Итого по Авансу:</t>
  </si>
  <si>
    <t>ИТОГО по месяцу:</t>
  </si>
  <si>
    <t>Доходы - Расходы Май 2026</t>
  </si>
  <si>
    <t>Доходы - Расходы Июнь 2026</t>
  </si>
  <si>
    <t>Доходы - Расходы Июль 2026</t>
  </si>
  <si>
    <t>Арестованные средства</t>
  </si>
  <si>
    <t>Сводные итоги за июль 2026 г.</t>
  </si>
  <si>
    <t>Заработал</t>
  </si>
  <si>
    <t>Взял в долг</t>
  </si>
  <si>
    <t>Потратил всего</t>
  </si>
  <si>
    <t>Еда</t>
  </si>
  <si>
    <r>
      <rPr>
        <b/>
        <sz val="20"/>
        <color theme="1" tint="4.9989318521683403E-2"/>
        <rFont val="Arial"/>
        <charset val="204"/>
      </rPr>
      <t xml:space="preserve">Доходы - Расходы </t>
    </r>
    <r>
      <rPr>
        <b/>
        <sz val="20"/>
        <color theme="5" tint="-0.24994659260841701"/>
        <rFont val="Arial"/>
        <charset val="204"/>
      </rPr>
      <t>Август</t>
    </r>
    <r>
      <rPr>
        <b/>
        <sz val="20"/>
        <color theme="1" tint="4.9989318521683403E-2"/>
        <rFont val="Arial"/>
        <charset val="204"/>
      </rPr>
      <t xml:space="preserve"> 2026</t>
    </r>
  </si>
  <si>
    <t>ЕДА</t>
  </si>
  <si>
    <t>Базовые потребности (на которых не сэкономить)</t>
  </si>
  <si>
    <t>Отдых, развлечение, быт и излишки (все на чем в теории можно сэкономить)</t>
  </si>
  <si>
    <t>ИТОГИ</t>
  </si>
  <si>
    <t>Ярче</t>
  </si>
  <si>
    <t>Магнит/Пятерочка</t>
  </si>
  <si>
    <t>Перекресток</t>
  </si>
  <si>
    <t>Яндекс Лавка / Самокат</t>
  </si>
  <si>
    <t>Доставка из ресторанов</t>
  </si>
  <si>
    <t>Поход в ресторан</t>
  </si>
  <si>
    <t>Поход в фаст фуд</t>
  </si>
  <si>
    <t>Обеды</t>
  </si>
  <si>
    <t>Ежемесячные платежи</t>
  </si>
  <si>
    <t>Дргое (форс-мажорное)</t>
  </si>
  <si>
    <t>Другое (покупки)</t>
  </si>
  <si>
    <t>Друггое (развлечения)</t>
  </si>
  <si>
    <t>Сводные итоги за август 2026 г.</t>
  </si>
  <si>
    <t>Базовые потребности</t>
  </si>
  <si>
    <t>на Аню</t>
  </si>
  <si>
    <t>Транспорт</t>
  </si>
  <si>
    <t>Необязательные покупки</t>
  </si>
  <si>
    <t>Доходы - Расходы Сентябрь 2026</t>
  </si>
  <si>
    <t>Магнит / Пятерочка</t>
  </si>
  <si>
    <t>Перекресток / Метро / Глобус</t>
  </si>
  <si>
    <t>Доходы - Расходы Октябрь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</si>
</sst>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\ ##0.00\ &quot;₽&quot;"/>
    <numFmt numFmtId="165" formatCode="#,##0.00\ &quot;₽&quot;"/>
  </numFmts>
  <fonts count="55">
    <font>
      <sz val="11"/>
      <color theme="1"/>
      <name val="Calibri"/>
      <charset val="134"/>
      <scheme val="minor"/>
    </font>
    <font>
      <b/>
      <sz val="20"/>
      <color theme="1" tint="4.9989318521683403E-2"/>
      <name val="Arial"/>
      <charset val="204"/>
    </font>
    <font>
      <b/>
      <sz val="16"/>
      <color theme="1" tint="4.9989318521683403E-2"/>
      <name val="Arial"/>
      <charset val="204"/>
    </font>
    <font>
      <b/>
      <sz val="16"/>
      <name val="Arial"/>
      <charset val="204"/>
    </font>
    <font>
      <b/>
      <sz val="16"/>
      <color theme="0"/>
      <name val="Arial"/>
      <charset val="204"/>
    </font>
    <font>
      <sz val="11"/>
      <color theme="1" tint="4.9989318521683403E-2"/>
      <name val="Franklin Gothic Demi"/>
      <charset val="204"/>
    </font>
    <font>
      <sz val="11"/>
      <color theme="9" tint="-0.499984740745262"/>
      <name val="Franklin Gothic Demi"/>
      <charset val="204"/>
    </font>
    <font>
      <sz val="11"/>
      <color theme="7" tint="-0.499984740745262"/>
      <name val="Franklin Gothic Demi"/>
      <charset val="204"/>
    </font>
    <font>
      <sz val="11"/>
      <color theme="0" tint="-4.9989318521683403E-2"/>
      <name val="Franklin Gothic Demi"/>
      <charset val="204"/>
    </font>
    <font>
      <sz val="11"/>
      <name val="Franklin Gothic Demi"/>
      <charset val="204"/>
    </font>
    <font>
      <sz val="11"/>
      <color theme="1" tint="4.9989318521683403E-2"/>
      <name val="Antique Olive Compact"/>
      <charset val="134"/>
    </font>
    <font>
      <sz val="11"/>
      <color theme="1" tint="4.9989318521683403E-2"/>
      <name val="Algerian"/>
      <charset val="134"/>
    </font>
    <font>
      <sz val="14"/>
      <color theme="0"/>
      <name val="Bahnschrift"/>
      <charset val="204"/>
    </font>
    <font>
      <sz val="14"/>
      <color theme="1"/>
      <name val="Bahnschrift"/>
      <charset val="204"/>
    </font>
    <font>
      <b/>
      <sz val="11"/>
      <name val="Calibri"/>
      <charset val="204"/>
      <scheme val="minor"/>
    </font>
    <font>
      <b/>
      <sz val="11"/>
      <color theme="0"/>
      <name val="Calibri"/>
      <charset val="204"/>
      <scheme val="minor"/>
    </font>
    <font>
      <b/>
      <sz val="11"/>
      <color rgb="FFFFC000"/>
      <name val="Calibri"/>
      <charset val="204"/>
      <scheme val="minor"/>
    </font>
    <font>
      <b/>
      <sz val="11"/>
      <color rgb="FFC00000"/>
      <name val="Calibri"/>
      <charset val="204"/>
      <scheme val="minor"/>
    </font>
    <font>
      <b/>
      <sz val="20"/>
      <color rgb="FFD5DA08"/>
      <name val="Impact"/>
      <charset val="204"/>
    </font>
    <font>
      <b/>
      <sz val="11"/>
      <name val="Franklin Gothic Demi"/>
      <charset val="204"/>
    </font>
    <font>
      <sz val="11"/>
      <color theme="0"/>
      <name val="Franklin Gothic Demi"/>
      <charset val="204"/>
    </font>
    <font>
      <sz val="12"/>
      <color theme="1"/>
      <name val="Bahnschrift"/>
      <charset val="204"/>
    </font>
    <font>
      <b/>
      <sz val="11"/>
      <color rgb="FFD5DA08"/>
      <name val="Calibri"/>
      <charset val="204"/>
      <scheme val="minor"/>
    </font>
    <font>
      <b/>
      <sz val="20"/>
      <color rgb="FF00B050"/>
      <name val="Impact"/>
      <charset val="204"/>
    </font>
    <font>
      <b/>
      <sz val="11"/>
      <color rgb="FF00B050"/>
      <name val="Calibri"/>
      <charset val="204"/>
      <scheme val="minor"/>
    </font>
    <font>
      <b/>
      <sz val="20"/>
      <color rgb="FFC00000"/>
      <name val="Impact"/>
      <charset val="204"/>
    </font>
    <font>
      <sz val="11"/>
      <color rgb="FFFFC000"/>
      <name val="Franklin Gothic Demi"/>
      <charset val="204"/>
    </font>
    <font>
      <sz val="20"/>
      <color theme="6" tint="0.39994506668294322"/>
      <name val="Arial Black"/>
      <charset val="204"/>
    </font>
    <font>
      <sz val="11"/>
      <color theme="0" tint="-4.9989318521683403E-2"/>
      <name val="Arial Black"/>
      <charset val="204"/>
    </font>
    <font>
      <sz val="11"/>
      <color theme="1" tint="4.9989318521683403E-2"/>
      <name val="Calibri"/>
      <charset val="134"/>
      <scheme val="minor"/>
    </font>
    <font>
      <b/>
      <sz val="11"/>
      <color theme="1" tint="4.9989318521683403E-2"/>
      <name val="Calibri"/>
      <charset val="204"/>
      <scheme val="minor"/>
    </font>
    <font>
      <b/>
      <sz val="11"/>
      <color rgb="FFFF0000"/>
      <name val="Calibri"/>
      <charset val="204"/>
      <scheme val="minor"/>
    </font>
    <font>
      <sz val="20"/>
      <color rgb="FF3179E3"/>
      <name val="Arial Black"/>
      <charset val="204"/>
    </font>
    <font>
      <sz val="11"/>
      <color theme="0"/>
      <name val="Arial Black"/>
      <charset val="204"/>
    </font>
    <font>
      <sz val="11"/>
      <color rgb="FF3179E3"/>
      <name val="Calibri"/>
      <charset val="134"/>
      <scheme val="minor"/>
    </font>
    <font>
      <sz val="11"/>
      <color theme="0" tint="-0.34998626667073579"/>
      <name val="Calibri"/>
      <charset val="134"/>
      <scheme val="minor"/>
    </font>
    <font>
      <sz val="11"/>
      <color rgb="FFFFFF00"/>
      <name val="Calibri"/>
      <charset val="134"/>
      <scheme val="minor"/>
    </font>
    <font>
      <sz val="11"/>
      <color rgb="FF00B050"/>
      <name val="Calibri"/>
      <charset val="134"/>
      <scheme val="minor"/>
    </font>
    <font>
      <sz val="11"/>
      <color theme="2" tint="-0.249977111117893"/>
      <name val="Calibri"/>
      <charset val="134"/>
      <scheme val="minor"/>
    </font>
    <font>
      <sz val="11"/>
      <color rgb="FFFFC000"/>
      <name val="Impact"/>
      <charset val="204"/>
    </font>
    <font>
      <b/>
      <sz val="11"/>
      <color theme="1"/>
      <name val="Antique Olive"/>
      <charset val="134"/>
    </font>
    <font>
      <sz val="11"/>
      <color theme="1"/>
      <name val="Algerian"/>
      <charset val="134"/>
    </font>
    <font>
      <b/>
      <sz val="20"/>
      <color theme="5" tint="-0.24994659260841701"/>
      <name val="Arial"/>
      <charset val="204"/>
    </font>
    <font>
      <b/>
      <sz val="9"/>
      <name val="Tahoma"/>
      <charset val="1"/>
    </font>
    <font>
      <b/>
      <sz val="9"/>
      <name val="Tahoma"/>
      <charset val="204"/>
    </font>
    <font>
      <sz val="9"/>
      <name val="Tahoma"/>
      <charset val="204"/>
    </font>
    <font>
      <sz val="9"/>
      <name val="Tahoma"/>
      <charset val="1"/>
    </font>
    <font>
      <b/>
      <sz val="9"/>
      <name val="Times New Roman"/>
    </font>
    <font>
      <sz val="9"/>
      <name val="Times New Roman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00B050"/>
      <name val="Calibri"/>
      <family val="2"/>
      <charset val="204"/>
      <scheme val="minor"/>
    </font>
    <font>
      <sz val="11"/>
      <color theme="1" tint="0.249977111117893"/>
      <name val="Algerian"/>
      <family val="5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3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183C5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A8A8A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DD7D7"/>
        <bgColor indexed="64"/>
      </patternFill>
    </fill>
    <fill>
      <patternFill patternType="solid">
        <fgColor rgb="FFDDF0C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4B79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179E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CC4C4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rgb="FF134873"/>
      </left>
      <right style="thin">
        <color rgb="FF134873"/>
      </right>
      <top style="thin">
        <color rgb="FF134873"/>
      </top>
      <bottom/>
      <diagonal/>
    </border>
    <border>
      <left style="thin">
        <color rgb="FF134873"/>
      </left>
      <right/>
      <top style="thin">
        <color rgb="FF134873"/>
      </top>
      <bottom/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/>
      <top style="thin">
        <color theme="9" tint="0.39994506668294322"/>
      </top>
      <bottom style="thin">
        <color theme="9" tint="0.39994506668294322"/>
      </bottom>
      <diagonal/>
    </border>
    <border>
      <left/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1" tint="0.14996795556505021"/>
      </left>
      <right style="thin">
        <color theme="1" tint="0.14996795556505021"/>
      </right>
      <top style="thin">
        <color theme="1" tint="0.14996795556505021"/>
      </top>
      <bottom style="thin">
        <color theme="1" tint="0.14996795556505021"/>
      </bottom>
      <diagonal/>
    </border>
    <border>
      <left/>
      <right/>
      <top/>
      <bottom style="thin">
        <color rgb="FF062D4E"/>
      </bottom>
      <diagonal/>
    </border>
    <border>
      <left style="medium">
        <color rgb="FFEC1606"/>
      </left>
      <right style="medium">
        <color rgb="FFEC1606"/>
      </right>
      <top style="medium">
        <color rgb="FFEC1606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medium">
        <color auto="1"/>
      </left>
      <right style="thin">
        <color theme="1" tint="0.34998626667073579"/>
      </right>
      <top style="medium">
        <color auto="1"/>
      </top>
      <bottom style="medium">
        <color auto="1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auto="1"/>
      </top>
      <bottom style="medium">
        <color auto="1"/>
      </bottom>
      <diagonal/>
    </border>
    <border>
      <left style="thin">
        <color theme="1" tint="0.34998626667073579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/>
      <bottom/>
      <diagonal/>
    </border>
    <border>
      <left style="medium">
        <color rgb="FFC00000"/>
      </left>
      <right style="thin">
        <color theme="1" tint="0.34998626667073579"/>
      </right>
      <top style="medium">
        <color rgb="FFC00000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rgb="FFC00000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rgb="FFC00000"/>
      </right>
      <top style="medium">
        <color rgb="FFC00000"/>
      </top>
      <bottom style="thin">
        <color theme="1" tint="0.34998626667073579"/>
      </bottom>
      <diagonal/>
    </border>
    <border>
      <left style="medium">
        <color rgb="FFC00000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rgb="FFC00000"/>
      </right>
      <top/>
      <bottom style="thin">
        <color theme="1" tint="0.34998626667073579"/>
      </bottom>
      <diagonal/>
    </border>
    <border>
      <left style="medium">
        <color rgb="FFC00000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rgb="FFC00000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rgb="FFC00000"/>
      </left>
      <right style="thin">
        <color theme="1" tint="0.34998626667073579"/>
      </right>
      <top/>
      <bottom style="medium">
        <color rgb="FFC00000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medium">
        <color rgb="FFC00000"/>
      </bottom>
      <diagonal/>
    </border>
    <border>
      <left style="thin">
        <color theme="1" tint="0.34998626667073579"/>
      </left>
      <right style="medium">
        <color rgb="FFC00000"/>
      </right>
      <top/>
      <bottom style="medium">
        <color rgb="FFC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9">
    <xf numFmtId="0" fontId="0" fillId="0" borderId="0" xfId="0"/>
    <xf numFmtId="0" fontId="0" fillId="2" borderId="0" xfId="0" applyFill="1"/>
    <xf numFmtId="0" fontId="5" fillId="8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0" fillId="11" borderId="4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 vertical="center"/>
    </xf>
    <xf numFmtId="164" fontId="11" fillId="11" borderId="4" xfId="0" applyNumberFormat="1" applyFont="1" applyFill="1" applyBorder="1" applyAlignment="1">
      <alignment horizontal="right" vertical="center"/>
    </xf>
    <xf numFmtId="164" fontId="11" fillId="11" borderId="5" xfId="0" applyNumberFormat="1" applyFont="1" applyFill="1" applyBorder="1" applyAlignment="1">
      <alignment horizontal="right" vertical="center"/>
    </xf>
    <xf numFmtId="164" fontId="11" fillId="12" borderId="3" xfId="0" applyNumberFormat="1" applyFont="1" applyFill="1" applyBorder="1" applyAlignment="1">
      <alignment horizontal="right" vertical="center"/>
    </xf>
    <xf numFmtId="164" fontId="11" fillId="13" borderId="3" xfId="0" applyNumberFormat="1" applyFont="1" applyFill="1" applyBorder="1"/>
    <xf numFmtId="0" fontId="10" fillId="8" borderId="6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64" fontId="11" fillId="8" borderId="6" xfId="0" applyNumberFormat="1" applyFont="1" applyFill="1" applyBorder="1" applyAlignment="1">
      <alignment horizontal="right" vertical="center"/>
    </xf>
    <xf numFmtId="164" fontId="11" fillId="8" borderId="7" xfId="0" applyNumberFormat="1" applyFont="1" applyFill="1" applyBorder="1" applyAlignment="1">
      <alignment horizontal="right" vertical="center"/>
    </xf>
    <xf numFmtId="164" fontId="11" fillId="13" borderId="3" xfId="0" applyNumberFormat="1" applyFont="1" applyFill="1" applyBorder="1" applyAlignment="1"/>
    <xf numFmtId="164" fontId="13" fillId="3" borderId="6" xfId="0" applyNumberFormat="1" applyFont="1" applyFill="1" applyBorder="1"/>
    <xf numFmtId="164" fontId="14" fillId="4" borderId="6" xfId="0" applyNumberFormat="1" applyFont="1" applyFill="1" applyBorder="1" applyAlignment="1">
      <alignment horizontal="right" vertical="center"/>
    </xf>
    <xf numFmtId="164" fontId="14" fillId="5" borderId="6" xfId="0" applyNumberFormat="1" applyFont="1" applyFill="1" applyBorder="1" applyAlignment="1">
      <alignment horizontal="right" vertical="center"/>
    </xf>
    <xf numFmtId="164" fontId="15" fillId="6" borderId="6" xfId="0" applyNumberFormat="1" applyFont="1" applyFill="1" applyBorder="1" applyAlignment="1">
      <alignment horizontal="right" vertical="center"/>
    </xf>
    <xf numFmtId="164" fontId="15" fillId="9" borderId="3" xfId="0" applyNumberFormat="1" applyFont="1" applyFill="1" applyBorder="1" applyAlignment="1">
      <alignment horizontal="right" vertical="center"/>
    </xf>
    <xf numFmtId="164" fontId="15" fillId="10" borderId="3" xfId="0" applyNumberFormat="1" applyFont="1" applyFill="1" applyBorder="1"/>
    <xf numFmtId="164" fontId="16" fillId="2" borderId="3" xfId="0" applyNumberFormat="1" applyFont="1" applyFill="1" applyBorder="1" applyAlignment="1">
      <alignment vertical="center"/>
    </xf>
    <xf numFmtId="164" fontId="0" fillId="2" borderId="0" xfId="0" applyNumberFormat="1" applyFill="1"/>
    <xf numFmtId="164" fontId="15" fillId="6" borderId="7" xfId="0" applyNumberFormat="1" applyFont="1" applyFill="1" applyBorder="1" applyAlignment="1">
      <alignment horizontal="right" vertical="center"/>
    </xf>
    <xf numFmtId="164" fontId="14" fillId="7" borderId="6" xfId="0" applyNumberFormat="1" applyFont="1" applyFill="1" applyBorder="1" applyAlignment="1">
      <alignment horizontal="right" vertical="center"/>
    </xf>
    <xf numFmtId="164" fontId="14" fillId="7" borderId="7" xfId="0" applyNumberFormat="1" applyFont="1" applyFill="1" applyBorder="1" applyAlignment="1">
      <alignment horizontal="right" vertical="center"/>
    </xf>
    <xf numFmtId="164" fontId="14" fillId="9" borderId="3" xfId="0" applyNumberFormat="1" applyFont="1" applyFill="1" applyBorder="1" applyAlignment="1">
      <alignment horizontal="right" vertical="center"/>
    </xf>
    <xf numFmtId="164" fontId="14" fillId="10" borderId="3" xfId="0" applyNumberFormat="1" applyFont="1" applyFill="1" applyBorder="1" applyAlignment="1">
      <alignment horizontal="right" vertical="center"/>
    </xf>
    <xf numFmtId="164" fontId="17" fillId="2" borderId="3" xfId="0" applyNumberFormat="1" applyFont="1" applyFill="1" applyBorder="1" applyAlignment="1">
      <alignment horizontal="right" vertical="center"/>
    </xf>
    <xf numFmtId="0" fontId="0" fillId="2" borderId="0" xfId="0" applyFill="1" applyAlignment="1"/>
    <xf numFmtId="164" fontId="11" fillId="16" borderId="3" xfId="0" applyNumberFormat="1" applyFont="1" applyFill="1" applyBorder="1" applyAlignment="1"/>
    <xf numFmtId="0" fontId="8" fillId="17" borderId="8" xfId="0" applyFont="1" applyFill="1" applyBorder="1" applyAlignment="1">
      <alignment horizontal="center" vertical="center" wrapText="1"/>
    </xf>
    <xf numFmtId="0" fontId="8" fillId="18" borderId="8" xfId="0" applyFont="1" applyFill="1" applyBorder="1" applyAlignment="1">
      <alignment horizontal="center" vertical="center" wrapText="1"/>
    </xf>
    <xf numFmtId="0" fontId="8" fillId="17" borderId="9" xfId="0" applyFont="1" applyFill="1" applyBorder="1" applyAlignment="1">
      <alignment horizontal="center" vertical="center" wrapText="1"/>
    </xf>
    <xf numFmtId="0" fontId="8" fillId="19" borderId="6" xfId="0" applyFont="1" applyFill="1" applyBorder="1" applyAlignment="1">
      <alignment horizontal="center" vertical="center" wrapText="1"/>
    </xf>
    <xf numFmtId="0" fontId="19" fillId="20" borderId="6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20" fillId="18" borderId="6" xfId="0" applyFont="1" applyFill="1" applyBorder="1" applyAlignment="1">
      <alignment horizontal="center" vertical="center" wrapText="1"/>
    </xf>
    <xf numFmtId="0" fontId="10" fillId="21" borderId="6" xfId="0" applyFont="1" applyFill="1" applyBorder="1" applyAlignment="1">
      <alignment horizontal="center" vertical="center"/>
    </xf>
    <xf numFmtId="0" fontId="11" fillId="21" borderId="6" xfId="0" applyFont="1" applyFill="1" applyBorder="1" applyAlignment="1">
      <alignment horizontal="center" vertical="center"/>
    </xf>
    <xf numFmtId="164" fontId="11" fillId="21" borderId="6" xfId="0" applyNumberFormat="1" applyFont="1" applyFill="1" applyBorder="1" applyAlignment="1">
      <alignment horizontal="right" vertical="center"/>
    </xf>
    <xf numFmtId="164" fontId="11" fillId="21" borderId="7" xfId="0" applyNumberFormat="1" applyFont="1" applyFill="1" applyBorder="1" applyAlignment="1">
      <alignment horizontal="right" vertical="center"/>
    </xf>
    <xf numFmtId="164" fontId="11" fillId="22" borderId="6" xfId="0" applyNumberFormat="1" applyFont="1" applyFill="1" applyBorder="1" applyAlignment="1">
      <alignment horizontal="right" vertical="center"/>
    </xf>
    <xf numFmtId="164" fontId="11" fillId="23" borderId="6" xfId="0" applyNumberFormat="1" applyFont="1" applyFill="1" applyBorder="1" applyAlignment="1">
      <alignment horizontal="right" vertical="center"/>
    </xf>
    <xf numFmtId="164" fontId="11" fillId="24" borderId="6" xfId="0" applyNumberFormat="1" applyFont="1" applyFill="1" applyBorder="1"/>
    <xf numFmtId="0" fontId="10" fillId="11" borderId="6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164" fontId="11" fillId="11" borderId="6" xfId="0" applyNumberFormat="1" applyFont="1" applyFill="1" applyBorder="1" applyAlignment="1">
      <alignment horizontal="right" vertical="center"/>
    </xf>
    <xf numFmtId="164" fontId="11" fillId="11" borderId="7" xfId="0" applyNumberFormat="1" applyFont="1" applyFill="1" applyBorder="1" applyAlignment="1">
      <alignment horizontal="right" vertical="center"/>
    </xf>
    <xf numFmtId="164" fontId="11" fillId="24" borderId="6" xfId="0" applyNumberFormat="1" applyFont="1" applyFill="1" applyBorder="1" applyAlignment="1"/>
    <xf numFmtId="164" fontId="21" fillId="3" borderId="6" xfId="0" applyNumberFormat="1" applyFont="1" applyFill="1" applyBorder="1"/>
    <xf numFmtId="164" fontId="11" fillId="25" borderId="6" xfId="0" applyNumberFormat="1" applyFont="1" applyFill="1" applyBorder="1" applyAlignment="1">
      <alignment horizontal="right" vertical="center"/>
    </xf>
    <xf numFmtId="164" fontId="11" fillId="16" borderId="6" xfId="0" applyNumberFormat="1" applyFont="1" applyFill="1" applyBorder="1" applyAlignment="1"/>
    <xf numFmtId="164" fontId="15" fillId="18" borderId="6" xfId="0" applyNumberFormat="1" applyFont="1" applyFill="1" applyBorder="1" applyAlignment="1">
      <alignment horizontal="right" vertical="center"/>
    </xf>
    <xf numFmtId="164" fontId="15" fillId="18" borderId="7" xfId="0" applyNumberFormat="1" applyFont="1" applyFill="1" applyBorder="1" applyAlignment="1">
      <alignment horizontal="right" vertical="center"/>
    </xf>
    <xf numFmtId="164" fontId="14" fillId="26" borderId="6" xfId="0" applyNumberFormat="1" applyFont="1" applyFill="1" applyBorder="1" applyAlignment="1">
      <alignment horizontal="right" vertical="center"/>
    </xf>
    <xf numFmtId="164" fontId="14" fillId="20" borderId="6" xfId="0" applyNumberFormat="1" applyFont="1" applyFill="1" applyBorder="1" applyAlignment="1">
      <alignment horizontal="right" vertical="center"/>
    </xf>
    <xf numFmtId="164" fontId="14" fillId="27" borderId="6" xfId="0" applyNumberFormat="1" applyFont="1" applyFill="1" applyBorder="1"/>
    <xf numFmtId="164" fontId="14" fillId="18" borderId="6" xfId="0" applyNumberFormat="1" applyFont="1" applyFill="1" applyBorder="1" applyAlignment="1">
      <alignment vertical="center"/>
    </xf>
    <xf numFmtId="164" fontId="11" fillId="28" borderId="6" xfId="0" applyNumberFormat="1" applyFont="1" applyFill="1" applyBorder="1"/>
    <xf numFmtId="164" fontId="11" fillId="10" borderId="6" xfId="0" applyNumberFormat="1" applyFont="1" applyFill="1" applyBorder="1" applyAlignment="1"/>
    <xf numFmtId="164" fontId="22" fillId="18" borderId="6" xfId="0" applyNumberFormat="1" applyFont="1" applyFill="1" applyBorder="1" applyAlignment="1">
      <alignment vertical="center"/>
    </xf>
    <xf numFmtId="164" fontId="22" fillId="18" borderId="6" xfId="0" applyNumberFormat="1" applyFont="1" applyFill="1" applyBorder="1" applyAlignment="1">
      <alignment horizontal="right" vertical="center"/>
    </xf>
    <xf numFmtId="164" fontId="22" fillId="18" borderId="7" xfId="0" applyNumberFormat="1" applyFont="1" applyFill="1" applyBorder="1" applyAlignment="1">
      <alignment horizontal="right" vertical="center"/>
    </xf>
    <xf numFmtId="164" fontId="14" fillId="27" borderId="6" xfId="0" applyNumberFormat="1" applyFont="1" applyFill="1" applyBorder="1" applyAlignment="1">
      <alignment horizontal="right" vertical="center"/>
    </xf>
    <xf numFmtId="164" fontId="17" fillId="18" borderId="6" xfId="0" applyNumberFormat="1" applyFont="1" applyFill="1" applyBorder="1" applyAlignment="1">
      <alignment horizontal="right" vertical="center"/>
    </xf>
    <xf numFmtId="164" fontId="11" fillId="21" borderId="6" xfId="0" applyNumberFormat="1" applyFont="1" applyFill="1" applyBorder="1"/>
    <xf numFmtId="164" fontId="11" fillId="21" borderId="6" xfId="0" applyNumberFormat="1" applyFont="1" applyFill="1" applyBorder="1" applyAlignment="1">
      <alignment vertical="center"/>
    </xf>
    <xf numFmtId="164" fontId="11" fillId="11" borderId="6" xfId="0" applyNumberFormat="1" applyFont="1" applyFill="1" applyBorder="1"/>
    <xf numFmtId="164" fontId="11" fillId="11" borderId="6" xfId="0" applyNumberFormat="1" applyFont="1" applyFill="1" applyBorder="1" applyAlignment="1">
      <alignment vertical="center"/>
    </xf>
    <xf numFmtId="164" fontId="11" fillId="15" borderId="6" xfId="0" applyNumberFormat="1" applyFont="1" applyFill="1" applyBorder="1"/>
    <xf numFmtId="164" fontId="15" fillId="18" borderId="6" xfId="0" applyNumberFormat="1" applyFont="1" applyFill="1" applyBorder="1"/>
    <xf numFmtId="164" fontId="16" fillId="18" borderId="6" xfId="0" applyNumberFormat="1" applyFont="1" applyFill="1" applyBorder="1" applyAlignment="1">
      <alignment vertical="center"/>
    </xf>
    <xf numFmtId="164" fontId="24" fillId="18" borderId="6" xfId="0" applyNumberFormat="1" applyFont="1" applyFill="1" applyBorder="1" applyAlignment="1">
      <alignment horizontal="right" vertical="center"/>
    </xf>
    <xf numFmtId="0" fontId="26" fillId="17" borderId="8" xfId="0" applyFont="1" applyFill="1" applyBorder="1" applyAlignment="1">
      <alignment horizontal="center" vertical="center" wrapText="1"/>
    </xf>
    <xf numFmtId="164" fontId="16" fillId="18" borderId="6" xfId="0" applyNumberFormat="1" applyFont="1" applyFill="1" applyBorder="1" applyAlignment="1">
      <alignment horizontal="right" vertical="center"/>
    </xf>
    <xf numFmtId="164" fontId="16" fillId="18" borderId="6" xfId="0" applyNumberFormat="1" applyFont="1" applyFill="1" applyBorder="1"/>
    <xf numFmtId="0" fontId="28" fillId="30" borderId="8" xfId="0" applyFont="1" applyFill="1" applyBorder="1" applyAlignment="1">
      <alignment horizontal="center" vertical="center" wrapText="1"/>
    </xf>
    <xf numFmtId="0" fontId="29" fillId="27" borderId="10" xfId="0" applyFont="1" applyFill="1" applyBorder="1" applyAlignment="1">
      <alignment horizontal="center" vertical="center"/>
    </xf>
    <xf numFmtId="164" fontId="29" fillId="27" borderId="10" xfId="0" applyNumberFormat="1" applyFont="1" applyFill="1" applyBorder="1" applyAlignment="1">
      <alignment horizontal="center" vertical="center"/>
    </xf>
    <xf numFmtId="164" fontId="29" fillId="27" borderId="10" xfId="0" applyNumberFormat="1" applyFont="1" applyFill="1" applyBorder="1"/>
    <xf numFmtId="164" fontId="29" fillId="27" borderId="10" xfId="0" applyNumberFormat="1" applyFont="1" applyFill="1" applyBorder="1" applyAlignment="1">
      <alignment vertical="center"/>
    </xf>
    <xf numFmtId="0" fontId="29" fillId="13" borderId="10" xfId="0" applyFont="1" applyFill="1" applyBorder="1" applyAlignment="1">
      <alignment horizontal="center" vertical="center"/>
    </xf>
    <xf numFmtId="164" fontId="29" fillId="13" borderId="10" xfId="0" applyNumberFormat="1" applyFont="1" applyFill="1" applyBorder="1" applyAlignment="1">
      <alignment horizontal="center" vertical="center"/>
    </xf>
    <xf numFmtId="164" fontId="29" fillId="13" borderId="10" xfId="0" applyNumberFormat="1" applyFont="1" applyFill="1" applyBorder="1"/>
    <xf numFmtId="164" fontId="29" fillId="13" borderId="10" xfId="0" applyNumberFormat="1" applyFont="1" applyFill="1" applyBorder="1" applyAlignment="1">
      <alignment vertical="center"/>
    </xf>
    <xf numFmtId="164" fontId="30" fillId="22" borderId="10" xfId="0" applyNumberFormat="1" applyFont="1" applyFill="1" applyBorder="1" applyAlignment="1">
      <alignment horizontal="center" vertical="center"/>
    </xf>
    <xf numFmtId="164" fontId="30" fillId="22" borderId="10" xfId="0" applyNumberFormat="1" applyFont="1" applyFill="1" applyBorder="1"/>
    <xf numFmtId="164" fontId="31" fillId="22" borderId="10" xfId="0" applyNumberFormat="1" applyFont="1" applyFill="1" applyBorder="1" applyAlignment="1">
      <alignment vertical="center"/>
    </xf>
    <xf numFmtId="164" fontId="29" fillId="15" borderId="10" xfId="0" applyNumberFormat="1" applyFont="1" applyFill="1" applyBorder="1"/>
    <xf numFmtId="164" fontId="30" fillId="31" borderId="10" xfId="0" applyNumberFormat="1" applyFont="1" applyFill="1" applyBorder="1" applyAlignment="1">
      <alignment horizontal="center" vertical="center"/>
    </xf>
    <xf numFmtId="0" fontId="29" fillId="32" borderId="10" xfId="0" applyFont="1" applyFill="1" applyBorder="1" applyAlignment="1">
      <alignment horizontal="center" vertical="center"/>
    </xf>
    <xf numFmtId="164" fontId="29" fillId="32" borderId="10" xfId="0" applyNumberFormat="1" applyFont="1" applyFill="1" applyBorder="1" applyAlignment="1">
      <alignment horizontal="center" vertical="center"/>
    </xf>
    <xf numFmtId="164" fontId="29" fillId="32" borderId="10" xfId="0" applyNumberFormat="1" applyFont="1" applyFill="1" applyBorder="1"/>
    <xf numFmtId="164" fontId="29" fillId="32" borderId="10" xfId="0" applyNumberFormat="1" applyFont="1" applyFill="1" applyBorder="1" applyAlignment="1">
      <alignment vertical="center"/>
    </xf>
    <xf numFmtId="0" fontId="29" fillId="33" borderId="10" xfId="0" applyFont="1" applyFill="1" applyBorder="1" applyAlignment="1">
      <alignment horizontal="center" vertical="center"/>
    </xf>
    <xf numFmtId="164" fontId="29" fillId="33" borderId="10" xfId="0" applyNumberFormat="1" applyFont="1" applyFill="1" applyBorder="1" applyAlignment="1">
      <alignment horizontal="center" vertical="center"/>
    </xf>
    <xf numFmtId="164" fontId="29" fillId="33" borderId="10" xfId="0" applyNumberFormat="1" applyFont="1" applyFill="1" applyBorder="1"/>
    <xf numFmtId="164" fontId="29" fillId="33" borderId="10" xfId="0" applyNumberFormat="1" applyFont="1" applyFill="1" applyBorder="1" applyAlignment="1">
      <alignment vertical="center"/>
    </xf>
    <xf numFmtId="164" fontId="29" fillId="32" borderId="10" xfId="0" applyNumberFormat="1" applyFont="1" applyFill="1" applyBorder="1" applyAlignment="1">
      <alignment horizontal="center"/>
    </xf>
    <xf numFmtId="0" fontId="33" fillId="35" borderId="8" xfId="0" applyFont="1" applyFill="1" applyBorder="1" applyAlignment="1">
      <alignment horizontal="center" vertical="center" wrapText="1"/>
    </xf>
    <xf numFmtId="0" fontId="34" fillId="29" borderId="13" xfId="0" applyFont="1" applyFill="1" applyBorder="1" applyAlignment="1">
      <alignment horizontal="center" vertical="center"/>
    </xf>
    <xf numFmtId="164" fontId="35" fillId="29" borderId="13" xfId="0" applyNumberFormat="1" applyFont="1" applyFill="1" applyBorder="1" applyAlignment="1">
      <alignment horizontal="center" vertical="center"/>
    </xf>
    <xf numFmtId="164" fontId="36" fillId="29" borderId="13" xfId="0" applyNumberFormat="1" applyFont="1" applyFill="1" applyBorder="1" applyAlignment="1">
      <alignment horizontal="center" vertical="center"/>
    </xf>
    <xf numFmtId="164" fontId="34" fillId="29" borderId="13" xfId="0" applyNumberFormat="1" applyFont="1" applyFill="1" applyBorder="1" applyAlignment="1">
      <alignment horizontal="center" vertical="center"/>
    </xf>
    <xf numFmtId="164" fontId="37" fillId="29" borderId="13" xfId="0" applyNumberFormat="1" applyFont="1" applyFill="1" applyBorder="1"/>
    <xf numFmtId="164" fontId="36" fillId="18" borderId="0" xfId="0" applyNumberFormat="1" applyFont="1" applyFill="1" applyBorder="1" applyAlignment="1">
      <alignment vertical="center"/>
    </xf>
    <xf numFmtId="0" fontId="34" fillId="17" borderId="13" xfId="0" applyFont="1" applyFill="1" applyBorder="1" applyAlignment="1">
      <alignment horizontal="center" vertical="center"/>
    </xf>
    <xf numFmtId="164" fontId="36" fillId="17" borderId="13" xfId="0" applyNumberFormat="1" applyFont="1" applyFill="1" applyBorder="1" applyAlignment="1">
      <alignment horizontal="center" vertical="center"/>
    </xf>
    <xf numFmtId="164" fontId="35" fillId="17" borderId="13" xfId="0" applyNumberFormat="1" applyFont="1" applyFill="1" applyBorder="1" applyAlignment="1">
      <alignment horizontal="center" vertical="center"/>
    </xf>
    <xf numFmtId="164" fontId="38" fillId="17" borderId="13" xfId="0" applyNumberFormat="1" applyFont="1" applyFill="1" applyBorder="1" applyAlignment="1">
      <alignment horizontal="center" vertical="center"/>
    </xf>
    <xf numFmtId="164" fontId="34" fillId="17" borderId="13" xfId="0" applyNumberFormat="1" applyFont="1" applyFill="1" applyBorder="1" applyAlignment="1">
      <alignment horizontal="center" vertical="center"/>
    </xf>
    <xf numFmtId="164" fontId="37" fillId="17" borderId="13" xfId="0" applyNumberFormat="1" applyFont="1" applyFill="1" applyBorder="1"/>
    <xf numFmtId="0" fontId="34" fillId="18" borderId="13" xfId="0" applyFont="1" applyFill="1" applyBorder="1" applyAlignment="1">
      <alignment horizontal="center" vertical="center"/>
    </xf>
    <xf numFmtId="164" fontId="36" fillId="18" borderId="13" xfId="0" applyNumberFormat="1" applyFont="1" applyFill="1" applyBorder="1" applyAlignment="1">
      <alignment horizontal="center" vertical="center"/>
    </xf>
    <xf numFmtId="164" fontId="38" fillId="18" borderId="13" xfId="0" applyNumberFormat="1" applyFont="1" applyFill="1" applyBorder="1" applyAlignment="1">
      <alignment horizontal="center" vertical="center"/>
    </xf>
    <xf numFmtId="164" fontId="35" fillId="18" borderId="13" xfId="0" applyNumberFormat="1" applyFont="1" applyFill="1" applyBorder="1" applyAlignment="1">
      <alignment horizontal="center" vertical="center"/>
    </xf>
    <xf numFmtId="164" fontId="34" fillId="18" borderId="13" xfId="0" applyNumberFormat="1" applyFont="1" applyFill="1" applyBorder="1" applyAlignment="1">
      <alignment horizontal="center" vertical="center"/>
    </xf>
    <xf numFmtId="164" fontId="37" fillId="18" borderId="13" xfId="0" applyNumberFormat="1" applyFont="1" applyFill="1" applyBorder="1"/>
    <xf numFmtId="164" fontId="36" fillId="29" borderId="0" xfId="0" applyNumberFormat="1" applyFont="1" applyFill="1" applyBorder="1" applyAlignment="1">
      <alignment vertical="center"/>
    </xf>
    <xf numFmtId="164" fontId="34" fillId="18" borderId="13" xfId="0" applyNumberFormat="1" applyFont="1" applyFill="1" applyBorder="1"/>
    <xf numFmtId="164" fontId="36" fillId="18" borderId="14" xfId="0" applyNumberFormat="1" applyFont="1" applyFill="1" applyBorder="1" applyAlignment="1">
      <alignment vertical="center"/>
    </xf>
    <xf numFmtId="0" fontId="0" fillId="36" borderId="0" xfId="0" applyFill="1"/>
    <xf numFmtId="0" fontId="39" fillId="17" borderId="15" xfId="0" applyFont="1" applyFill="1" applyBorder="1" applyAlignment="1">
      <alignment horizontal="center" vertical="center"/>
    </xf>
    <xf numFmtId="0" fontId="40" fillId="0" borderId="6" xfId="0" applyFont="1" applyBorder="1"/>
    <xf numFmtId="164" fontId="41" fillId="0" borderId="6" xfId="0" applyNumberFormat="1" applyFont="1" applyBorder="1" applyAlignment="1">
      <alignment horizontal="center"/>
    </xf>
    <xf numFmtId="164" fontId="41" fillId="0" borderId="6" xfId="0" applyNumberFormat="1" applyFont="1" applyBorder="1"/>
    <xf numFmtId="0" fontId="40" fillId="0" borderId="16" xfId="0" applyFont="1" applyBorder="1"/>
    <xf numFmtId="164" fontId="41" fillId="0" borderId="16" xfId="0" applyNumberFormat="1" applyFont="1" applyBorder="1"/>
    <xf numFmtId="0" fontId="40" fillId="31" borderId="17" xfId="0" applyFont="1" applyFill="1" applyBorder="1"/>
    <xf numFmtId="164" fontId="41" fillId="31" borderId="18" xfId="0" applyNumberFormat="1" applyFont="1" applyFill="1" applyBorder="1"/>
    <xf numFmtId="164" fontId="41" fillId="31" borderId="19" xfId="0" applyNumberFormat="1" applyFont="1" applyFill="1" applyBorder="1"/>
    <xf numFmtId="0" fontId="13" fillId="3" borderId="7" xfId="0" applyFont="1" applyFill="1" applyBorder="1" applyAlignment="1">
      <alignment horizontal="center"/>
    </xf>
    <xf numFmtId="0" fontId="13" fillId="3" borderId="20" xfId="0" applyFont="1" applyFill="1" applyBorder="1" applyAlignment="1">
      <alignment horizontal="center"/>
    </xf>
    <xf numFmtId="0" fontId="13" fillId="3" borderId="21" xfId="0" applyFont="1" applyFill="1" applyBorder="1" applyAlignment="1">
      <alignment horizontal="center"/>
    </xf>
    <xf numFmtId="0" fontId="10" fillId="11" borderId="22" xfId="0" applyFont="1" applyFill="1" applyBorder="1" applyAlignment="1">
      <alignment horizontal="center" vertical="center"/>
    </xf>
    <xf numFmtId="0" fontId="11" fillId="11" borderId="22" xfId="0" applyFont="1" applyFill="1" applyBorder="1" applyAlignment="1">
      <alignment horizontal="center" vertical="center"/>
    </xf>
    <xf numFmtId="164" fontId="11" fillId="11" borderId="22" xfId="0" applyNumberFormat="1" applyFont="1" applyFill="1" applyBorder="1" applyAlignment="1">
      <alignment horizontal="right" vertical="center"/>
    </xf>
    <xf numFmtId="164" fontId="11" fillId="11" borderId="23" xfId="0" applyNumberFormat="1" applyFont="1" applyFill="1" applyBorder="1" applyAlignment="1">
      <alignment horizontal="right" vertical="center"/>
    </xf>
    <xf numFmtId="164" fontId="14" fillId="4" borderId="4" xfId="0" applyNumberFormat="1" applyFont="1" applyFill="1" applyBorder="1" applyAlignment="1">
      <alignment horizontal="right" vertical="center"/>
    </xf>
    <xf numFmtId="164" fontId="14" fillId="5" borderId="4" xfId="0" applyNumberFormat="1" applyFont="1" applyFill="1" applyBorder="1" applyAlignment="1">
      <alignment horizontal="right" vertical="center"/>
    </xf>
    <xf numFmtId="164" fontId="15" fillId="6" borderId="4" xfId="0" applyNumberFormat="1" applyFont="1" applyFill="1" applyBorder="1" applyAlignment="1">
      <alignment horizontal="right" vertical="center"/>
    </xf>
    <xf numFmtId="164" fontId="15" fillId="6" borderId="5" xfId="0" applyNumberFormat="1" applyFont="1" applyFill="1" applyBorder="1" applyAlignment="1">
      <alignment horizontal="right" vertical="center"/>
    </xf>
    <xf numFmtId="0" fontId="10" fillId="23" borderId="24" xfId="0" applyFont="1" applyFill="1" applyBorder="1" applyAlignment="1">
      <alignment horizontal="center" vertical="center"/>
    </xf>
    <xf numFmtId="0" fontId="11" fillId="23" borderId="25" xfId="0" applyFont="1" applyFill="1" applyBorder="1" applyAlignment="1">
      <alignment horizontal="center" vertical="center"/>
    </xf>
    <xf numFmtId="164" fontId="11" fillId="23" borderId="25" xfId="0" applyNumberFormat="1" applyFont="1" applyFill="1" applyBorder="1" applyAlignment="1">
      <alignment horizontal="right" vertical="center"/>
    </xf>
    <xf numFmtId="164" fontId="11" fillId="23" borderId="26" xfId="0" applyNumberFormat="1" applyFont="1" applyFill="1" applyBorder="1" applyAlignment="1">
      <alignment horizontal="right" vertical="center"/>
    </xf>
    <xf numFmtId="0" fontId="10" fillId="23" borderId="29" xfId="0" applyFont="1" applyFill="1" applyBorder="1" applyAlignment="1">
      <alignment horizontal="center" vertical="center"/>
    </xf>
    <xf numFmtId="0" fontId="11" fillId="23" borderId="6" xfId="0" applyFont="1" applyFill="1" applyBorder="1" applyAlignment="1">
      <alignment horizontal="center" vertical="center"/>
    </xf>
    <xf numFmtId="164" fontId="11" fillId="23" borderId="30" xfId="0" applyNumberFormat="1" applyFont="1" applyFill="1" applyBorder="1" applyAlignment="1">
      <alignment horizontal="right" vertical="center"/>
    </xf>
    <xf numFmtId="0" fontId="10" fillId="37" borderId="27" xfId="0" applyFont="1" applyFill="1" applyBorder="1" applyAlignment="1">
      <alignment horizontal="center" vertical="center"/>
    </xf>
    <xf numFmtId="0" fontId="11" fillId="37" borderId="4" xfId="0" applyFont="1" applyFill="1" applyBorder="1" applyAlignment="1">
      <alignment horizontal="center" vertical="center"/>
    </xf>
    <xf numFmtId="164" fontId="11" fillId="37" borderId="4" xfId="0" applyNumberFormat="1" applyFont="1" applyFill="1" applyBorder="1" applyAlignment="1">
      <alignment horizontal="right" vertical="center"/>
    </xf>
    <xf numFmtId="164" fontId="11" fillId="37" borderId="28" xfId="0" applyNumberFormat="1" applyFont="1" applyFill="1" applyBorder="1" applyAlignment="1">
      <alignment horizontal="right" vertical="center"/>
    </xf>
    <xf numFmtId="0" fontId="10" fillId="37" borderId="31" xfId="0" applyFont="1" applyFill="1" applyBorder="1" applyAlignment="1">
      <alignment horizontal="center" vertical="center"/>
    </xf>
    <xf numFmtId="0" fontId="11" fillId="37" borderId="32" xfId="0" applyFont="1" applyFill="1" applyBorder="1" applyAlignment="1">
      <alignment horizontal="center" vertical="center"/>
    </xf>
    <xf numFmtId="164" fontId="11" fillId="37" borderId="32" xfId="0" applyNumberFormat="1" applyFont="1" applyFill="1" applyBorder="1" applyAlignment="1">
      <alignment horizontal="right" vertical="center"/>
    </xf>
    <xf numFmtId="164" fontId="11" fillId="37" borderId="33" xfId="0" applyNumberFormat="1" applyFont="1" applyFill="1" applyBorder="1" applyAlignment="1">
      <alignment horizontal="right" vertical="center"/>
    </xf>
    <xf numFmtId="165" fontId="0" fillId="2" borderId="0" xfId="0" applyNumberFormat="1" applyFill="1"/>
    <xf numFmtId="164" fontId="11" fillId="13" borderId="1" xfId="0" applyNumberFormat="1" applyFont="1" applyFill="1" applyBorder="1"/>
    <xf numFmtId="164" fontId="16" fillId="2" borderId="35" xfId="0" applyNumberFormat="1" applyFont="1" applyFill="1" applyBorder="1" applyAlignment="1">
      <alignment vertical="center"/>
    </xf>
    <xf numFmtId="164" fontId="11" fillId="13" borderId="1" xfId="0" applyNumberFormat="1" applyFont="1" applyFill="1" applyBorder="1" applyAlignment="1"/>
    <xf numFmtId="164" fontId="51" fillId="2" borderId="3" xfId="0" applyNumberFormat="1" applyFont="1" applyFill="1" applyBorder="1" applyAlignment="1">
      <alignment horizontal="right" vertical="center"/>
    </xf>
    <xf numFmtId="164" fontId="11" fillId="16" borderId="1" xfId="0" applyNumberFormat="1" applyFont="1" applyFill="1" applyBorder="1" applyAlignment="1"/>
    <xf numFmtId="0" fontId="32" fillId="34" borderId="0" xfId="0" applyFont="1" applyFill="1" applyAlignment="1">
      <alignment horizontal="center" vertical="center"/>
    </xf>
    <xf numFmtId="0" fontId="34" fillId="18" borderId="13" xfId="0" applyFont="1" applyFill="1" applyBorder="1" applyAlignment="1">
      <alignment horizontal="right"/>
    </xf>
    <xf numFmtId="0" fontId="27" fillId="29" borderId="0" xfId="0" applyFont="1" applyFill="1" applyAlignment="1">
      <alignment horizontal="center" vertical="center"/>
    </xf>
    <xf numFmtId="0" fontId="29" fillId="32" borderId="10" xfId="0" applyFont="1" applyFill="1" applyBorder="1" applyAlignment="1">
      <alignment horizontal="right"/>
    </xf>
    <xf numFmtId="0" fontId="30" fillId="22" borderId="11" xfId="0" applyFont="1" applyFill="1" applyBorder="1" applyAlignment="1">
      <alignment horizontal="right" vertical="center"/>
    </xf>
    <xf numFmtId="0" fontId="30" fillId="22" borderId="12" xfId="0" applyFont="1" applyFill="1" applyBorder="1" applyAlignment="1">
      <alignment horizontal="right" vertical="center"/>
    </xf>
    <xf numFmtId="0" fontId="30" fillId="31" borderId="10" xfId="0" applyFont="1" applyFill="1" applyBorder="1" applyAlignment="1">
      <alignment horizontal="right" vertical="center"/>
    </xf>
    <xf numFmtId="0" fontId="25" fillId="17" borderId="0" xfId="0" applyFont="1" applyFill="1" applyAlignment="1">
      <alignment horizontal="center" vertical="center"/>
    </xf>
    <xf numFmtId="0" fontId="16" fillId="18" borderId="6" xfId="0" applyFont="1" applyFill="1" applyBorder="1" applyAlignment="1">
      <alignment horizontal="right" vertical="center"/>
    </xf>
    <xf numFmtId="0" fontId="17" fillId="18" borderId="6" xfId="0" applyFont="1" applyFill="1" applyBorder="1" applyAlignment="1">
      <alignment horizontal="right" vertical="center"/>
    </xf>
    <xf numFmtId="0" fontId="23" fillId="17" borderId="0" xfId="0" applyFont="1" applyFill="1" applyAlignment="1">
      <alignment horizontal="center" vertical="center"/>
    </xf>
    <xf numFmtId="0" fontId="15" fillId="18" borderId="6" xfId="0" applyFont="1" applyFill="1" applyBorder="1" applyAlignment="1">
      <alignment horizontal="right" vertical="center"/>
    </xf>
    <xf numFmtId="0" fontId="24" fillId="18" borderId="6" xfId="0" applyFont="1" applyFill="1" applyBorder="1" applyAlignment="1">
      <alignment horizontal="right" vertical="center"/>
    </xf>
    <xf numFmtId="0" fontId="21" fillId="3" borderId="6" xfId="0" applyFont="1" applyFill="1" applyBorder="1" applyAlignment="1">
      <alignment horizontal="center"/>
    </xf>
    <xf numFmtId="0" fontId="22" fillId="18" borderId="6" xfId="0" applyFont="1" applyFill="1" applyBorder="1" applyAlignment="1">
      <alignment horizontal="right" vertical="center"/>
    </xf>
    <xf numFmtId="164" fontId="11" fillId="2" borderId="6" xfId="0" applyNumberFormat="1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/>
    </xf>
    <xf numFmtId="0" fontId="18" fillId="17" borderId="0" xfId="0" applyFont="1" applyFill="1" applyAlignment="1">
      <alignment horizontal="center" vertical="center"/>
    </xf>
    <xf numFmtId="0" fontId="13" fillId="3" borderId="6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right" vertical="center"/>
    </xf>
    <xf numFmtId="0" fontId="14" fillId="7" borderId="6" xfId="0" applyFont="1" applyFill="1" applyBorder="1" applyAlignment="1">
      <alignment horizontal="right" vertical="center"/>
    </xf>
    <xf numFmtId="164" fontId="11" fillId="2" borderId="3" xfId="0" applyNumberFormat="1" applyFont="1" applyFill="1" applyBorder="1" applyAlignment="1">
      <alignment horizontal="center" vertical="center"/>
    </xf>
    <xf numFmtId="0" fontId="12" fillId="14" borderId="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/>
    </xf>
    <xf numFmtId="0" fontId="13" fillId="3" borderId="20" xfId="0" applyFont="1" applyFill="1" applyBorder="1" applyAlignment="1">
      <alignment horizontal="center"/>
    </xf>
    <xf numFmtId="0" fontId="13" fillId="3" borderId="21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right" vertical="center"/>
    </xf>
    <xf numFmtId="0" fontId="14" fillId="4" borderId="6" xfId="0" applyFont="1" applyFill="1" applyBorder="1" applyAlignment="1">
      <alignment horizontal="right" vertical="center"/>
    </xf>
    <xf numFmtId="0" fontId="9" fillId="31" borderId="34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/>
    </xf>
    <xf numFmtId="164" fontId="13" fillId="3" borderId="16" xfId="0" applyNumberFormat="1" applyFont="1" applyFill="1" applyBorder="1"/>
    <xf numFmtId="0" fontId="13" fillId="2" borderId="0" xfId="0" applyFont="1" applyFill="1" applyBorder="1" applyAlignment="1">
      <alignment horizontal="center"/>
    </xf>
    <xf numFmtId="164" fontId="13" fillId="2" borderId="0" xfId="0" applyNumberFormat="1" applyFont="1" applyFill="1" applyBorder="1"/>
    <xf numFmtId="164" fontId="11" fillId="12" borderId="2" xfId="0" applyNumberFormat="1" applyFont="1" applyFill="1" applyBorder="1" applyAlignment="1">
      <alignment horizontal="right" vertical="center"/>
    </xf>
    <xf numFmtId="0" fontId="11" fillId="37" borderId="6" xfId="0" applyFont="1" applyFill="1" applyBorder="1" applyAlignment="1">
      <alignment horizontal="center" vertical="center"/>
    </xf>
    <xf numFmtId="164" fontId="52" fillId="11" borderId="4" xfId="0" applyNumberFormat="1" applyFont="1" applyFill="1" applyBorder="1" applyAlignment="1">
      <alignment horizontal="right" vertical="center"/>
    </xf>
    <xf numFmtId="164" fontId="52" fillId="11" borderId="5" xfId="0" applyNumberFormat="1" applyFont="1" applyFill="1" applyBorder="1" applyAlignment="1">
      <alignment horizontal="right" vertical="center"/>
    </xf>
    <xf numFmtId="164" fontId="52" fillId="8" borderId="6" xfId="0" applyNumberFormat="1" applyFont="1" applyFill="1" applyBorder="1" applyAlignment="1">
      <alignment horizontal="right" vertical="center"/>
    </xf>
    <xf numFmtId="164" fontId="52" fillId="8" borderId="7" xfId="0" applyNumberFormat="1" applyFont="1" applyFill="1" applyBorder="1" applyAlignment="1">
      <alignment horizontal="right" vertical="center"/>
    </xf>
    <xf numFmtId="164" fontId="52" fillId="11" borderId="22" xfId="0" applyNumberFormat="1" applyFont="1" applyFill="1" applyBorder="1" applyAlignment="1">
      <alignment horizontal="right" vertical="center"/>
    </xf>
    <xf numFmtId="164" fontId="52" fillId="11" borderId="23" xfId="0" applyNumberFormat="1" applyFont="1" applyFill="1" applyBorder="1" applyAlignment="1">
      <alignment horizontal="right" vertical="center"/>
    </xf>
    <xf numFmtId="164" fontId="52" fillId="38" borderId="6" xfId="0" applyNumberFormat="1" applyFont="1" applyFill="1" applyBorder="1" applyAlignment="1">
      <alignment horizontal="right" vertical="center"/>
    </xf>
    <xf numFmtId="164" fontId="52" fillId="11" borderId="6" xfId="0" applyNumberFormat="1" applyFont="1" applyFill="1" applyBorder="1" applyAlignment="1">
      <alignment horizontal="right" vertical="center"/>
    </xf>
    <xf numFmtId="0" fontId="5" fillId="8" borderId="22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center" vertical="center" wrapText="1"/>
    </xf>
    <xf numFmtId="0" fontId="8" fillId="6" borderId="23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164" fontId="52" fillId="8" borderId="4" xfId="0" applyNumberFormat="1" applyFont="1" applyFill="1" applyBorder="1" applyAlignment="1">
      <alignment horizontal="right" vertical="center"/>
    </xf>
    <xf numFmtId="164" fontId="52" fillId="8" borderId="5" xfId="0" applyNumberFormat="1" applyFont="1" applyFill="1" applyBorder="1" applyAlignment="1">
      <alignment horizontal="right" vertical="center"/>
    </xf>
    <xf numFmtId="164" fontId="52" fillId="23" borderId="25" xfId="0" applyNumberFormat="1" applyFont="1" applyFill="1" applyBorder="1" applyAlignment="1">
      <alignment horizontal="right" vertical="center"/>
    </xf>
    <xf numFmtId="164" fontId="52" fillId="23" borderId="26" xfId="0" applyNumberFormat="1" applyFont="1" applyFill="1" applyBorder="1" applyAlignment="1">
      <alignment horizontal="right" vertical="center"/>
    </xf>
    <xf numFmtId="164" fontId="52" fillId="23" borderId="32" xfId="0" applyNumberFormat="1" applyFont="1" applyFill="1" applyBorder="1" applyAlignment="1">
      <alignment horizontal="right" vertical="center"/>
    </xf>
    <xf numFmtId="164" fontId="52" fillId="23" borderId="33" xfId="0" applyNumberFormat="1" applyFont="1" applyFill="1" applyBorder="1" applyAlignment="1">
      <alignment horizontal="right" vertical="center"/>
    </xf>
    <xf numFmtId="0" fontId="10" fillId="23" borderId="31" xfId="0" applyFont="1" applyFill="1" applyBorder="1" applyAlignment="1">
      <alignment horizontal="center" vertical="center"/>
    </xf>
    <xf numFmtId="0" fontId="11" fillId="23" borderId="32" xfId="0" applyFont="1" applyFill="1" applyBorder="1" applyAlignment="1">
      <alignment horizontal="center" vertical="center"/>
    </xf>
    <xf numFmtId="0" fontId="10" fillId="37" borderId="29" xfId="0" applyFont="1" applyFill="1" applyBorder="1" applyAlignment="1">
      <alignment horizontal="center" vertical="center"/>
    </xf>
    <xf numFmtId="164" fontId="52" fillId="37" borderId="6" xfId="0" applyNumberFormat="1" applyFont="1" applyFill="1" applyBorder="1" applyAlignment="1">
      <alignment horizontal="right" vertical="center"/>
    </xf>
    <xf numFmtId="164" fontId="52" fillId="37" borderId="30" xfId="0" applyNumberFormat="1" applyFont="1" applyFill="1" applyBorder="1" applyAlignment="1">
      <alignment horizontal="right" vertical="center"/>
    </xf>
  </cellXfs>
  <cellStyles count="1">
    <cellStyle name="Обычный" xfId="0" builtinId="0"/>
  </cellStyles>
  <dxfs count="8">
    <dxf>
      <font>
        <color rgb="FF57B418"/>
      </font>
    </dxf>
    <dxf>
      <font>
        <color rgb="FFC00000"/>
      </font>
    </dxf>
    <dxf>
      <font>
        <color rgb="FF57B418"/>
      </font>
    </dxf>
    <dxf>
      <font>
        <color rgb="FFC00000"/>
      </font>
    </dxf>
    <dxf>
      <font>
        <color rgb="FF57B418"/>
      </font>
    </dxf>
    <dxf>
      <font>
        <color rgb="FFEC1606"/>
      </font>
    </dxf>
    <dxf>
      <font>
        <color rgb="FF57B418"/>
      </font>
    </dxf>
    <dxf>
      <font>
        <color rgb="FFEC1606"/>
      </font>
    </dxf>
  </dxfs>
  <tableStyles count="0" defaultTableStyle="TableStyleMedium2" defaultPivotStyle="PivotStyleLight16"/>
  <colors>
    <mruColors>
      <color rgb="FFFCC4C4"/>
      <color rgb="FFFDD7D7"/>
      <color rgb="FFFA8A8A"/>
      <color rgb="FF183C5C"/>
      <color rgb="FFDDF0C8"/>
      <color rgb="FF273C18"/>
      <color rgb="FFC09200"/>
      <color rgb="FF2E471D"/>
      <color rgb="FFEC1606"/>
      <color rgb="FF062D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H17"/>
  <sheetViews>
    <sheetView workbookViewId="0">
      <selection activeCell="G25" sqref="G25"/>
    </sheetView>
  </sheetViews>
  <sheetFormatPr defaultColWidth="9.140625" defaultRowHeight="15"/>
  <cols>
    <col min="1" max="2" width="9.140625" style="129"/>
    <col min="3" max="3" width="11.7109375" style="129" customWidth="1"/>
    <col min="4" max="4" width="17.85546875" style="129" customWidth="1"/>
    <col min="5" max="5" width="19.28515625" style="129" customWidth="1"/>
    <col min="6" max="6" width="20" style="129" customWidth="1"/>
    <col min="7" max="8" width="21.7109375" style="129" customWidth="1"/>
    <col min="9" max="16384" width="9.140625" style="129"/>
  </cols>
  <sheetData>
    <row r="4" spans="3:8" ht="45" customHeight="1">
      <c r="C4" s="130" t="s">
        <v>0</v>
      </c>
      <c r="D4" s="130" t="s">
        <v>1</v>
      </c>
      <c r="E4" s="130" t="s">
        <v>2</v>
      </c>
      <c r="F4" s="130" t="s">
        <v>3</v>
      </c>
      <c r="G4" s="130" t="s">
        <v>4</v>
      </c>
      <c r="H4" s="130" t="s">
        <v>5</v>
      </c>
    </row>
    <row r="5" spans="3:8" ht="15.75">
      <c r="C5" s="131" t="s">
        <v>6</v>
      </c>
      <c r="D5" s="132" t="s">
        <v>7</v>
      </c>
      <c r="E5" s="132" t="s">
        <v>7</v>
      </c>
      <c r="F5" s="132" t="s">
        <v>7</v>
      </c>
      <c r="G5" s="132" t="s">
        <v>7</v>
      </c>
      <c r="H5" s="132" t="s">
        <v>7</v>
      </c>
    </row>
    <row r="6" spans="3:8" ht="15.75">
      <c r="C6" s="131" t="s">
        <v>8</v>
      </c>
      <c r="D6" s="133">
        <v>100494.39999999999</v>
      </c>
      <c r="E6" s="133">
        <v>10000</v>
      </c>
      <c r="F6" s="133">
        <v>0</v>
      </c>
      <c r="G6" s="133">
        <v>109233.84</v>
      </c>
      <c r="H6" s="133">
        <f>SUM(D6:F6)-G6</f>
        <v>1260.56</v>
      </c>
    </row>
    <row r="7" spans="3:8" ht="15.75">
      <c r="C7" s="131" t="s">
        <v>9</v>
      </c>
      <c r="D7" s="133">
        <v>68400</v>
      </c>
      <c r="E7" s="133">
        <v>0</v>
      </c>
      <c r="F7" s="133">
        <v>0</v>
      </c>
      <c r="G7" s="133">
        <v>80331.3</v>
      </c>
      <c r="H7" s="133">
        <f t="shared" ref="H7:H16" si="0">SUM(D7:F7)-G7</f>
        <v>-11931.3</v>
      </c>
    </row>
    <row r="8" spans="3:8" ht="15.75">
      <c r="C8" s="131" t="s">
        <v>10</v>
      </c>
      <c r="D8" s="133">
        <v>136698</v>
      </c>
      <c r="E8" s="133">
        <v>10000</v>
      </c>
      <c r="F8" s="133">
        <v>17000</v>
      </c>
      <c r="G8" s="133">
        <v>163638.94</v>
      </c>
      <c r="H8" s="133">
        <f t="shared" si="0"/>
        <v>59.0599999999977</v>
      </c>
    </row>
    <row r="9" spans="3:8" ht="15.75">
      <c r="C9" s="131" t="s">
        <v>11</v>
      </c>
      <c r="D9" s="133">
        <f>'Май 2026'!X3+'Май 2026'!X19</f>
        <v>86059.05</v>
      </c>
      <c r="E9" s="133">
        <f>'Май 2026'!X7+'Май 2026'!X21+'Май 2026'!X34</f>
        <v>7000</v>
      </c>
      <c r="F9" s="133">
        <f>'Май 2026'!X28+'Май 2026'!X29</f>
        <v>10000</v>
      </c>
      <c r="G9" s="133">
        <f>'Май 2026'!W36</f>
        <v>105788.06</v>
      </c>
      <c r="H9" s="133">
        <f t="shared" si="0"/>
        <v>-2729.0099999999902</v>
      </c>
    </row>
    <row r="10" spans="3:8" ht="15.75">
      <c r="C10" s="131" t="s">
        <v>12</v>
      </c>
      <c r="D10" s="133">
        <f>' Июнь 2026'!X3+' Июнь 2026'!X19</f>
        <v>90491.54</v>
      </c>
      <c r="E10" s="133">
        <f>' Июнь 2026'!X9</f>
        <v>15000</v>
      </c>
      <c r="F10" s="133">
        <f>' Июнь 2026'!X14+' Июнь 2026'!X16</f>
        <v>7000</v>
      </c>
      <c r="G10" s="133">
        <f>' Июнь 2026'!W36</f>
        <v>90253.07</v>
      </c>
      <c r="H10" s="133">
        <f t="shared" si="0"/>
        <v>22238.47</v>
      </c>
    </row>
    <row r="11" spans="3:8" ht="15.75">
      <c r="C11" s="131" t="s">
        <v>13</v>
      </c>
      <c r="D11" s="133">
        <f>'Июль 2026'!Y3+'Июль 2026'!Y14+'Июль 2026'!Y21</f>
        <v>226341.31</v>
      </c>
      <c r="E11" s="133">
        <f>'Июль 2026'!Y27</f>
        <v>20000</v>
      </c>
      <c r="F11" s="133">
        <f>'Июль 2026'!Y17+'Июль 2026'!Y19+'Июль 2026'!Y33</f>
        <v>35000</v>
      </c>
      <c r="G11" s="133">
        <f>'Июль 2026'!W38</f>
        <v>177971.36</v>
      </c>
      <c r="H11" s="133">
        <f t="shared" si="0"/>
        <v>103369.95</v>
      </c>
    </row>
    <row r="12" spans="3:8" ht="15.75">
      <c r="C12" s="131" t="s">
        <v>14</v>
      </c>
      <c r="D12" s="133">
        <f>'Август 2026'!AC4+'Август 2026'!AC20</f>
        <v>133443.15</v>
      </c>
      <c r="E12" s="133">
        <f>'Август 2026'!AC29</f>
        <v>1000</v>
      </c>
      <c r="F12" s="133">
        <f>'Август 2026'!AC21+'Август 2026'!AC34</f>
        <v>11000</v>
      </c>
      <c r="G12" s="133">
        <f>'Август 2026'!AB36</f>
        <v>146501.73000000001</v>
      </c>
      <c r="H12" s="133">
        <f t="shared" si="0"/>
        <v>-1058.5799999999899</v>
      </c>
    </row>
    <row r="13" spans="3:8" ht="15.75">
      <c r="C13" s="131" t="s">
        <v>15</v>
      </c>
      <c r="D13" s="133"/>
      <c r="E13" s="133"/>
      <c r="F13" s="133"/>
      <c r="G13" s="133"/>
      <c r="H13" s="133">
        <f t="shared" si="0"/>
        <v>0</v>
      </c>
    </row>
    <row r="14" spans="3:8" ht="15.75">
      <c r="C14" s="131" t="s">
        <v>16</v>
      </c>
      <c r="D14" s="133"/>
      <c r="E14" s="133"/>
      <c r="F14" s="133"/>
      <c r="G14" s="133"/>
      <c r="H14" s="133">
        <f t="shared" si="0"/>
        <v>0</v>
      </c>
    </row>
    <row r="15" spans="3:8" ht="15.75">
      <c r="C15" s="131" t="s">
        <v>17</v>
      </c>
      <c r="D15" s="133"/>
      <c r="E15" s="133"/>
      <c r="F15" s="133"/>
      <c r="G15" s="133"/>
      <c r="H15" s="133">
        <f t="shared" si="0"/>
        <v>0</v>
      </c>
    </row>
    <row r="16" spans="3:8" ht="15.75">
      <c r="C16" s="134" t="s">
        <v>18</v>
      </c>
      <c r="D16" s="135"/>
      <c r="E16" s="135"/>
      <c r="F16" s="135"/>
      <c r="G16" s="135"/>
      <c r="H16" s="133">
        <f t="shared" si="0"/>
        <v>0</v>
      </c>
    </row>
    <row r="17" spans="3:8" ht="15.75">
      <c r="C17" s="136" t="s">
        <v>19</v>
      </c>
      <c r="D17" s="137"/>
      <c r="E17" s="137"/>
      <c r="F17" s="137"/>
      <c r="G17" s="137"/>
      <c r="H17" s="138"/>
    </row>
  </sheetData>
  <conditionalFormatting sqref="H17">
    <cfRule type="expression" dxfId="7" priority="1">
      <formula>H17&lt;0</formula>
    </cfRule>
    <cfRule type="expression" dxfId="6" priority="2">
      <formula>H17&gt;0</formula>
    </cfRule>
  </conditionalFormatting>
  <conditionalFormatting sqref="H5:H16">
    <cfRule type="expression" dxfId="5" priority="3">
      <formula>H5&lt;0</formula>
    </cfRule>
    <cfRule type="expression" dxfId="4" priority="4">
      <formula>H5&gt;0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T35"/>
  <sheetViews>
    <sheetView zoomScale="86" zoomScaleNormal="86" workbookViewId="0">
      <pane xSplit="2" ySplit="31" topLeftCell="C32" activePane="bottomRight" state="frozen"/>
      <selection pane="topRight"/>
      <selection pane="bottomLeft"/>
      <selection pane="bottomRight" activeCell="Z22" sqref="Z22"/>
    </sheetView>
  </sheetViews>
  <sheetFormatPr defaultColWidth="9.140625" defaultRowHeight="15"/>
  <cols>
    <col min="1" max="24" width="20.7109375" style="1" customWidth="1"/>
    <col min="25" max="36" width="12.7109375" style="1" customWidth="1"/>
    <col min="37" max="16384" width="9.140625" style="1"/>
  </cols>
  <sheetData>
    <row r="1" spans="1:46" ht="60.75" customHeight="1">
      <c r="A1" s="171" t="s">
        <v>20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</row>
    <row r="2" spans="1:46" ht="45" customHeight="1">
      <c r="A2" s="107" t="s">
        <v>21</v>
      </c>
      <c r="B2" s="107" t="s">
        <v>22</v>
      </c>
      <c r="C2" s="107" t="s">
        <v>23</v>
      </c>
      <c r="D2" s="107" t="s">
        <v>24</v>
      </c>
      <c r="E2" s="107" t="s">
        <v>25</v>
      </c>
      <c r="F2" s="107" t="s">
        <v>26</v>
      </c>
      <c r="G2" s="107" t="s">
        <v>27</v>
      </c>
      <c r="H2" s="107" t="s">
        <v>28</v>
      </c>
      <c r="I2" s="107" t="s">
        <v>29</v>
      </c>
      <c r="J2" s="107" t="s">
        <v>30</v>
      </c>
      <c r="K2" s="107" t="s">
        <v>31</v>
      </c>
      <c r="L2" s="107" t="s">
        <v>32</v>
      </c>
      <c r="M2" s="107" t="s">
        <v>33</v>
      </c>
      <c r="N2" s="107" t="s">
        <v>34</v>
      </c>
      <c r="O2" s="107" t="s">
        <v>35</v>
      </c>
      <c r="P2" s="107" t="s">
        <v>36</v>
      </c>
      <c r="Q2" s="107" t="s">
        <v>37</v>
      </c>
      <c r="R2" s="107" t="s">
        <v>38</v>
      </c>
      <c r="S2" s="107" t="s">
        <v>39</v>
      </c>
      <c r="T2" s="107" t="s">
        <v>39</v>
      </c>
      <c r="U2" s="107" t="s">
        <v>40</v>
      </c>
      <c r="V2" s="107" t="s">
        <v>41</v>
      </c>
      <c r="W2" s="107" t="s">
        <v>42</v>
      </c>
      <c r="X2" s="107" t="s">
        <v>5</v>
      </c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</row>
    <row r="3" spans="1:46">
      <c r="A3" s="108">
        <v>5</v>
      </c>
      <c r="B3" s="108" t="s">
        <v>43</v>
      </c>
      <c r="C3" s="109">
        <f>183+2168</f>
        <v>2351</v>
      </c>
      <c r="D3" s="109">
        <v>3131</v>
      </c>
      <c r="E3" s="109"/>
      <c r="F3" s="109"/>
      <c r="G3" s="110"/>
      <c r="H3" s="110"/>
      <c r="I3" s="109"/>
      <c r="J3" s="109">
        <v>450</v>
      </c>
      <c r="K3" s="109"/>
      <c r="L3" s="109"/>
      <c r="M3" s="109"/>
      <c r="N3" s="109">
        <v>40</v>
      </c>
      <c r="O3" s="109"/>
      <c r="P3" s="109"/>
      <c r="Q3" s="109">
        <v>14418</v>
      </c>
      <c r="R3" s="109"/>
      <c r="S3" s="109">
        <v>5000</v>
      </c>
      <c r="T3" s="109"/>
      <c r="U3" s="109"/>
      <c r="V3" s="111">
        <f>SUM(C3:U3)</f>
        <v>25390</v>
      </c>
      <c r="W3" s="112">
        <v>53739.4</v>
      </c>
      <c r="X3" s="113"/>
    </row>
    <row r="4" spans="1:46">
      <c r="A4" s="114">
        <v>6</v>
      </c>
      <c r="B4" s="114" t="s">
        <v>44</v>
      </c>
      <c r="C4" s="115"/>
      <c r="D4" s="115"/>
      <c r="E4" s="115"/>
      <c r="F4" s="115"/>
      <c r="G4" s="115"/>
      <c r="H4" s="115"/>
      <c r="I4" s="116"/>
      <c r="J4" s="116"/>
      <c r="K4" s="116"/>
      <c r="L4" s="116"/>
      <c r="M4" s="116"/>
      <c r="N4" s="117">
        <f>131+247</f>
        <v>378</v>
      </c>
      <c r="O4" s="116"/>
      <c r="P4" s="116"/>
      <c r="Q4" s="116"/>
      <c r="R4" s="116"/>
      <c r="S4" s="116"/>
      <c r="T4" s="116"/>
      <c r="U4" s="116"/>
      <c r="V4" s="118">
        <f>SUM(C4:U4)</f>
        <v>378</v>
      </c>
      <c r="W4" s="119"/>
      <c r="X4" s="113"/>
    </row>
    <row r="5" spans="1:46">
      <c r="A5" s="120">
        <v>7</v>
      </c>
      <c r="B5" s="120" t="s">
        <v>45</v>
      </c>
      <c r="C5" s="121"/>
      <c r="D5" s="122">
        <v>1110</v>
      </c>
      <c r="E5" s="122"/>
      <c r="F5" s="122"/>
      <c r="G5" s="121"/>
      <c r="H5" s="121"/>
      <c r="I5" s="123">
        <v>840</v>
      </c>
      <c r="J5" s="123"/>
      <c r="K5" s="123"/>
      <c r="L5" s="123"/>
      <c r="M5" s="123"/>
      <c r="N5" s="123">
        <f>197+259</f>
        <v>456</v>
      </c>
      <c r="O5" s="123"/>
      <c r="P5" s="123"/>
      <c r="Q5" s="123"/>
      <c r="R5" s="123"/>
      <c r="S5" s="123"/>
      <c r="T5" s="123"/>
      <c r="U5" s="123"/>
      <c r="V5" s="124">
        <f>SUM(C5:U5)</f>
        <v>2406</v>
      </c>
      <c r="W5" s="125"/>
      <c r="X5" s="113"/>
    </row>
    <row r="6" spans="1:46">
      <c r="A6" s="114">
        <v>8</v>
      </c>
      <c r="B6" s="114" t="s">
        <v>46</v>
      </c>
      <c r="C6" s="117">
        <v>1006</v>
      </c>
      <c r="D6" s="115"/>
      <c r="E6" s="115"/>
      <c r="F6" s="115"/>
      <c r="G6" s="115"/>
      <c r="H6" s="115"/>
      <c r="I6" s="116"/>
      <c r="J6" s="116"/>
      <c r="K6" s="116"/>
      <c r="L6" s="116"/>
      <c r="M6" s="116"/>
      <c r="N6" s="117">
        <f>221+171</f>
        <v>392</v>
      </c>
      <c r="O6" s="116"/>
      <c r="P6" s="115"/>
      <c r="Q6" s="116"/>
      <c r="R6" s="116"/>
      <c r="S6" s="116"/>
      <c r="T6" s="116"/>
      <c r="U6" s="116"/>
      <c r="V6" s="118">
        <f t="shared" ref="V6:V19" si="0">SUM(C6:U6)</f>
        <v>1398</v>
      </c>
      <c r="W6" s="119"/>
      <c r="X6" s="113"/>
    </row>
    <row r="7" spans="1:46">
      <c r="A7" s="120">
        <v>9</v>
      </c>
      <c r="B7" s="120" t="s">
        <v>47</v>
      </c>
      <c r="C7" s="122">
        <v>1819</v>
      </c>
      <c r="D7" s="121"/>
      <c r="E7" s="121"/>
      <c r="F7" s="121"/>
      <c r="G7" s="121"/>
      <c r="H7" s="121"/>
      <c r="I7" s="123"/>
      <c r="J7" s="123"/>
      <c r="K7" s="123"/>
      <c r="L7" s="123"/>
      <c r="M7" s="123"/>
      <c r="N7" s="123">
        <v>224</v>
      </c>
      <c r="O7" s="121"/>
      <c r="P7" s="123"/>
      <c r="Q7" s="123"/>
      <c r="R7" s="123"/>
      <c r="S7" s="123">
        <v>1055</v>
      </c>
      <c r="T7" s="123"/>
      <c r="U7" s="123"/>
      <c r="V7" s="124">
        <f t="shared" si="0"/>
        <v>3098</v>
      </c>
      <c r="W7" s="125"/>
      <c r="X7" s="113"/>
    </row>
    <row r="8" spans="1:46">
      <c r="A8" s="114">
        <v>10</v>
      </c>
      <c r="B8" s="114" t="s">
        <v>48</v>
      </c>
      <c r="C8" s="116">
        <v>1266.9000000000001</v>
      </c>
      <c r="D8" s="116">
        <v>1345</v>
      </c>
      <c r="E8" s="116"/>
      <c r="F8" s="116"/>
      <c r="G8" s="115"/>
      <c r="H8" s="115"/>
      <c r="I8" s="116"/>
      <c r="J8" s="116"/>
      <c r="K8" s="116"/>
      <c r="L8" s="116"/>
      <c r="M8" s="116"/>
      <c r="N8" s="116">
        <v>172</v>
      </c>
      <c r="O8" s="116"/>
      <c r="P8" s="116"/>
      <c r="Q8" s="116"/>
      <c r="R8" s="115"/>
      <c r="S8" s="116"/>
      <c r="T8" s="116"/>
      <c r="U8" s="116"/>
      <c r="V8" s="118">
        <f t="shared" si="0"/>
        <v>2783.9</v>
      </c>
      <c r="W8" s="119"/>
      <c r="X8" s="113"/>
    </row>
    <row r="9" spans="1:46">
      <c r="A9" s="120">
        <v>11</v>
      </c>
      <c r="B9" s="120" t="s">
        <v>49</v>
      </c>
      <c r="C9" s="123">
        <v>1403.84</v>
      </c>
      <c r="D9" s="121"/>
      <c r="E9" s="121"/>
      <c r="F9" s="121"/>
      <c r="G9" s="121"/>
      <c r="H9" s="121"/>
      <c r="I9" s="123"/>
      <c r="J9" s="123"/>
      <c r="K9" s="123"/>
      <c r="L9" s="123"/>
      <c r="M9" s="123"/>
      <c r="N9" s="123"/>
      <c r="O9" s="123"/>
      <c r="P9" s="123"/>
      <c r="Q9" s="123"/>
      <c r="R9" s="121"/>
      <c r="S9" s="123"/>
      <c r="T9" s="123"/>
      <c r="U9" s="123"/>
      <c r="V9" s="124">
        <f t="shared" si="0"/>
        <v>1403.84</v>
      </c>
      <c r="W9" s="125"/>
      <c r="X9" s="113"/>
    </row>
    <row r="10" spans="1:46">
      <c r="A10" s="114">
        <v>12</v>
      </c>
      <c r="B10" s="114" t="s">
        <v>43</v>
      </c>
      <c r="C10" s="115"/>
      <c r="D10" s="116">
        <v>959</v>
      </c>
      <c r="E10" s="116"/>
      <c r="F10" s="116"/>
      <c r="G10" s="115"/>
      <c r="H10" s="115"/>
      <c r="I10" s="116"/>
      <c r="J10" s="116"/>
      <c r="K10" s="116"/>
      <c r="L10" s="116"/>
      <c r="M10" s="116"/>
      <c r="N10" s="115"/>
      <c r="O10" s="116"/>
      <c r="P10" s="116"/>
      <c r="Q10" s="116"/>
      <c r="R10" s="115"/>
      <c r="S10" s="116"/>
      <c r="T10" s="116"/>
      <c r="U10" s="116"/>
      <c r="V10" s="118">
        <f t="shared" si="0"/>
        <v>959</v>
      </c>
      <c r="W10" s="119"/>
      <c r="X10" s="113"/>
    </row>
    <row r="11" spans="1:46">
      <c r="A11" s="120">
        <v>13</v>
      </c>
      <c r="B11" s="120" t="s">
        <v>44</v>
      </c>
      <c r="C11" s="123">
        <f>342.99+1260.98</f>
        <v>1603.97</v>
      </c>
      <c r="D11" s="121"/>
      <c r="E11" s="121"/>
      <c r="F11" s="121"/>
      <c r="G11" s="123">
        <f>3980+430</f>
        <v>4410</v>
      </c>
      <c r="H11" s="123"/>
      <c r="I11" s="123"/>
      <c r="J11" s="123"/>
      <c r="K11" s="123"/>
      <c r="L11" s="123"/>
      <c r="M11" s="123"/>
      <c r="N11" s="123"/>
      <c r="O11" s="123"/>
      <c r="P11" s="123">
        <f>773+2000+1767</f>
        <v>4540</v>
      </c>
      <c r="Q11" s="123"/>
      <c r="R11" s="121"/>
      <c r="S11" s="123"/>
      <c r="T11" s="123"/>
      <c r="U11" s="123"/>
      <c r="V11" s="124">
        <f t="shared" si="0"/>
        <v>10553.97</v>
      </c>
      <c r="W11" s="125"/>
      <c r="X11" s="113"/>
    </row>
    <row r="12" spans="1:46">
      <c r="A12" s="114">
        <v>14</v>
      </c>
      <c r="B12" s="114" t="s">
        <v>45</v>
      </c>
      <c r="C12" s="116">
        <f>1260.98+678.97</f>
        <v>1939.95</v>
      </c>
      <c r="D12" s="116">
        <f>4500+149</f>
        <v>4649</v>
      </c>
      <c r="E12" s="116"/>
      <c r="F12" s="116"/>
      <c r="G12" s="115"/>
      <c r="H12" s="115"/>
      <c r="I12" s="116"/>
      <c r="J12" s="115"/>
      <c r="K12" s="116"/>
      <c r="L12" s="116"/>
      <c r="M12" s="116"/>
      <c r="N12" s="116">
        <f>543+421</f>
        <v>964</v>
      </c>
      <c r="O12" s="116"/>
      <c r="P12" s="116">
        <f>497</f>
        <v>497</v>
      </c>
      <c r="Q12" s="116"/>
      <c r="R12" s="116"/>
      <c r="S12" s="116"/>
      <c r="T12" s="116"/>
      <c r="U12" s="116"/>
      <c r="V12" s="118">
        <f t="shared" si="0"/>
        <v>8049.95</v>
      </c>
      <c r="W12" s="119"/>
      <c r="X12" s="113"/>
    </row>
    <row r="13" spans="1:46">
      <c r="A13" s="120">
        <v>15</v>
      </c>
      <c r="B13" s="120" t="s">
        <v>46</v>
      </c>
      <c r="C13" s="123">
        <f>1569.79</f>
        <v>1569.79</v>
      </c>
      <c r="D13" s="121"/>
      <c r="E13" s="121"/>
      <c r="F13" s="121"/>
      <c r="G13" s="121"/>
      <c r="H13" s="121"/>
      <c r="I13" s="123"/>
      <c r="J13" s="121"/>
      <c r="K13" s="123"/>
      <c r="L13" s="123"/>
      <c r="M13" s="123"/>
      <c r="N13" s="123">
        <v>135</v>
      </c>
      <c r="O13" s="123"/>
      <c r="P13" s="123"/>
      <c r="Q13" s="123"/>
      <c r="R13" s="123"/>
      <c r="S13" s="123"/>
      <c r="T13" s="123"/>
      <c r="U13" s="123"/>
      <c r="V13" s="124">
        <f t="shared" si="0"/>
        <v>1704.79</v>
      </c>
      <c r="W13" s="125"/>
      <c r="X13" s="113"/>
    </row>
    <row r="14" spans="1:46">
      <c r="A14" s="114">
        <v>16</v>
      </c>
      <c r="B14" s="114" t="s">
        <v>47</v>
      </c>
      <c r="C14" s="116">
        <v>1170</v>
      </c>
      <c r="D14" s="115"/>
      <c r="E14" s="115"/>
      <c r="F14" s="115"/>
      <c r="G14" s="115"/>
      <c r="H14" s="115"/>
      <c r="I14" s="116"/>
      <c r="J14" s="115"/>
      <c r="K14" s="116"/>
      <c r="L14" s="116"/>
      <c r="M14" s="116"/>
      <c r="N14" s="116"/>
      <c r="O14" s="115"/>
      <c r="P14" s="116"/>
      <c r="Q14" s="116"/>
      <c r="R14" s="116"/>
      <c r="S14" s="116"/>
      <c r="T14" s="116"/>
      <c r="U14" s="116"/>
      <c r="V14" s="118">
        <f t="shared" si="0"/>
        <v>1170</v>
      </c>
      <c r="W14" s="119"/>
      <c r="X14" s="113"/>
    </row>
    <row r="15" spans="1:46">
      <c r="A15" s="120">
        <v>17</v>
      </c>
      <c r="B15" s="120" t="s">
        <v>48</v>
      </c>
      <c r="C15" s="121"/>
      <c r="D15" s="121"/>
      <c r="E15" s="121"/>
      <c r="F15" s="121"/>
      <c r="G15" s="121"/>
      <c r="H15" s="121"/>
      <c r="I15" s="123"/>
      <c r="J15" s="123"/>
      <c r="K15" s="123"/>
      <c r="L15" s="123"/>
      <c r="M15" s="123"/>
      <c r="N15" s="121"/>
      <c r="O15" s="123"/>
      <c r="P15" s="123"/>
      <c r="Q15" s="123"/>
      <c r="R15" s="123"/>
      <c r="S15" s="123"/>
      <c r="T15" s="123"/>
      <c r="U15" s="123"/>
      <c r="V15" s="124">
        <f t="shared" si="0"/>
        <v>0</v>
      </c>
      <c r="W15" s="125"/>
      <c r="X15" s="113"/>
    </row>
    <row r="16" spans="1:46">
      <c r="A16" s="114">
        <v>18</v>
      </c>
      <c r="B16" s="114" t="s">
        <v>49</v>
      </c>
      <c r="C16" s="116">
        <v>200</v>
      </c>
      <c r="D16" s="115"/>
      <c r="E16" s="115"/>
      <c r="F16" s="115"/>
      <c r="G16" s="115"/>
      <c r="H16" s="115"/>
      <c r="I16" s="116"/>
      <c r="J16" s="116"/>
      <c r="K16" s="116"/>
      <c r="L16" s="116"/>
      <c r="M16" s="116"/>
      <c r="N16" s="116">
        <v>400</v>
      </c>
      <c r="O16" s="116"/>
      <c r="P16" s="116"/>
      <c r="Q16" s="116"/>
      <c r="R16" s="116">
        <v>499</v>
      </c>
      <c r="S16" s="116"/>
      <c r="T16" s="116"/>
      <c r="U16" s="116"/>
      <c r="V16" s="118">
        <f t="shared" si="0"/>
        <v>1099</v>
      </c>
      <c r="W16" s="119"/>
      <c r="X16" s="113"/>
    </row>
    <row r="17" spans="1:24">
      <c r="A17" s="120">
        <v>19</v>
      </c>
      <c r="B17" s="120" t="s">
        <v>43</v>
      </c>
      <c r="C17" s="121"/>
      <c r="D17" s="121"/>
      <c r="E17" s="121"/>
      <c r="F17" s="121"/>
      <c r="G17" s="115"/>
      <c r="H17" s="115"/>
      <c r="I17" s="123"/>
      <c r="J17" s="123"/>
      <c r="K17" s="123"/>
      <c r="L17" s="123"/>
      <c r="M17" s="123"/>
      <c r="N17" s="121"/>
      <c r="O17" s="123"/>
      <c r="P17" s="123"/>
      <c r="Q17" s="123"/>
      <c r="R17" s="123"/>
      <c r="S17" s="123"/>
      <c r="T17" s="123"/>
      <c r="U17" s="123"/>
      <c r="V17" s="124">
        <f t="shared" si="0"/>
        <v>0</v>
      </c>
      <c r="W17" s="125"/>
      <c r="X17" s="113">
        <f>W3-SUM(V3:V16)</f>
        <v>-6655.05</v>
      </c>
    </row>
    <row r="18" spans="1:24" ht="14.25" customHeight="1">
      <c r="A18" s="108">
        <v>20</v>
      </c>
      <c r="B18" s="108" t="s">
        <v>44</v>
      </c>
      <c r="C18" s="109"/>
      <c r="D18" s="110"/>
      <c r="E18" s="110"/>
      <c r="F18" s="110"/>
      <c r="G18" s="110"/>
      <c r="H18" s="110"/>
      <c r="I18" s="109">
        <v>1300</v>
      </c>
      <c r="J18" s="109"/>
      <c r="K18" s="109"/>
      <c r="L18" s="109"/>
      <c r="M18" s="109"/>
      <c r="N18" s="109">
        <f>1587+618</f>
        <v>2205</v>
      </c>
      <c r="O18" s="109"/>
      <c r="P18" s="109"/>
      <c r="Q18" s="109"/>
      <c r="R18" s="109"/>
      <c r="S18" s="109"/>
      <c r="T18" s="109"/>
      <c r="U18" s="109"/>
      <c r="V18" s="111">
        <f t="shared" si="0"/>
        <v>3505</v>
      </c>
      <c r="W18" s="112">
        <f>30304+16451</f>
        <v>46755</v>
      </c>
      <c r="X18" s="126"/>
    </row>
    <row r="19" spans="1:24">
      <c r="A19" s="120">
        <v>21</v>
      </c>
      <c r="B19" s="120" t="s">
        <v>45</v>
      </c>
      <c r="C19" s="123"/>
      <c r="D19" s="123"/>
      <c r="E19" s="123">
        <v>2933.48</v>
      </c>
      <c r="F19" s="123"/>
      <c r="G19" s="123">
        <f>3700+435</f>
        <v>4135</v>
      </c>
      <c r="H19" s="123"/>
      <c r="I19" s="123"/>
      <c r="J19" s="123"/>
      <c r="K19" s="123"/>
      <c r="L19" s="123"/>
      <c r="M19" s="123"/>
      <c r="N19" s="123">
        <v>463</v>
      </c>
      <c r="O19" s="123"/>
      <c r="P19" s="123"/>
      <c r="Q19" s="123"/>
      <c r="R19" s="123"/>
      <c r="S19" s="123"/>
      <c r="T19" s="123"/>
      <c r="U19" s="123"/>
      <c r="V19" s="124">
        <f t="shared" si="0"/>
        <v>7531.48</v>
      </c>
      <c r="W19" s="125"/>
      <c r="X19" s="113"/>
    </row>
    <row r="20" spans="1:24">
      <c r="A20" s="114">
        <v>22</v>
      </c>
      <c r="B20" s="114" t="s">
        <v>46</v>
      </c>
      <c r="C20" s="116">
        <f>968+2181</f>
        <v>3149</v>
      </c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>
        <v>1300</v>
      </c>
      <c r="Q20" s="116"/>
      <c r="R20" s="116"/>
      <c r="S20" s="116"/>
      <c r="T20" s="116"/>
      <c r="U20" s="116"/>
      <c r="V20" s="118">
        <f t="shared" ref="V20:V30" si="1">SUM(C20:U20)</f>
        <v>4449</v>
      </c>
      <c r="W20" s="119"/>
      <c r="X20" s="113"/>
    </row>
    <row r="21" spans="1:24">
      <c r="A21" s="120">
        <v>23</v>
      </c>
      <c r="B21" s="120" t="s">
        <v>47</v>
      </c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4">
        <f t="shared" si="1"/>
        <v>0</v>
      </c>
      <c r="W21" s="125">
        <v>10000</v>
      </c>
      <c r="X21" s="113"/>
    </row>
    <row r="22" spans="1:24">
      <c r="A22" s="114">
        <v>24</v>
      </c>
      <c r="B22" s="114" t="s">
        <v>48</v>
      </c>
      <c r="C22" s="116"/>
      <c r="D22" s="116"/>
      <c r="E22" s="116">
        <v>1583</v>
      </c>
      <c r="F22" s="116">
        <v>939</v>
      </c>
      <c r="G22" s="116"/>
      <c r="H22" s="116"/>
      <c r="I22" s="116"/>
      <c r="J22" s="116"/>
      <c r="K22" s="116"/>
      <c r="L22" s="116"/>
      <c r="M22" s="116"/>
      <c r="N22" s="116">
        <v>515</v>
      </c>
      <c r="O22" s="116"/>
      <c r="P22" s="116"/>
      <c r="Q22" s="116"/>
      <c r="R22" s="116"/>
      <c r="S22" s="116"/>
      <c r="T22" s="116"/>
      <c r="U22" s="116"/>
      <c r="V22" s="118">
        <f t="shared" si="1"/>
        <v>3037</v>
      </c>
      <c r="W22" s="119"/>
      <c r="X22" s="113"/>
    </row>
    <row r="23" spans="1:24">
      <c r="A23" s="120">
        <v>25</v>
      </c>
      <c r="B23" s="120" t="s">
        <v>49</v>
      </c>
      <c r="C23" s="123">
        <v>935</v>
      </c>
      <c r="D23" s="123"/>
      <c r="E23" s="123"/>
      <c r="F23" s="123">
        <f>1118+770</f>
        <v>1888</v>
      </c>
      <c r="G23" s="123"/>
      <c r="H23" s="123"/>
      <c r="I23" s="123"/>
      <c r="J23" s="123"/>
      <c r="K23" s="123"/>
      <c r="L23" s="123"/>
      <c r="M23" s="123"/>
      <c r="N23" s="123">
        <f>360+381</f>
        <v>741</v>
      </c>
      <c r="O23" s="123"/>
      <c r="P23" s="123">
        <v>100</v>
      </c>
      <c r="Q23" s="123"/>
      <c r="R23" s="123"/>
      <c r="S23" s="123">
        <f>100+650</f>
        <v>750</v>
      </c>
      <c r="T23" s="123"/>
      <c r="U23" s="123"/>
      <c r="V23" s="124">
        <f t="shared" si="1"/>
        <v>4414</v>
      </c>
      <c r="W23" s="125"/>
      <c r="X23" s="113"/>
    </row>
    <row r="24" spans="1:24">
      <c r="A24" s="114">
        <v>26</v>
      </c>
      <c r="B24" s="114" t="s">
        <v>43</v>
      </c>
      <c r="C24" s="116"/>
      <c r="D24" s="116"/>
      <c r="E24" s="116">
        <v>611</v>
      </c>
      <c r="F24" s="116"/>
      <c r="G24" s="116"/>
      <c r="H24" s="116"/>
      <c r="I24" s="116"/>
      <c r="J24" s="116"/>
      <c r="K24" s="116"/>
      <c r="L24" s="116"/>
      <c r="M24" s="116"/>
      <c r="N24" s="116">
        <f>400+344</f>
        <v>744</v>
      </c>
      <c r="O24" s="116"/>
      <c r="P24" s="116">
        <v>214</v>
      </c>
      <c r="Q24" s="116"/>
      <c r="R24" s="116"/>
      <c r="S24" s="116"/>
      <c r="T24" s="116"/>
      <c r="U24" s="116"/>
      <c r="V24" s="118">
        <f t="shared" si="1"/>
        <v>1569</v>
      </c>
      <c r="W24" s="119"/>
      <c r="X24" s="113"/>
    </row>
    <row r="25" spans="1:24">
      <c r="A25" s="120">
        <v>27</v>
      </c>
      <c r="B25" s="120" t="s">
        <v>44</v>
      </c>
      <c r="C25" s="123"/>
      <c r="D25" s="123"/>
      <c r="E25" s="123"/>
      <c r="F25" s="123">
        <v>700</v>
      </c>
      <c r="G25" s="123"/>
      <c r="H25" s="123">
        <v>1239.99</v>
      </c>
      <c r="I25" s="123"/>
      <c r="J25" s="123">
        <v>3974.41</v>
      </c>
      <c r="K25" s="123"/>
      <c r="L25" s="123"/>
      <c r="M25" s="123"/>
      <c r="N25" s="123">
        <f>349+254+607+400</f>
        <v>1610</v>
      </c>
      <c r="O25" s="123"/>
      <c r="P25" s="123"/>
      <c r="Q25" s="123"/>
      <c r="R25" s="123"/>
      <c r="S25" s="123"/>
      <c r="T25" s="123"/>
      <c r="U25" s="123">
        <f>1100+1090+350</f>
        <v>2540</v>
      </c>
      <c r="V25" s="124">
        <f t="shared" si="1"/>
        <v>10064.4</v>
      </c>
      <c r="W25" s="125"/>
      <c r="X25" s="113"/>
    </row>
    <row r="26" spans="1:24">
      <c r="A26" s="114">
        <v>28</v>
      </c>
      <c r="B26" s="114" t="s">
        <v>45</v>
      </c>
      <c r="C26" s="116">
        <v>1577.82</v>
      </c>
      <c r="D26" s="116"/>
      <c r="E26" s="116"/>
      <c r="F26" s="116"/>
      <c r="G26" s="116"/>
      <c r="H26" s="116"/>
      <c r="I26" s="116"/>
      <c r="J26" s="116">
        <v>3990.69</v>
      </c>
      <c r="K26" s="116"/>
      <c r="L26" s="116">
        <f>1896+3633</f>
        <v>5529</v>
      </c>
      <c r="M26" s="116"/>
      <c r="N26" s="116">
        <f>233+539</f>
        <v>772</v>
      </c>
      <c r="O26" s="116"/>
      <c r="P26" s="116">
        <v>2400</v>
      </c>
      <c r="Q26" s="116"/>
      <c r="R26" s="116"/>
      <c r="S26" s="116"/>
      <c r="T26" s="116"/>
      <c r="U26" s="116"/>
      <c r="V26" s="118">
        <f t="shared" si="1"/>
        <v>14269.51</v>
      </c>
      <c r="W26" s="119"/>
      <c r="X26" s="113"/>
    </row>
    <row r="27" spans="1:24">
      <c r="A27" s="114">
        <v>1</v>
      </c>
      <c r="B27" s="114" t="s">
        <v>46</v>
      </c>
      <c r="C27" s="116"/>
      <c r="D27" s="116">
        <v>1294</v>
      </c>
      <c r="E27" s="116"/>
      <c r="F27" s="116"/>
      <c r="G27" s="116"/>
      <c r="H27" s="116"/>
      <c r="I27" s="116"/>
      <c r="J27" s="116">
        <v>1711.25</v>
      </c>
      <c r="K27" s="116"/>
      <c r="L27" s="116"/>
      <c r="M27" s="116"/>
      <c r="N27" s="116">
        <v>133</v>
      </c>
      <c r="O27" s="116"/>
      <c r="P27" s="116"/>
      <c r="Q27" s="116"/>
      <c r="R27" s="116"/>
      <c r="S27" s="116">
        <f>414+449</f>
        <v>863</v>
      </c>
      <c r="T27" s="116"/>
      <c r="U27" s="116"/>
      <c r="V27" s="124">
        <f t="shared" si="1"/>
        <v>4001.25</v>
      </c>
      <c r="W27" s="119"/>
      <c r="X27" s="113"/>
    </row>
    <row r="28" spans="1:24">
      <c r="A28" s="114">
        <v>2</v>
      </c>
      <c r="B28" s="114" t="s">
        <v>47</v>
      </c>
      <c r="C28" s="116"/>
      <c r="D28" s="116"/>
      <c r="E28" s="116"/>
      <c r="F28" s="116">
        <f>350+1510</f>
        <v>1860</v>
      </c>
      <c r="G28" s="116"/>
      <c r="H28" s="116"/>
      <c r="I28" s="116"/>
      <c r="J28" s="116"/>
      <c r="K28" s="116"/>
      <c r="L28" s="116"/>
      <c r="M28" s="116"/>
      <c r="N28" s="116">
        <v>277</v>
      </c>
      <c r="O28" s="116"/>
      <c r="P28" s="116"/>
      <c r="Q28" s="116"/>
      <c r="R28" s="116">
        <v>700</v>
      </c>
      <c r="S28" s="116"/>
      <c r="T28" s="116"/>
      <c r="U28" s="116"/>
      <c r="V28" s="118">
        <f t="shared" si="1"/>
        <v>2837</v>
      </c>
      <c r="W28" s="119"/>
      <c r="X28" s="113"/>
    </row>
    <row r="29" spans="1:24">
      <c r="A29" s="114">
        <v>3</v>
      </c>
      <c r="B29" s="114" t="s">
        <v>48</v>
      </c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>
        <v>799</v>
      </c>
      <c r="S29" s="116"/>
      <c r="T29" s="116"/>
      <c r="U29" s="116"/>
      <c r="V29" s="124">
        <f t="shared" si="1"/>
        <v>799</v>
      </c>
      <c r="W29" s="119"/>
      <c r="X29" s="113"/>
    </row>
    <row r="30" spans="1:24">
      <c r="A30" s="114">
        <v>4</v>
      </c>
      <c r="B30" s="114" t="s">
        <v>49</v>
      </c>
      <c r="C30" s="115"/>
      <c r="D30" s="115"/>
      <c r="E30" s="116"/>
      <c r="F30" s="116"/>
      <c r="G30" s="115"/>
      <c r="H30" s="116"/>
      <c r="I30" s="116"/>
      <c r="J30" s="115"/>
      <c r="K30" s="116"/>
      <c r="L30" s="116"/>
      <c r="M30" s="116"/>
      <c r="N30" s="115"/>
      <c r="O30" s="116"/>
      <c r="P30" s="116"/>
      <c r="Q30" s="116"/>
      <c r="R30" s="115"/>
      <c r="S30" s="115"/>
      <c r="T30" s="116"/>
      <c r="U30" s="116"/>
      <c r="V30" s="118">
        <f t="shared" si="1"/>
        <v>0</v>
      </c>
      <c r="W30" s="119"/>
      <c r="X30" s="113">
        <f>W18+W21-SUM(V18:V30)</f>
        <v>278.36000000000098</v>
      </c>
    </row>
    <row r="31" spans="1:24">
      <c r="A31" s="172" t="s">
        <v>19</v>
      </c>
      <c r="B31" s="172"/>
      <c r="C31" s="127">
        <f>SUM(C3:C30)</f>
        <v>19992.27</v>
      </c>
      <c r="D31" s="127">
        <f t="shared" ref="D31:U31" si="2">SUM(D3:D30)</f>
        <v>12488</v>
      </c>
      <c r="E31" s="127">
        <f t="shared" si="2"/>
        <v>5127.4799999999996</v>
      </c>
      <c r="F31" s="127">
        <f t="shared" si="2"/>
        <v>5387</v>
      </c>
      <c r="G31" s="127">
        <f t="shared" si="2"/>
        <v>8545</v>
      </c>
      <c r="H31" s="127">
        <f t="shared" si="2"/>
        <v>1239.99</v>
      </c>
      <c r="I31" s="127">
        <f t="shared" si="2"/>
        <v>2140</v>
      </c>
      <c r="J31" s="127">
        <f t="shared" si="2"/>
        <v>10126.35</v>
      </c>
      <c r="K31" s="127">
        <f t="shared" si="2"/>
        <v>0</v>
      </c>
      <c r="L31" s="127">
        <f t="shared" si="2"/>
        <v>5529</v>
      </c>
      <c r="M31" s="127">
        <f t="shared" si="2"/>
        <v>0</v>
      </c>
      <c r="N31" s="127">
        <f t="shared" si="2"/>
        <v>10621</v>
      </c>
      <c r="O31" s="127">
        <f t="shared" si="2"/>
        <v>0</v>
      </c>
      <c r="P31" s="127">
        <f t="shared" si="2"/>
        <v>9051</v>
      </c>
      <c r="Q31" s="127">
        <f t="shared" si="2"/>
        <v>14418</v>
      </c>
      <c r="R31" s="127">
        <f t="shared" si="2"/>
        <v>1998</v>
      </c>
      <c r="S31" s="127">
        <f t="shared" si="2"/>
        <v>7668</v>
      </c>
      <c r="T31" s="127">
        <f t="shared" si="2"/>
        <v>0</v>
      </c>
      <c r="U31" s="127">
        <f t="shared" si="2"/>
        <v>2540</v>
      </c>
      <c r="V31" s="127">
        <f t="shared" ref="V31:W31" si="3">SUM(V3:V26)</f>
        <v>109233.84</v>
      </c>
      <c r="W31" s="127">
        <f t="shared" si="3"/>
        <v>110494.39999999999</v>
      </c>
      <c r="X31" s="128">
        <f>W31-V31</f>
        <v>1260.5600000000099</v>
      </c>
    </row>
    <row r="35" spans="2:10">
      <c r="B35" s="36"/>
      <c r="C35" s="36"/>
      <c r="D35" s="36"/>
      <c r="E35" s="36"/>
      <c r="F35" s="36"/>
      <c r="G35" s="36"/>
      <c r="H35" s="36"/>
      <c r="I35" s="36"/>
      <c r="J35" s="36"/>
    </row>
  </sheetData>
  <mergeCells count="2">
    <mergeCell ref="A1:X1"/>
    <mergeCell ref="A31:B31"/>
  </mergeCells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T36"/>
  <sheetViews>
    <sheetView zoomScale="86" zoomScaleNormal="86" workbookViewId="0">
      <pane xSplit="2" ySplit="32" topLeftCell="U33" activePane="bottomRight" state="frozen"/>
      <selection pane="topRight"/>
      <selection pane="bottomLeft"/>
      <selection pane="bottomRight" activeCell="S19" sqref="S19"/>
    </sheetView>
  </sheetViews>
  <sheetFormatPr defaultColWidth="9.140625" defaultRowHeight="15"/>
  <cols>
    <col min="1" max="24" width="20.7109375" style="1" customWidth="1"/>
    <col min="25" max="36" width="12.7109375" style="1" customWidth="1"/>
    <col min="37" max="16384" width="9.140625" style="1"/>
  </cols>
  <sheetData>
    <row r="1" spans="1:46" ht="60.75" customHeight="1">
      <c r="A1" s="173" t="s">
        <v>50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</row>
    <row r="2" spans="1:46" ht="45" customHeight="1">
      <c r="A2" s="84" t="s">
        <v>21</v>
      </c>
      <c r="B2" s="84" t="s">
        <v>22</v>
      </c>
      <c r="C2" s="84" t="s">
        <v>23</v>
      </c>
      <c r="D2" s="84" t="s">
        <v>25</v>
      </c>
      <c r="E2" s="84" t="s">
        <v>24</v>
      </c>
      <c r="F2" s="84" t="s">
        <v>51</v>
      </c>
      <c r="G2" s="84" t="s">
        <v>27</v>
      </c>
      <c r="H2" s="84" t="s">
        <v>28</v>
      </c>
      <c r="I2" s="84" t="s">
        <v>29</v>
      </c>
      <c r="J2" s="84" t="s">
        <v>30</v>
      </c>
      <c r="K2" s="84" t="s">
        <v>31</v>
      </c>
      <c r="L2" s="84" t="s">
        <v>32</v>
      </c>
      <c r="M2" s="84" t="s">
        <v>33</v>
      </c>
      <c r="N2" s="84" t="s">
        <v>34</v>
      </c>
      <c r="O2" s="84" t="s">
        <v>35</v>
      </c>
      <c r="P2" s="84" t="s">
        <v>36</v>
      </c>
      <c r="Q2" s="84" t="s">
        <v>37</v>
      </c>
      <c r="R2" s="84" t="s">
        <v>38</v>
      </c>
      <c r="S2" s="84" t="s">
        <v>39</v>
      </c>
      <c r="T2" s="84" t="s">
        <v>39</v>
      </c>
      <c r="U2" s="84" t="s">
        <v>40</v>
      </c>
      <c r="V2" s="84" t="s">
        <v>41</v>
      </c>
      <c r="W2" s="84" t="s">
        <v>42</v>
      </c>
      <c r="X2" s="84" t="s">
        <v>5</v>
      </c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</row>
    <row r="3" spans="1:46">
      <c r="A3" s="85">
        <v>5</v>
      </c>
      <c r="B3" s="85" t="s">
        <v>43</v>
      </c>
      <c r="C3" s="86">
        <f>2497.35+200</f>
        <v>2697.35</v>
      </c>
      <c r="D3" s="86"/>
      <c r="E3" s="86"/>
      <c r="F3" s="86"/>
      <c r="G3" s="86"/>
      <c r="H3" s="86"/>
      <c r="I3" s="86"/>
      <c r="J3" s="86"/>
      <c r="K3" s="86"/>
      <c r="L3" s="86"/>
      <c r="M3" s="86"/>
      <c r="N3" s="86">
        <v>312</v>
      </c>
      <c r="O3" s="86"/>
      <c r="P3" s="86"/>
      <c r="Q3" s="86"/>
      <c r="R3" s="86">
        <v>990</v>
      </c>
      <c r="S3" s="86"/>
      <c r="T3" s="86"/>
      <c r="U3" s="86"/>
      <c r="V3" s="86">
        <f>SUM(C3:U3)</f>
        <v>3999.35</v>
      </c>
      <c r="W3" s="87">
        <v>43724</v>
      </c>
      <c r="X3" s="88"/>
    </row>
    <row r="4" spans="1:46">
      <c r="A4" s="98">
        <v>6</v>
      </c>
      <c r="B4" s="98" t="s">
        <v>44</v>
      </c>
      <c r="C4" s="99"/>
      <c r="D4" s="99"/>
      <c r="E4" s="99"/>
      <c r="F4" s="99">
        <v>1610</v>
      </c>
      <c r="G4" s="99"/>
      <c r="H4" s="99"/>
      <c r="I4" s="99"/>
      <c r="J4" s="99"/>
      <c r="K4" s="99"/>
      <c r="L4" s="99"/>
      <c r="M4" s="99"/>
      <c r="N4" s="99">
        <f>387+364</f>
        <v>751</v>
      </c>
      <c r="O4" s="99"/>
      <c r="P4" s="99"/>
      <c r="Q4" s="99"/>
      <c r="R4" s="99">
        <v>199</v>
      </c>
      <c r="S4" s="99">
        <f>2411.96/2+116.97+2148/2+729</f>
        <v>3125.95</v>
      </c>
      <c r="T4" s="99">
        <v>6000</v>
      </c>
      <c r="U4" s="99"/>
      <c r="V4" s="99">
        <f t="shared" ref="V4:V31" si="0">SUM(C4:U4)</f>
        <v>11685.95</v>
      </c>
      <c r="W4" s="100"/>
      <c r="X4" s="101"/>
    </row>
    <row r="5" spans="1:46">
      <c r="A5" s="98">
        <v>7</v>
      </c>
      <c r="B5" s="98" t="s">
        <v>45</v>
      </c>
      <c r="C5" s="99"/>
      <c r="D5" s="99"/>
      <c r="E5" s="99"/>
      <c r="F5" s="99"/>
      <c r="G5" s="99">
        <f>3080+328</f>
        <v>3408</v>
      </c>
      <c r="H5" s="99"/>
      <c r="I5" s="99"/>
      <c r="J5" s="99"/>
      <c r="K5" s="99"/>
      <c r="L5" s="99"/>
      <c r="M5" s="99"/>
      <c r="N5" s="99">
        <v>268</v>
      </c>
      <c r="O5" s="99"/>
      <c r="P5" s="99">
        <v>8428</v>
      </c>
      <c r="Q5" s="99"/>
      <c r="R5" s="99">
        <f>255+547</f>
        <v>802</v>
      </c>
      <c r="S5" s="99"/>
      <c r="T5" s="99"/>
      <c r="U5" s="99"/>
      <c r="V5" s="99">
        <f t="shared" si="0"/>
        <v>12906</v>
      </c>
      <c r="W5" s="100"/>
      <c r="X5" s="101"/>
    </row>
    <row r="6" spans="1:46">
      <c r="A6" s="98">
        <v>8</v>
      </c>
      <c r="B6" s="98" t="s">
        <v>46</v>
      </c>
      <c r="C6" s="99">
        <f>284+995</f>
        <v>1279</v>
      </c>
      <c r="D6" s="99"/>
      <c r="E6" s="99"/>
      <c r="F6" s="99"/>
      <c r="G6" s="99"/>
      <c r="H6" s="99">
        <v>1117</v>
      </c>
      <c r="I6" s="99"/>
      <c r="J6" s="99"/>
      <c r="K6" s="99"/>
      <c r="L6" s="99"/>
      <c r="M6" s="99"/>
      <c r="N6" s="99">
        <v>400</v>
      </c>
      <c r="O6" s="99"/>
      <c r="P6" s="99">
        <v>1330</v>
      </c>
      <c r="Q6" s="99"/>
      <c r="R6" s="99"/>
      <c r="S6" s="99"/>
      <c r="T6" s="99"/>
      <c r="U6" s="99"/>
      <c r="V6" s="99">
        <f t="shared" si="0"/>
        <v>4126</v>
      </c>
      <c r="W6" s="100"/>
      <c r="X6" s="101"/>
    </row>
    <row r="7" spans="1:46">
      <c r="A7" s="98">
        <v>9</v>
      </c>
      <c r="B7" s="98" t="s">
        <v>47</v>
      </c>
      <c r="C7" s="99">
        <v>769</v>
      </c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>
        <f t="shared" si="0"/>
        <v>769</v>
      </c>
      <c r="W7" s="100"/>
      <c r="X7" s="101"/>
    </row>
    <row r="8" spans="1:46">
      <c r="A8" s="98">
        <v>10</v>
      </c>
      <c r="B8" s="98" t="s">
        <v>48</v>
      </c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>
        <v>302</v>
      </c>
      <c r="P8" s="99"/>
      <c r="Q8" s="99"/>
      <c r="R8" s="99"/>
      <c r="S8" s="99"/>
      <c r="T8" s="99"/>
      <c r="U8" s="99"/>
      <c r="V8" s="99">
        <f t="shared" si="0"/>
        <v>302</v>
      </c>
      <c r="W8" s="100"/>
      <c r="X8" s="101"/>
    </row>
    <row r="9" spans="1:46">
      <c r="A9" s="98">
        <v>11</v>
      </c>
      <c r="B9" s="98" t="s">
        <v>49</v>
      </c>
      <c r="C9" s="99"/>
      <c r="D9" s="99">
        <v>1191</v>
      </c>
      <c r="E9" s="99"/>
      <c r="F9" s="99">
        <f>1070+109</f>
        <v>1179</v>
      </c>
      <c r="G9" s="99"/>
      <c r="H9" s="99"/>
      <c r="I9" s="99"/>
      <c r="J9" s="99"/>
      <c r="K9" s="99"/>
      <c r="L9" s="99"/>
      <c r="M9" s="99"/>
      <c r="N9" s="99">
        <v>400</v>
      </c>
      <c r="O9" s="99">
        <v>277</v>
      </c>
      <c r="P9" s="99"/>
      <c r="Q9" s="99"/>
      <c r="R9" s="99"/>
      <c r="S9" s="99"/>
      <c r="T9" s="99"/>
      <c r="U9" s="99"/>
      <c r="V9" s="99">
        <f t="shared" si="0"/>
        <v>3047</v>
      </c>
      <c r="W9" s="100"/>
      <c r="X9" s="101"/>
    </row>
    <row r="10" spans="1:46">
      <c r="A10" s="98">
        <v>12</v>
      </c>
      <c r="B10" s="98" t="s">
        <v>43</v>
      </c>
      <c r="C10" s="99"/>
      <c r="D10" s="99"/>
      <c r="E10" s="99"/>
      <c r="F10" s="99">
        <f>420+700</f>
        <v>1120</v>
      </c>
      <c r="G10" s="99">
        <f>1421+331</f>
        <v>1752</v>
      </c>
      <c r="H10" s="99"/>
      <c r="I10" s="99"/>
      <c r="J10" s="99"/>
      <c r="K10" s="99"/>
      <c r="L10" s="99"/>
      <c r="M10" s="99"/>
      <c r="N10" s="99">
        <v>294</v>
      </c>
      <c r="O10" s="99"/>
      <c r="P10" s="99"/>
      <c r="Q10" s="99"/>
      <c r="R10" s="99"/>
      <c r="S10" s="99">
        <f>387+864</f>
        <v>1251</v>
      </c>
      <c r="T10" s="99"/>
      <c r="U10" s="99"/>
      <c r="V10" s="99">
        <f t="shared" si="0"/>
        <v>4417</v>
      </c>
      <c r="W10" s="100"/>
      <c r="X10" s="101"/>
    </row>
    <row r="11" spans="1:46">
      <c r="A11" s="102">
        <v>13</v>
      </c>
      <c r="B11" s="102" t="s">
        <v>44</v>
      </c>
      <c r="C11" s="103"/>
      <c r="D11" s="103"/>
      <c r="E11" s="103"/>
      <c r="F11" s="103">
        <f>1070+60</f>
        <v>1130</v>
      </c>
      <c r="G11" s="103"/>
      <c r="H11" s="103"/>
      <c r="I11" s="103"/>
      <c r="J11" s="103"/>
      <c r="K11" s="103"/>
      <c r="L11" s="103"/>
      <c r="M11" s="103"/>
      <c r="N11" s="103">
        <f>251+328+262</f>
        <v>841</v>
      </c>
      <c r="O11" s="103"/>
      <c r="P11" s="103"/>
      <c r="Q11" s="103"/>
      <c r="R11" s="103"/>
      <c r="S11" s="103"/>
      <c r="T11" s="103"/>
      <c r="U11" s="103"/>
      <c r="V11" s="103">
        <f t="shared" si="0"/>
        <v>1971</v>
      </c>
      <c r="W11" s="104"/>
      <c r="X11" s="105"/>
    </row>
    <row r="12" spans="1:46">
      <c r="A12" s="98">
        <v>14</v>
      </c>
      <c r="B12" s="98" t="s">
        <v>45</v>
      </c>
      <c r="C12" s="99"/>
      <c r="D12" s="99"/>
      <c r="E12" s="99"/>
      <c r="F12" s="99"/>
      <c r="G12" s="103">
        <v>3605</v>
      </c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>
        <f t="shared" si="0"/>
        <v>3605</v>
      </c>
      <c r="W12" s="100"/>
      <c r="X12" s="101"/>
    </row>
    <row r="13" spans="1:46">
      <c r="A13" s="98">
        <v>15</v>
      </c>
      <c r="B13" s="98" t="s">
        <v>46</v>
      </c>
      <c r="C13" s="103">
        <f>318+2115</f>
        <v>2433</v>
      </c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>
        <f t="shared" si="0"/>
        <v>2433</v>
      </c>
      <c r="W13" s="100"/>
      <c r="X13" s="101"/>
    </row>
    <row r="14" spans="1:46">
      <c r="A14" s="98">
        <v>16</v>
      </c>
      <c r="B14" s="98" t="s">
        <v>47</v>
      </c>
      <c r="C14" s="99"/>
      <c r="D14" s="99"/>
      <c r="E14" s="99"/>
      <c r="F14" s="103">
        <f>350</f>
        <v>350</v>
      </c>
      <c r="G14" s="99"/>
      <c r="H14" s="99"/>
      <c r="I14" s="99"/>
      <c r="J14" s="99"/>
      <c r="K14" s="99"/>
      <c r="L14" s="99"/>
      <c r="M14" s="99"/>
      <c r="N14" s="99"/>
      <c r="O14" s="103">
        <v>291</v>
      </c>
      <c r="P14" s="99"/>
      <c r="Q14" s="99"/>
      <c r="R14" s="99"/>
      <c r="S14" s="99"/>
      <c r="T14" s="99"/>
      <c r="U14" s="99"/>
      <c r="V14" s="99">
        <f t="shared" si="0"/>
        <v>641</v>
      </c>
      <c r="W14" s="100"/>
      <c r="X14" s="101"/>
    </row>
    <row r="15" spans="1:46">
      <c r="A15" s="98">
        <v>17</v>
      </c>
      <c r="B15" s="98" t="s">
        <v>48</v>
      </c>
      <c r="C15" s="99"/>
      <c r="D15" s="99"/>
      <c r="E15" s="99"/>
      <c r="F15" s="103">
        <v>350</v>
      </c>
      <c r="G15" s="99"/>
      <c r="H15" s="99"/>
      <c r="I15" s="99"/>
      <c r="J15" s="99"/>
      <c r="K15" s="99"/>
      <c r="L15" s="99"/>
      <c r="M15" s="99"/>
      <c r="N15" s="99"/>
      <c r="O15" s="103">
        <v>1000</v>
      </c>
      <c r="P15" s="99"/>
      <c r="Q15" s="99"/>
      <c r="R15" s="99"/>
      <c r="S15" s="99"/>
      <c r="T15" s="99"/>
      <c r="U15" s="99"/>
      <c r="V15" s="99">
        <f t="shared" si="0"/>
        <v>1350</v>
      </c>
      <c r="W15" s="100"/>
      <c r="X15" s="101"/>
    </row>
    <row r="16" spans="1:46">
      <c r="A16" s="98">
        <v>18</v>
      </c>
      <c r="B16" s="98" t="s">
        <v>49</v>
      </c>
      <c r="C16" s="99"/>
      <c r="D16" s="99"/>
      <c r="E16" s="99"/>
      <c r="F16" s="103">
        <f>1080+109+350</f>
        <v>1539</v>
      </c>
      <c r="G16" s="99"/>
      <c r="H16" s="99"/>
      <c r="I16" s="99"/>
      <c r="J16" s="99"/>
      <c r="K16" s="99"/>
      <c r="L16" s="99"/>
      <c r="M16" s="99"/>
      <c r="N16" s="103">
        <v>400</v>
      </c>
      <c r="O16" s="99"/>
      <c r="P16" s="99"/>
      <c r="Q16" s="99"/>
      <c r="R16" s="99"/>
      <c r="S16" s="99"/>
      <c r="T16" s="99"/>
      <c r="U16" s="99"/>
      <c r="V16" s="99">
        <f t="shared" si="0"/>
        <v>1939</v>
      </c>
      <c r="W16" s="100"/>
      <c r="X16" s="101"/>
    </row>
    <row r="17" spans="1:24">
      <c r="A17" s="98">
        <v>19</v>
      </c>
      <c r="B17" s="98" t="s">
        <v>43</v>
      </c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103">
        <f>159+358</f>
        <v>517</v>
      </c>
      <c r="O17" s="99"/>
      <c r="P17" s="99"/>
      <c r="Q17" s="99"/>
      <c r="R17" s="99"/>
      <c r="S17" s="99"/>
      <c r="T17" s="99"/>
      <c r="U17" s="99"/>
      <c r="V17" s="99">
        <f t="shared" si="0"/>
        <v>517</v>
      </c>
      <c r="W17" s="100"/>
      <c r="X17" s="101"/>
    </row>
    <row r="18" spans="1:24">
      <c r="A18" s="85">
        <v>20</v>
      </c>
      <c r="B18" s="85" t="s">
        <v>44</v>
      </c>
      <c r="C18" s="86">
        <f>220+2225+135</f>
        <v>2580</v>
      </c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>
        <v>499</v>
      </c>
      <c r="S18" s="86">
        <v>130</v>
      </c>
      <c r="T18" s="86"/>
      <c r="U18" s="86"/>
      <c r="V18" s="86">
        <f t="shared" si="0"/>
        <v>3209</v>
      </c>
      <c r="W18" s="87">
        <v>24676</v>
      </c>
      <c r="X18" s="88"/>
    </row>
    <row r="19" spans="1:24">
      <c r="A19" s="98">
        <v>21</v>
      </c>
      <c r="B19" s="98" t="s">
        <v>45</v>
      </c>
      <c r="C19" s="99">
        <f>780+65</f>
        <v>845</v>
      </c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>
        <f>570+120</f>
        <v>690</v>
      </c>
      <c r="S19" s="99">
        <v>4661</v>
      </c>
      <c r="T19" s="99">
        <v>1200</v>
      </c>
      <c r="U19" s="99"/>
      <c r="V19" s="99">
        <f t="shared" si="0"/>
        <v>7396</v>
      </c>
      <c r="W19" s="100"/>
      <c r="X19" s="101"/>
    </row>
    <row r="20" spans="1:24">
      <c r="A20" s="98">
        <v>22</v>
      </c>
      <c r="B20" s="98" t="s">
        <v>46</v>
      </c>
      <c r="C20" s="99">
        <f>5500-2600</f>
        <v>2900</v>
      </c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>
        <v>2600</v>
      </c>
      <c r="T20" s="99">
        <v>600</v>
      </c>
      <c r="U20" s="99"/>
      <c r="V20" s="99">
        <f t="shared" si="0"/>
        <v>6100</v>
      </c>
      <c r="W20" s="100"/>
      <c r="X20" s="101"/>
    </row>
    <row r="21" spans="1:24">
      <c r="A21" s="98">
        <v>23</v>
      </c>
      <c r="B21" s="98" t="s">
        <v>47</v>
      </c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>
        <v>311</v>
      </c>
      <c r="P21" s="99"/>
      <c r="Q21" s="99"/>
      <c r="R21" s="99"/>
      <c r="S21" s="99"/>
      <c r="T21" s="99"/>
      <c r="U21" s="99"/>
      <c r="V21" s="99">
        <f t="shared" si="0"/>
        <v>311</v>
      </c>
      <c r="W21" s="100"/>
      <c r="X21" s="101"/>
    </row>
    <row r="22" spans="1:24">
      <c r="A22" s="98">
        <v>24</v>
      </c>
      <c r="B22" s="98" t="s">
        <v>48</v>
      </c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>
        <v>295</v>
      </c>
      <c r="P22" s="99"/>
      <c r="Q22" s="99"/>
      <c r="R22" s="99"/>
      <c r="S22" s="99">
        <v>900</v>
      </c>
      <c r="T22" s="99"/>
      <c r="U22" s="99"/>
      <c r="V22" s="99">
        <f t="shared" si="0"/>
        <v>1195</v>
      </c>
      <c r="W22" s="100"/>
      <c r="X22" s="101"/>
    </row>
    <row r="23" spans="1:24">
      <c r="A23" s="98">
        <v>25</v>
      </c>
      <c r="B23" s="98" t="s">
        <v>49</v>
      </c>
      <c r="C23" s="99">
        <f>633</f>
        <v>633</v>
      </c>
      <c r="D23" s="99"/>
      <c r="E23" s="99"/>
      <c r="F23" s="99">
        <f>392+352</f>
        <v>744</v>
      </c>
      <c r="G23" s="99"/>
      <c r="H23" s="99"/>
      <c r="I23" s="99"/>
      <c r="J23" s="99"/>
      <c r="K23" s="99"/>
      <c r="L23" s="99"/>
      <c r="M23" s="99"/>
      <c r="N23" s="99">
        <f>204+188+400</f>
        <v>792</v>
      </c>
      <c r="O23" s="99"/>
      <c r="P23" s="99"/>
      <c r="Q23" s="99"/>
      <c r="R23" s="99"/>
      <c r="S23" s="99"/>
      <c r="T23" s="99"/>
      <c r="U23" s="99"/>
      <c r="V23" s="99">
        <f t="shared" si="0"/>
        <v>2169</v>
      </c>
      <c r="W23" s="100"/>
      <c r="X23" s="101"/>
    </row>
    <row r="24" spans="1:24">
      <c r="A24" s="98">
        <v>26</v>
      </c>
      <c r="B24" s="98" t="s">
        <v>43</v>
      </c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>
        <f t="shared" si="0"/>
        <v>0</v>
      </c>
      <c r="W24" s="100"/>
      <c r="X24" s="101"/>
    </row>
    <row r="25" spans="1:24">
      <c r="A25" s="98">
        <v>27</v>
      </c>
      <c r="B25" s="98" t="s">
        <v>44</v>
      </c>
      <c r="C25" s="99">
        <v>1104</v>
      </c>
      <c r="D25" s="99">
        <v>856</v>
      </c>
      <c r="E25" s="99"/>
      <c r="F25" s="99"/>
      <c r="G25" s="99"/>
      <c r="H25" s="99"/>
      <c r="I25" s="99"/>
      <c r="J25" s="99"/>
      <c r="K25" s="99"/>
      <c r="L25" s="99"/>
      <c r="M25" s="99"/>
      <c r="N25" s="99">
        <f>201+182</f>
        <v>383</v>
      </c>
      <c r="O25" s="99"/>
      <c r="P25" s="99"/>
      <c r="Q25" s="99"/>
      <c r="R25" s="99"/>
      <c r="S25" s="99"/>
      <c r="T25" s="99"/>
      <c r="U25" s="99"/>
      <c r="V25" s="99">
        <f t="shared" si="0"/>
        <v>2343</v>
      </c>
      <c r="W25" s="100"/>
      <c r="X25" s="101"/>
    </row>
    <row r="26" spans="1:24">
      <c r="A26" s="98">
        <v>28</v>
      </c>
      <c r="B26" s="98" t="s">
        <v>45</v>
      </c>
      <c r="C26" s="99"/>
      <c r="D26" s="99">
        <v>1067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>
        <v>132</v>
      </c>
      <c r="T26" s="99"/>
      <c r="U26" s="99"/>
      <c r="V26" s="99">
        <f t="shared" si="0"/>
        <v>1199</v>
      </c>
      <c r="W26" s="100"/>
      <c r="X26" s="101"/>
    </row>
    <row r="27" spans="1:24">
      <c r="A27" s="98">
        <v>29</v>
      </c>
      <c r="B27" s="98" t="s">
        <v>46</v>
      </c>
      <c r="C27" s="103">
        <f>735+868</f>
        <v>1603</v>
      </c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>
        <f>322+198</f>
        <v>520</v>
      </c>
      <c r="O27" s="99"/>
      <c r="P27" s="99"/>
      <c r="Q27" s="99"/>
      <c r="R27" s="99"/>
      <c r="S27" s="99"/>
      <c r="T27" s="99"/>
      <c r="U27" s="99"/>
      <c r="V27" s="99">
        <f t="shared" si="0"/>
        <v>2123</v>
      </c>
      <c r="W27" s="100"/>
      <c r="X27" s="101"/>
    </row>
    <row r="28" spans="1:24">
      <c r="A28" s="98">
        <v>30</v>
      </c>
      <c r="B28" s="98" t="s">
        <v>47</v>
      </c>
      <c r="C28" s="99"/>
      <c r="D28" s="99"/>
      <c r="E28" s="99"/>
      <c r="F28" s="103">
        <f>350</f>
        <v>350</v>
      </c>
      <c r="G28" s="99"/>
      <c r="H28" s="99"/>
      <c r="I28" s="99"/>
      <c r="J28" s="99"/>
      <c r="K28" s="99"/>
      <c r="L28" s="99"/>
      <c r="M28" s="99"/>
      <c r="N28" s="103">
        <v>228</v>
      </c>
      <c r="O28" s="99"/>
      <c r="P28" s="99"/>
      <c r="Q28" s="99"/>
      <c r="R28" s="99"/>
      <c r="S28" s="99"/>
      <c r="T28" s="99"/>
      <c r="U28" s="99"/>
      <c r="V28" s="99">
        <f t="shared" si="0"/>
        <v>578</v>
      </c>
      <c r="W28" s="100"/>
      <c r="X28" s="101"/>
    </row>
    <row r="29" spans="1:24">
      <c r="A29" s="98">
        <v>31</v>
      </c>
      <c r="B29" s="98" t="s">
        <v>48</v>
      </c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>
        <f t="shared" si="0"/>
        <v>0</v>
      </c>
      <c r="W29" s="100"/>
      <c r="X29" s="101"/>
    </row>
    <row r="30" spans="1:24">
      <c r="A30" s="98">
        <v>1</v>
      </c>
      <c r="B30" s="98" t="s">
        <v>49</v>
      </c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>
        <f t="shared" si="0"/>
        <v>0</v>
      </c>
      <c r="W30" s="100"/>
      <c r="X30" s="101"/>
    </row>
    <row r="31" spans="1:24">
      <c r="A31" s="98">
        <v>2</v>
      </c>
      <c r="B31" s="98" t="s">
        <v>43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>
        <f t="shared" si="0"/>
        <v>0</v>
      </c>
      <c r="W31" s="100"/>
      <c r="X31" s="101"/>
    </row>
    <row r="32" spans="1:24">
      <c r="A32" s="174" t="s">
        <v>19</v>
      </c>
      <c r="B32" s="174"/>
      <c r="C32" s="100">
        <f>SUM(C3:C31)</f>
        <v>16843.349999999999</v>
      </c>
      <c r="D32" s="100">
        <f t="shared" ref="D32:V32" si="1">SUM(D3:D31)</f>
        <v>3114</v>
      </c>
      <c r="E32" s="100">
        <f t="shared" si="1"/>
        <v>0</v>
      </c>
      <c r="F32" s="100">
        <f t="shared" si="1"/>
        <v>8372</v>
      </c>
      <c r="G32" s="100">
        <f t="shared" si="1"/>
        <v>8765</v>
      </c>
      <c r="H32" s="100">
        <f t="shared" si="1"/>
        <v>1117</v>
      </c>
      <c r="I32" s="100">
        <f t="shared" si="1"/>
        <v>0</v>
      </c>
      <c r="J32" s="100">
        <f t="shared" si="1"/>
        <v>0</v>
      </c>
      <c r="K32" s="100">
        <f t="shared" si="1"/>
        <v>0</v>
      </c>
      <c r="L32" s="100">
        <f t="shared" si="1"/>
        <v>0</v>
      </c>
      <c r="M32" s="100">
        <f t="shared" si="1"/>
        <v>0</v>
      </c>
      <c r="N32" s="100">
        <f t="shared" si="1"/>
        <v>6106</v>
      </c>
      <c r="O32" s="100">
        <f t="shared" si="1"/>
        <v>2476</v>
      </c>
      <c r="P32" s="100">
        <f t="shared" si="1"/>
        <v>9758</v>
      </c>
      <c r="Q32" s="100">
        <f t="shared" si="1"/>
        <v>0</v>
      </c>
      <c r="R32" s="100">
        <f t="shared" si="1"/>
        <v>3180</v>
      </c>
      <c r="S32" s="100">
        <f t="shared" si="1"/>
        <v>12799.95</v>
      </c>
      <c r="T32" s="100">
        <f t="shared" si="1"/>
        <v>7800</v>
      </c>
      <c r="U32" s="100">
        <f t="shared" si="1"/>
        <v>0</v>
      </c>
      <c r="V32" s="106">
        <f t="shared" si="1"/>
        <v>80331.3</v>
      </c>
      <c r="W32" s="100">
        <f>SUM(W3:W29)</f>
        <v>68400</v>
      </c>
      <c r="X32" s="101">
        <f>W32-V32</f>
        <v>-11931.3</v>
      </c>
    </row>
    <row r="36" spans="2:10">
      <c r="B36" s="36"/>
      <c r="C36" s="36"/>
      <c r="D36" s="36"/>
      <c r="E36" s="36"/>
      <c r="F36" s="36"/>
      <c r="G36" s="36"/>
      <c r="H36" s="36"/>
      <c r="I36" s="36"/>
      <c r="J36" s="36"/>
    </row>
  </sheetData>
  <mergeCells count="2">
    <mergeCell ref="A1:X1"/>
    <mergeCell ref="A32:B32"/>
  </mergeCells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41"/>
  <sheetViews>
    <sheetView zoomScale="85" zoomScaleNormal="85" workbookViewId="0">
      <pane xSplit="2" ySplit="37" topLeftCell="P38" activePane="bottomRight" state="frozen"/>
      <selection pane="topRight"/>
      <selection pane="bottomLeft"/>
      <selection pane="bottomRight" activeCell="AD25" sqref="AD25"/>
    </sheetView>
  </sheetViews>
  <sheetFormatPr defaultColWidth="9.140625" defaultRowHeight="15"/>
  <cols>
    <col min="1" max="25" width="20.7109375" style="1" customWidth="1"/>
    <col min="26" max="37" width="12.7109375" style="1" customWidth="1"/>
    <col min="38" max="16384" width="9.140625" style="1"/>
  </cols>
  <sheetData>
    <row r="1" spans="1:47" ht="60.75" customHeight="1">
      <c r="A1" s="173" t="s">
        <v>52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</row>
    <row r="2" spans="1:47" ht="45" customHeight="1">
      <c r="A2" s="84" t="s">
        <v>21</v>
      </c>
      <c r="B2" s="84" t="s">
        <v>22</v>
      </c>
      <c r="C2" s="84" t="s">
        <v>23</v>
      </c>
      <c r="D2" s="84" t="s">
        <v>25</v>
      </c>
      <c r="E2" s="84" t="s">
        <v>24</v>
      </c>
      <c r="F2" s="84" t="s">
        <v>51</v>
      </c>
      <c r="G2" s="84" t="s">
        <v>53</v>
      </c>
      <c r="H2" s="84" t="s">
        <v>27</v>
      </c>
      <c r="I2" s="84" t="s">
        <v>28</v>
      </c>
      <c r="J2" s="84" t="s">
        <v>29</v>
      </c>
      <c r="K2" s="84" t="s">
        <v>30</v>
      </c>
      <c r="L2" s="84" t="s">
        <v>31</v>
      </c>
      <c r="M2" s="84" t="s">
        <v>32</v>
      </c>
      <c r="N2" s="84" t="s">
        <v>33</v>
      </c>
      <c r="O2" s="84" t="s">
        <v>34</v>
      </c>
      <c r="P2" s="84" t="s">
        <v>35</v>
      </c>
      <c r="Q2" s="84" t="s">
        <v>36</v>
      </c>
      <c r="R2" s="84" t="s">
        <v>37</v>
      </c>
      <c r="S2" s="84" t="s">
        <v>38</v>
      </c>
      <c r="T2" s="84" t="s">
        <v>39</v>
      </c>
      <c r="U2" s="84" t="s">
        <v>39</v>
      </c>
      <c r="V2" s="84" t="s">
        <v>40</v>
      </c>
      <c r="W2" s="84" t="s">
        <v>41</v>
      </c>
      <c r="X2" s="84" t="s">
        <v>42</v>
      </c>
      <c r="Y2" s="84" t="s">
        <v>5</v>
      </c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47">
      <c r="A3" s="85">
        <v>3</v>
      </c>
      <c r="B3" s="85" t="s">
        <v>44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>
        <f>22000+3500</f>
        <v>25500</v>
      </c>
      <c r="R3" s="86"/>
      <c r="S3" s="86">
        <f>4660+702+799</f>
        <v>6161</v>
      </c>
      <c r="T3" s="86">
        <v>7000</v>
      </c>
      <c r="U3" s="86">
        <v>750</v>
      </c>
      <c r="V3" s="86"/>
      <c r="W3" s="86">
        <f>SUM(C3:V3)</f>
        <v>39411</v>
      </c>
      <c r="X3" s="87">
        <v>100688</v>
      </c>
      <c r="Y3" s="88"/>
    </row>
    <row r="4" spans="1:47">
      <c r="A4" s="89">
        <v>4</v>
      </c>
      <c r="B4" s="89" t="s">
        <v>45</v>
      </c>
      <c r="C4" s="90">
        <f>100+422+585</f>
        <v>1107</v>
      </c>
      <c r="D4" s="90">
        <v>3679</v>
      </c>
      <c r="E4" s="90"/>
      <c r="F4" s="90"/>
      <c r="G4" s="90"/>
      <c r="H4" s="90">
        <f>2320+1728</f>
        <v>4048</v>
      </c>
      <c r="I4" s="90"/>
      <c r="J4" s="90"/>
      <c r="K4" s="90">
        <v>3663.22</v>
      </c>
      <c r="L4" s="90"/>
      <c r="M4" s="90"/>
      <c r="N4" s="90">
        <v>5350</v>
      </c>
      <c r="O4" s="90"/>
      <c r="P4" s="90"/>
      <c r="Q4" s="90">
        <v>1025</v>
      </c>
      <c r="R4" s="90"/>
      <c r="S4" s="90">
        <v>100</v>
      </c>
      <c r="T4" s="90"/>
      <c r="U4" s="90">
        <v>990</v>
      </c>
      <c r="V4" s="90">
        <f>1320+1330+210</f>
        <v>2860</v>
      </c>
      <c r="W4" s="90">
        <f t="shared" ref="W4:W35" si="0">SUM(C4:V4)</f>
        <v>22822.22</v>
      </c>
      <c r="X4" s="91"/>
      <c r="Y4" s="92"/>
    </row>
    <row r="5" spans="1:47">
      <c r="A5" s="89">
        <v>5</v>
      </c>
      <c r="B5" s="89" t="s">
        <v>46</v>
      </c>
      <c r="C5" s="90">
        <f>3116+382</f>
        <v>3498</v>
      </c>
      <c r="D5" s="90"/>
      <c r="E5" s="90"/>
      <c r="F5" s="90"/>
      <c r="G5" s="90"/>
      <c r="H5" s="90"/>
      <c r="I5" s="90">
        <v>1500</v>
      </c>
      <c r="J5" s="90"/>
      <c r="K5" s="90"/>
      <c r="L5" s="90"/>
      <c r="M5" s="90"/>
      <c r="N5" s="90"/>
      <c r="O5" s="90"/>
      <c r="P5" s="90"/>
      <c r="Q5" s="90"/>
      <c r="R5" s="90">
        <v>9373</v>
      </c>
      <c r="S5" s="90">
        <v>199</v>
      </c>
      <c r="T5" s="90"/>
      <c r="U5" s="90"/>
      <c r="V5" s="90"/>
      <c r="W5" s="90">
        <f t="shared" si="0"/>
        <v>14570</v>
      </c>
      <c r="X5" s="91"/>
      <c r="Y5" s="92"/>
    </row>
    <row r="6" spans="1:47">
      <c r="A6" s="89">
        <v>6</v>
      </c>
      <c r="B6" s="89" t="s">
        <v>47</v>
      </c>
      <c r="C6" s="90">
        <v>918</v>
      </c>
      <c r="D6" s="90">
        <v>994</v>
      </c>
      <c r="E6" s="90"/>
      <c r="F6" s="90"/>
      <c r="G6" s="90"/>
      <c r="H6" s="90"/>
      <c r="I6" s="90"/>
      <c r="J6" s="90"/>
      <c r="K6" s="90">
        <v>3464</v>
      </c>
      <c r="L6" s="90"/>
      <c r="M6" s="90"/>
      <c r="N6" s="90"/>
      <c r="O6" s="90"/>
      <c r="P6" s="90">
        <f>500+288</f>
        <v>788</v>
      </c>
      <c r="Q6" s="90"/>
      <c r="R6" s="90"/>
      <c r="S6" s="90">
        <v>990</v>
      </c>
      <c r="T6" s="90"/>
      <c r="U6" s="90"/>
      <c r="V6" s="90"/>
      <c r="W6" s="90">
        <f t="shared" si="0"/>
        <v>7154</v>
      </c>
      <c r="X6" s="91"/>
      <c r="Y6" s="92"/>
    </row>
    <row r="7" spans="1:47">
      <c r="A7" s="89">
        <v>7</v>
      </c>
      <c r="B7" s="89" t="s">
        <v>48</v>
      </c>
      <c r="C7" s="90"/>
      <c r="D7" s="90">
        <v>714</v>
      </c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>
        <f>500+280</f>
        <v>780</v>
      </c>
      <c r="Q7" s="90"/>
      <c r="R7" s="90"/>
      <c r="S7" s="90"/>
      <c r="T7" s="90"/>
      <c r="U7" s="90"/>
      <c r="V7" s="90"/>
      <c r="W7" s="90">
        <f t="shared" si="0"/>
        <v>1494</v>
      </c>
      <c r="X7" s="91"/>
      <c r="Y7" s="92"/>
    </row>
    <row r="8" spans="1:47">
      <c r="A8" s="89">
        <v>8</v>
      </c>
      <c r="B8" s="89" t="s">
        <v>49</v>
      </c>
      <c r="C8" s="90"/>
      <c r="D8" s="90"/>
      <c r="E8" s="90"/>
      <c r="F8" s="90">
        <v>420</v>
      </c>
      <c r="G8" s="90">
        <v>835</v>
      </c>
      <c r="H8" s="90">
        <v>285</v>
      </c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>
        <f t="shared" si="0"/>
        <v>1540</v>
      </c>
      <c r="X8" s="91"/>
      <c r="Y8" s="92"/>
    </row>
    <row r="9" spans="1:47">
      <c r="A9" s="89">
        <v>9</v>
      </c>
      <c r="B9" s="89" t="s">
        <v>43</v>
      </c>
      <c r="C9" s="90">
        <v>863</v>
      </c>
      <c r="D9" s="90">
        <v>710</v>
      </c>
      <c r="E9" s="90"/>
      <c r="F9" s="90"/>
      <c r="G9" s="90"/>
      <c r="H9" s="90"/>
      <c r="I9" s="90"/>
      <c r="J9" s="90"/>
      <c r="K9" s="90"/>
      <c r="L9" s="90"/>
      <c r="M9" s="90"/>
      <c r="N9" s="90"/>
      <c r="O9" s="90">
        <v>409</v>
      </c>
      <c r="P9" s="90"/>
      <c r="Q9" s="90"/>
      <c r="R9" s="90"/>
      <c r="S9" s="90"/>
      <c r="T9" s="90"/>
      <c r="U9" s="90"/>
      <c r="V9" s="90"/>
      <c r="W9" s="90">
        <f t="shared" si="0"/>
        <v>1982</v>
      </c>
      <c r="X9" s="91"/>
      <c r="Y9" s="92"/>
    </row>
    <row r="10" spans="1:47">
      <c r="A10" s="89">
        <v>10</v>
      </c>
      <c r="B10" s="89" t="s">
        <v>44</v>
      </c>
      <c r="C10" s="90">
        <v>319</v>
      </c>
      <c r="D10" s="90">
        <v>940</v>
      </c>
      <c r="E10" s="90">
        <v>1895</v>
      </c>
      <c r="F10" s="90"/>
      <c r="G10" s="90">
        <v>835</v>
      </c>
      <c r="H10" s="90"/>
      <c r="I10" s="90">
        <v>1034</v>
      </c>
      <c r="J10" s="90"/>
      <c r="K10" s="90"/>
      <c r="L10" s="90"/>
      <c r="M10" s="90"/>
      <c r="N10" s="90"/>
      <c r="O10" s="90">
        <v>275</v>
      </c>
      <c r="P10" s="90"/>
      <c r="Q10" s="90"/>
      <c r="R10" s="90"/>
      <c r="S10" s="90"/>
      <c r="T10" s="90"/>
      <c r="U10" s="90"/>
      <c r="V10" s="90"/>
      <c r="W10" s="90">
        <f t="shared" si="0"/>
        <v>5298</v>
      </c>
      <c r="X10" s="91"/>
      <c r="Y10" s="92"/>
    </row>
    <row r="11" spans="1:47">
      <c r="A11" s="89">
        <v>11</v>
      </c>
      <c r="B11" s="89" t="s">
        <v>45</v>
      </c>
      <c r="C11" s="90">
        <f>790+282</f>
        <v>1072</v>
      </c>
      <c r="D11" s="90">
        <v>1311</v>
      </c>
      <c r="E11" s="90"/>
      <c r="F11" s="90"/>
      <c r="G11" s="90"/>
      <c r="H11" s="90"/>
      <c r="I11" s="90"/>
      <c r="J11" s="90"/>
      <c r="K11" s="90"/>
      <c r="L11" s="90"/>
      <c r="M11" s="90"/>
      <c r="N11" s="90">
        <f>1500+1900</f>
        <v>3400</v>
      </c>
      <c r="O11" s="90">
        <f>302+243</f>
        <v>545</v>
      </c>
      <c r="P11" s="90"/>
      <c r="Q11" s="90"/>
      <c r="R11" s="90"/>
      <c r="S11" s="90"/>
      <c r="T11" s="90"/>
      <c r="U11" s="90"/>
      <c r="V11" s="90"/>
      <c r="W11" s="90">
        <f t="shared" si="0"/>
        <v>6328</v>
      </c>
      <c r="X11" s="91">
        <v>5000</v>
      </c>
      <c r="Y11" s="92"/>
    </row>
    <row r="12" spans="1:47">
      <c r="A12" s="89">
        <v>12</v>
      </c>
      <c r="B12" s="89" t="s">
        <v>46</v>
      </c>
      <c r="C12" s="90">
        <f>69+603</f>
        <v>672</v>
      </c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>
        <f t="shared" si="0"/>
        <v>672</v>
      </c>
      <c r="X12" s="91">
        <v>10000</v>
      </c>
      <c r="Y12" s="92"/>
    </row>
    <row r="13" spans="1:47">
      <c r="A13" s="89">
        <v>13</v>
      </c>
      <c r="B13" s="89" t="s">
        <v>47</v>
      </c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>
        <f t="shared" si="0"/>
        <v>0</v>
      </c>
      <c r="X13" s="91"/>
      <c r="Y13" s="92"/>
    </row>
    <row r="14" spans="1:47">
      <c r="A14" s="89">
        <v>14</v>
      </c>
      <c r="B14" s="89" t="s">
        <v>48</v>
      </c>
      <c r="C14" s="90">
        <v>879</v>
      </c>
      <c r="D14" s="90"/>
      <c r="E14" s="90"/>
      <c r="F14" s="90">
        <v>1080</v>
      </c>
      <c r="G14" s="90">
        <v>580</v>
      </c>
      <c r="H14" s="90">
        <v>1261</v>
      </c>
      <c r="I14" s="90"/>
      <c r="J14" s="90"/>
      <c r="K14" s="90"/>
      <c r="L14" s="90"/>
      <c r="M14" s="90"/>
      <c r="N14" s="90"/>
      <c r="O14" s="90">
        <v>305</v>
      </c>
      <c r="P14" s="90"/>
      <c r="Q14" s="90"/>
      <c r="R14" s="90"/>
      <c r="S14" s="90"/>
      <c r="T14" s="90"/>
      <c r="U14" s="90"/>
      <c r="V14" s="90"/>
      <c r="W14" s="90">
        <f t="shared" si="0"/>
        <v>4105</v>
      </c>
      <c r="X14" s="91"/>
      <c r="Y14" s="92"/>
    </row>
    <row r="15" spans="1:47">
      <c r="A15" s="89">
        <v>15</v>
      </c>
      <c r="B15" s="89" t="s">
        <v>49</v>
      </c>
      <c r="C15" s="90">
        <v>700</v>
      </c>
      <c r="D15" s="90"/>
      <c r="E15" s="90"/>
      <c r="F15" s="90">
        <v>990</v>
      </c>
      <c r="G15" s="90"/>
      <c r="H15" s="90">
        <v>2200</v>
      </c>
      <c r="I15" s="90"/>
      <c r="J15" s="90"/>
      <c r="K15" s="90"/>
      <c r="L15" s="90"/>
      <c r="M15" s="90"/>
      <c r="N15" s="90"/>
      <c r="O15" s="90">
        <v>369</v>
      </c>
      <c r="P15" s="90"/>
      <c r="Q15" s="90"/>
      <c r="R15" s="90"/>
      <c r="S15" s="90"/>
      <c r="T15" s="90">
        <v>1400</v>
      </c>
      <c r="U15" s="90"/>
      <c r="V15" s="90"/>
      <c r="W15" s="90">
        <f t="shared" si="0"/>
        <v>5659</v>
      </c>
      <c r="X15" s="91"/>
      <c r="Y15" s="92"/>
    </row>
    <row r="16" spans="1:47">
      <c r="A16" s="89">
        <v>16</v>
      </c>
      <c r="B16" s="89" t="s">
        <v>43</v>
      </c>
      <c r="C16" s="90">
        <f>160+263</f>
        <v>423</v>
      </c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>
        <v>450</v>
      </c>
      <c r="U16" s="90"/>
      <c r="V16" s="90"/>
      <c r="W16" s="90">
        <f t="shared" si="0"/>
        <v>873</v>
      </c>
      <c r="X16" s="91"/>
      <c r="Y16" s="92"/>
    </row>
    <row r="17" spans="1:27">
      <c r="A17" s="89">
        <v>17</v>
      </c>
      <c r="B17" s="89" t="s">
        <v>44</v>
      </c>
      <c r="C17" s="90"/>
      <c r="D17" s="90"/>
      <c r="E17" s="90">
        <v>1116</v>
      </c>
      <c r="F17" s="90"/>
      <c r="G17" s="90"/>
      <c r="H17" s="90"/>
      <c r="I17" s="90"/>
      <c r="J17" s="90"/>
      <c r="K17" s="90"/>
      <c r="L17" s="90"/>
      <c r="M17" s="90"/>
      <c r="N17" s="90"/>
      <c r="O17" s="90">
        <v>307</v>
      </c>
      <c r="P17" s="90"/>
      <c r="Q17" s="90">
        <v>800</v>
      </c>
      <c r="R17" s="90"/>
      <c r="S17" s="90"/>
      <c r="T17" s="90"/>
      <c r="U17" s="90"/>
      <c r="V17" s="90"/>
      <c r="W17" s="90">
        <f t="shared" si="0"/>
        <v>2223</v>
      </c>
      <c r="X17" s="91"/>
      <c r="Y17" s="92"/>
    </row>
    <row r="18" spans="1:27">
      <c r="A18" s="89">
        <v>18</v>
      </c>
      <c r="B18" s="89" t="s">
        <v>45</v>
      </c>
      <c r="C18" s="90">
        <f>1357.83+470</f>
        <v>1827.83</v>
      </c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>
        <v>187</v>
      </c>
      <c r="P18" s="90"/>
      <c r="Q18" s="90"/>
      <c r="R18" s="90"/>
      <c r="S18" s="90"/>
      <c r="T18" s="90"/>
      <c r="U18" s="90"/>
      <c r="V18" s="90"/>
      <c r="W18" s="90">
        <f t="shared" si="0"/>
        <v>2014.83</v>
      </c>
      <c r="X18" s="91"/>
      <c r="Y18" s="92"/>
    </row>
    <row r="19" spans="1:27">
      <c r="A19" s="89">
        <v>19</v>
      </c>
      <c r="B19" s="89" t="s">
        <v>46</v>
      </c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>
        <v>700</v>
      </c>
      <c r="T19" s="90"/>
      <c r="U19" s="90"/>
      <c r="V19" s="90"/>
      <c r="W19" s="90">
        <f t="shared" si="0"/>
        <v>700</v>
      </c>
      <c r="X19" s="91"/>
      <c r="Y19" s="92"/>
    </row>
    <row r="20" spans="1:27">
      <c r="A20" s="175" t="s">
        <v>54</v>
      </c>
      <c r="B20" s="176"/>
      <c r="C20" s="93">
        <f>SUM(C3:C19)</f>
        <v>12278.83</v>
      </c>
      <c r="D20" s="93">
        <f t="shared" ref="D20:X20" si="1">SUM(D3:D19)</f>
        <v>8348</v>
      </c>
      <c r="E20" s="93">
        <f t="shared" si="1"/>
        <v>3011</v>
      </c>
      <c r="F20" s="93">
        <f t="shared" si="1"/>
        <v>2490</v>
      </c>
      <c r="G20" s="93">
        <f t="shared" si="1"/>
        <v>2250</v>
      </c>
      <c r="H20" s="93">
        <f t="shared" si="1"/>
        <v>7794</v>
      </c>
      <c r="I20" s="93">
        <f t="shared" si="1"/>
        <v>2534</v>
      </c>
      <c r="J20" s="93">
        <f t="shared" si="1"/>
        <v>0</v>
      </c>
      <c r="K20" s="93">
        <f t="shared" si="1"/>
        <v>7127.22</v>
      </c>
      <c r="L20" s="93">
        <f t="shared" si="1"/>
        <v>0</v>
      </c>
      <c r="M20" s="93">
        <f t="shared" si="1"/>
        <v>0</v>
      </c>
      <c r="N20" s="93">
        <f t="shared" si="1"/>
        <v>8750</v>
      </c>
      <c r="O20" s="93">
        <f t="shared" si="1"/>
        <v>2397</v>
      </c>
      <c r="P20" s="93">
        <f t="shared" si="1"/>
        <v>1568</v>
      </c>
      <c r="Q20" s="93">
        <f t="shared" si="1"/>
        <v>27325</v>
      </c>
      <c r="R20" s="93">
        <f t="shared" si="1"/>
        <v>9373</v>
      </c>
      <c r="S20" s="93">
        <f t="shared" si="1"/>
        <v>8150</v>
      </c>
      <c r="T20" s="93">
        <f t="shared" si="1"/>
        <v>8850</v>
      </c>
      <c r="U20" s="93">
        <f t="shared" si="1"/>
        <v>1740</v>
      </c>
      <c r="V20" s="93">
        <f t="shared" si="1"/>
        <v>2860</v>
      </c>
      <c r="W20" s="93">
        <f t="shared" si="1"/>
        <v>116846.05</v>
      </c>
      <c r="X20" s="94">
        <f t="shared" si="1"/>
        <v>115688</v>
      </c>
      <c r="Y20" s="95">
        <f>X20-W20</f>
        <v>-1158.05</v>
      </c>
    </row>
    <row r="21" spans="1:27">
      <c r="A21" s="85">
        <v>20</v>
      </c>
      <c r="B21" s="85" t="s">
        <v>47</v>
      </c>
      <c r="C21" s="86">
        <v>2409</v>
      </c>
      <c r="D21" s="86">
        <v>299</v>
      </c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>
        <v>187</v>
      </c>
      <c r="P21" s="86"/>
      <c r="Q21" s="86"/>
      <c r="R21" s="86"/>
      <c r="S21" s="86">
        <f>4660+700</f>
        <v>5360</v>
      </c>
      <c r="T21" s="86">
        <v>1634</v>
      </c>
      <c r="U21" s="86"/>
      <c r="V21" s="86"/>
      <c r="W21" s="86">
        <f t="shared" si="0"/>
        <v>9889</v>
      </c>
      <c r="X21" s="87">
        <v>36010</v>
      </c>
      <c r="Y21" s="88"/>
    </row>
    <row r="22" spans="1:27">
      <c r="A22" s="89">
        <v>21</v>
      </c>
      <c r="B22" s="89" t="s">
        <v>48</v>
      </c>
      <c r="C22" s="90">
        <v>374</v>
      </c>
      <c r="D22" s="90"/>
      <c r="E22" s="90"/>
      <c r="F22" s="90">
        <v>1080</v>
      </c>
      <c r="G22" s="90"/>
      <c r="H22" s="90">
        <v>572</v>
      </c>
      <c r="I22" s="90"/>
      <c r="J22" s="90"/>
      <c r="K22" s="90"/>
      <c r="L22" s="90"/>
      <c r="M22" s="90"/>
      <c r="N22" s="90"/>
      <c r="O22" s="90">
        <v>215</v>
      </c>
      <c r="P22" s="90"/>
      <c r="Q22" s="90"/>
      <c r="R22" s="90"/>
      <c r="S22" s="90"/>
      <c r="T22" s="90">
        <v>3700</v>
      </c>
      <c r="U22" s="90"/>
      <c r="V22" s="90"/>
      <c r="W22" s="90">
        <f t="shared" si="0"/>
        <v>5941</v>
      </c>
      <c r="X22" s="91"/>
      <c r="Y22" s="92"/>
      <c r="AA22" s="29"/>
    </row>
    <row r="23" spans="1:27">
      <c r="A23" s="89">
        <v>22</v>
      </c>
      <c r="B23" s="89" t="s">
        <v>49</v>
      </c>
      <c r="C23" s="90">
        <v>1027.8900000000001</v>
      </c>
      <c r="D23" s="90"/>
      <c r="E23" s="90"/>
      <c r="F23" s="90"/>
      <c r="G23" s="90">
        <v>835</v>
      </c>
      <c r="H23" s="90"/>
      <c r="I23" s="90"/>
      <c r="J23" s="90"/>
      <c r="K23" s="90"/>
      <c r="L23" s="90"/>
      <c r="M23" s="90"/>
      <c r="N23" s="90"/>
      <c r="O23" s="90">
        <v>265</v>
      </c>
      <c r="P23" s="90"/>
      <c r="Q23" s="90"/>
      <c r="R23" s="90"/>
      <c r="S23" s="90"/>
      <c r="T23" s="90"/>
      <c r="U23" s="90"/>
      <c r="V23" s="90"/>
      <c r="W23" s="90">
        <f t="shared" si="0"/>
        <v>2127.89</v>
      </c>
      <c r="X23" s="91"/>
      <c r="Y23" s="92"/>
    </row>
    <row r="24" spans="1:27">
      <c r="A24" s="89">
        <v>23</v>
      </c>
      <c r="B24" s="89" t="s">
        <v>43</v>
      </c>
      <c r="C24" s="90"/>
      <c r="D24" s="90"/>
      <c r="E24" s="90">
        <v>1344</v>
      </c>
      <c r="F24" s="90"/>
      <c r="G24" s="90"/>
      <c r="H24" s="90"/>
      <c r="I24" s="90"/>
      <c r="J24" s="90"/>
      <c r="K24" s="90"/>
      <c r="L24" s="90"/>
      <c r="M24" s="90"/>
      <c r="N24" s="90"/>
      <c r="O24" s="90">
        <v>349</v>
      </c>
      <c r="P24" s="90"/>
      <c r="Q24" s="90">
        <v>1000</v>
      </c>
      <c r="R24" s="90"/>
      <c r="S24" s="90"/>
      <c r="T24" s="90"/>
      <c r="U24" s="90"/>
      <c r="V24" s="90"/>
      <c r="W24" s="90">
        <f t="shared" si="0"/>
        <v>2693</v>
      </c>
      <c r="X24" s="91"/>
      <c r="Y24" s="92"/>
    </row>
    <row r="25" spans="1:27">
      <c r="A25" s="89">
        <v>24</v>
      </c>
      <c r="B25" s="89" t="s">
        <v>44</v>
      </c>
      <c r="C25" s="90">
        <v>1755</v>
      </c>
      <c r="D25" s="90"/>
      <c r="E25" s="90"/>
      <c r="F25" s="90">
        <v>1331</v>
      </c>
      <c r="G25" s="90"/>
      <c r="H25" s="90"/>
      <c r="I25" s="90"/>
      <c r="J25" s="90"/>
      <c r="K25" s="90"/>
      <c r="L25" s="90"/>
      <c r="M25" s="90"/>
      <c r="N25" s="90"/>
      <c r="O25" s="90">
        <v>180</v>
      </c>
      <c r="P25" s="90"/>
      <c r="Q25" s="90">
        <v>500</v>
      </c>
      <c r="R25" s="90"/>
      <c r="S25" s="90"/>
      <c r="T25" s="90"/>
      <c r="U25" s="90"/>
      <c r="V25" s="90"/>
      <c r="W25" s="90">
        <f t="shared" si="0"/>
        <v>3766</v>
      </c>
      <c r="X25" s="91"/>
      <c r="Y25" s="92"/>
    </row>
    <row r="26" spans="1:27">
      <c r="A26" s="89">
        <v>25</v>
      </c>
      <c r="B26" s="89" t="s">
        <v>45</v>
      </c>
      <c r="C26" s="90">
        <v>525</v>
      </c>
      <c r="D26" s="90">
        <v>1326</v>
      </c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>
        <v>251</v>
      </c>
      <c r="P26" s="90"/>
      <c r="Q26" s="90">
        <v>300</v>
      </c>
      <c r="R26" s="90"/>
      <c r="S26" s="90"/>
      <c r="T26" s="90"/>
      <c r="U26" s="90"/>
      <c r="V26" s="90"/>
      <c r="W26" s="90">
        <f t="shared" si="0"/>
        <v>2402</v>
      </c>
      <c r="X26" s="91"/>
      <c r="Y26" s="92"/>
    </row>
    <row r="27" spans="1:27">
      <c r="A27" s="89">
        <v>26</v>
      </c>
      <c r="B27" s="89" t="s">
        <v>46</v>
      </c>
      <c r="C27" s="90"/>
      <c r="D27" s="90">
        <v>2161</v>
      </c>
      <c r="E27" s="90">
        <v>1336</v>
      </c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>
        <v>151</v>
      </c>
      <c r="R27" s="90"/>
      <c r="S27" s="90"/>
      <c r="T27" s="90"/>
      <c r="U27" s="90"/>
      <c r="V27" s="90"/>
      <c r="W27" s="90">
        <f t="shared" si="0"/>
        <v>3648</v>
      </c>
      <c r="X27" s="91"/>
      <c r="Y27" s="92"/>
    </row>
    <row r="28" spans="1:27">
      <c r="A28" s="89">
        <v>27</v>
      </c>
      <c r="B28" s="89" t="s">
        <v>47</v>
      </c>
      <c r="C28" s="90"/>
      <c r="D28" s="90">
        <v>1417</v>
      </c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>
        <f>677+345</f>
        <v>1022</v>
      </c>
      <c r="P28" s="90"/>
      <c r="Q28" s="90"/>
      <c r="R28" s="90"/>
      <c r="S28" s="90"/>
      <c r="T28" s="90"/>
      <c r="U28" s="90"/>
      <c r="V28" s="90"/>
      <c r="W28" s="90">
        <f t="shared" si="0"/>
        <v>2439</v>
      </c>
      <c r="X28" s="91"/>
      <c r="Y28" s="92"/>
    </row>
    <row r="29" spans="1:27">
      <c r="A29" s="89">
        <v>28</v>
      </c>
      <c r="B29" s="89" t="s">
        <v>48</v>
      </c>
      <c r="C29" s="90"/>
      <c r="D29" s="90">
        <v>1796</v>
      </c>
      <c r="E29" s="90"/>
      <c r="F29" s="90"/>
      <c r="G29" s="90">
        <v>485</v>
      </c>
      <c r="H29" s="90">
        <v>1360</v>
      </c>
      <c r="I29" s="90"/>
      <c r="J29" s="90"/>
      <c r="K29" s="90"/>
      <c r="L29" s="90"/>
      <c r="M29" s="90"/>
      <c r="N29" s="90"/>
      <c r="O29" s="90">
        <f>319+442</f>
        <v>761</v>
      </c>
      <c r="P29" s="90"/>
      <c r="Q29" s="90"/>
      <c r="R29" s="90"/>
      <c r="S29" s="90">
        <v>249</v>
      </c>
      <c r="T29" s="90"/>
      <c r="U29" s="90"/>
      <c r="V29" s="90"/>
      <c r="W29" s="90">
        <f t="shared" si="0"/>
        <v>4651</v>
      </c>
      <c r="X29" s="91"/>
      <c r="Y29" s="92"/>
    </row>
    <row r="30" spans="1:27">
      <c r="A30" s="89">
        <v>29</v>
      </c>
      <c r="B30" s="89" t="s">
        <v>49</v>
      </c>
      <c r="C30" s="90"/>
      <c r="D30" s="90"/>
      <c r="E30" s="90"/>
      <c r="F30" s="90">
        <v>614</v>
      </c>
      <c r="G30" s="90"/>
      <c r="H30" s="90"/>
      <c r="I30" s="90"/>
      <c r="J30" s="90"/>
      <c r="K30" s="90"/>
      <c r="L30" s="90"/>
      <c r="M30" s="90"/>
      <c r="N30" s="90"/>
      <c r="O30" s="90">
        <v>207</v>
      </c>
      <c r="P30" s="90"/>
      <c r="Q30" s="90"/>
      <c r="R30" s="90"/>
      <c r="S30" s="90"/>
      <c r="T30" s="90"/>
      <c r="U30" s="90"/>
      <c r="V30" s="90"/>
      <c r="W30" s="90">
        <f t="shared" si="0"/>
        <v>821</v>
      </c>
      <c r="X30" s="96">
        <v>10000</v>
      </c>
      <c r="Y30" s="92"/>
    </row>
    <row r="31" spans="1:27">
      <c r="A31" s="89">
        <v>30</v>
      </c>
      <c r="B31" s="89" t="s">
        <v>43</v>
      </c>
      <c r="C31" s="90">
        <f>90</f>
        <v>90</v>
      </c>
      <c r="D31" s="90"/>
      <c r="E31" s="90"/>
      <c r="F31" s="90"/>
      <c r="G31" s="90"/>
      <c r="H31" s="90">
        <f>1150+165</f>
        <v>1315</v>
      </c>
      <c r="I31" s="90"/>
      <c r="J31" s="90"/>
      <c r="K31" s="90"/>
      <c r="L31" s="90"/>
      <c r="M31" s="90"/>
      <c r="N31" s="90"/>
      <c r="O31" s="90"/>
      <c r="P31" s="90">
        <v>227</v>
      </c>
      <c r="Q31" s="90"/>
      <c r="R31" s="90"/>
      <c r="S31" s="90"/>
      <c r="T31" s="90"/>
      <c r="U31" s="90"/>
      <c r="V31" s="90"/>
      <c r="W31" s="90">
        <f t="shared" si="0"/>
        <v>1632</v>
      </c>
      <c r="X31" s="91"/>
      <c r="Y31" s="92"/>
    </row>
    <row r="32" spans="1:27">
      <c r="A32" s="89">
        <v>1</v>
      </c>
      <c r="B32" s="89" t="s">
        <v>44</v>
      </c>
      <c r="C32" s="90">
        <f>1695+809</f>
        <v>2504</v>
      </c>
      <c r="D32" s="90">
        <v>464</v>
      </c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>
        <v>145</v>
      </c>
      <c r="U32" s="90"/>
      <c r="V32" s="90"/>
      <c r="W32" s="90">
        <f t="shared" si="0"/>
        <v>3113</v>
      </c>
      <c r="X32" s="91"/>
      <c r="Y32" s="92"/>
    </row>
    <row r="33" spans="1:25">
      <c r="A33" s="89">
        <v>2</v>
      </c>
      <c r="B33" s="89" t="s">
        <v>45</v>
      </c>
      <c r="C33" s="90">
        <f>85+547</f>
        <v>632</v>
      </c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>
        <v>799</v>
      </c>
      <c r="T33" s="90">
        <v>62</v>
      </c>
      <c r="U33" s="90"/>
      <c r="V33" s="90"/>
      <c r="W33" s="90">
        <f t="shared" si="0"/>
        <v>1493</v>
      </c>
      <c r="X33" s="91"/>
      <c r="Y33" s="92"/>
    </row>
    <row r="34" spans="1:25">
      <c r="A34" s="89">
        <v>3</v>
      </c>
      <c r="B34" s="89" t="s">
        <v>46</v>
      </c>
      <c r="C34" s="90">
        <v>363</v>
      </c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>
        <v>20</v>
      </c>
      <c r="U34" s="90"/>
      <c r="V34" s="90"/>
      <c r="W34" s="90">
        <f t="shared" si="0"/>
        <v>383</v>
      </c>
      <c r="X34" s="91"/>
      <c r="Y34" s="92"/>
    </row>
    <row r="35" spans="1:25">
      <c r="A35" s="89">
        <v>4</v>
      </c>
      <c r="B35" s="89" t="s">
        <v>47</v>
      </c>
      <c r="C35" s="90">
        <f>47+1331</f>
        <v>1378</v>
      </c>
      <c r="D35" s="90">
        <v>89</v>
      </c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>
        <v>327</v>
      </c>
      <c r="Q35" s="90"/>
      <c r="R35" s="90"/>
      <c r="S35" s="90"/>
      <c r="T35" s="90"/>
      <c r="U35" s="90"/>
      <c r="V35" s="90"/>
      <c r="W35" s="90">
        <f t="shared" si="0"/>
        <v>1794</v>
      </c>
      <c r="X35" s="91">
        <v>2000</v>
      </c>
      <c r="Y35" s="92"/>
    </row>
    <row r="36" spans="1:25">
      <c r="A36" s="175" t="s">
        <v>55</v>
      </c>
      <c r="B36" s="176"/>
      <c r="C36" s="93">
        <f>SUM(C21:C35)</f>
        <v>11057.89</v>
      </c>
      <c r="D36" s="93">
        <f t="shared" ref="D36:X36" si="2">SUM(D21:D35)</f>
        <v>7552</v>
      </c>
      <c r="E36" s="93">
        <f t="shared" si="2"/>
        <v>2680</v>
      </c>
      <c r="F36" s="93">
        <f t="shared" si="2"/>
        <v>3025</v>
      </c>
      <c r="G36" s="93">
        <f t="shared" si="2"/>
        <v>1320</v>
      </c>
      <c r="H36" s="93">
        <f t="shared" si="2"/>
        <v>3247</v>
      </c>
      <c r="I36" s="93">
        <f t="shared" si="2"/>
        <v>0</v>
      </c>
      <c r="J36" s="93">
        <f t="shared" si="2"/>
        <v>0</v>
      </c>
      <c r="K36" s="93">
        <f t="shared" si="2"/>
        <v>0</v>
      </c>
      <c r="L36" s="93">
        <f t="shared" si="2"/>
        <v>0</v>
      </c>
      <c r="M36" s="93">
        <f t="shared" si="2"/>
        <v>0</v>
      </c>
      <c r="N36" s="93">
        <f t="shared" si="2"/>
        <v>0</v>
      </c>
      <c r="O36" s="93">
        <f t="shared" si="2"/>
        <v>3437</v>
      </c>
      <c r="P36" s="93">
        <f t="shared" si="2"/>
        <v>554</v>
      </c>
      <c r="Q36" s="93">
        <f t="shared" si="2"/>
        <v>1951</v>
      </c>
      <c r="R36" s="93">
        <f t="shared" si="2"/>
        <v>0</v>
      </c>
      <c r="S36" s="93">
        <f t="shared" si="2"/>
        <v>6408</v>
      </c>
      <c r="T36" s="93">
        <f t="shared" si="2"/>
        <v>5561</v>
      </c>
      <c r="U36" s="93">
        <f t="shared" si="2"/>
        <v>0</v>
      </c>
      <c r="V36" s="93">
        <f t="shared" si="2"/>
        <v>0</v>
      </c>
      <c r="W36" s="93">
        <f t="shared" si="2"/>
        <v>46792.89</v>
      </c>
      <c r="X36" s="94">
        <f t="shared" si="2"/>
        <v>48010</v>
      </c>
      <c r="Y36" s="95">
        <f>X36-W36</f>
        <v>1217.1099999999999</v>
      </c>
    </row>
    <row r="37" spans="1:25" ht="31.5" customHeight="1">
      <c r="A37" s="177" t="s">
        <v>56</v>
      </c>
      <c r="B37" s="177"/>
      <c r="C37" s="97">
        <f>SUM(C20,C36)</f>
        <v>23336.720000000001</v>
      </c>
      <c r="D37" s="97">
        <f t="shared" ref="D37:V37" si="3">SUM(D20,D36)</f>
        <v>15900</v>
      </c>
      <c r="E37" s="97">
        <f t="shared" si="3"/>
        <v>5691</v>
      </c>
      <c r="F37" s="97">
        <f t="shared" si="3"/>
        <v>5515</v>
      </c>
      <c r="G37" s="97">
        <f t="shared" si="3"/>
        <v>3570</v>
      </c>
      <c r="H37" s="97">
        <f t="shared" si="3"/>
        <v>11041</v>
      </c>
      <c r="I37" s="97">
        <f t="shared" si="3"/>
        <v>2534</v>
      </c>
      <c r="J37" s="97">
        <f t="shared" si="3"/>
        <v>0</v>
      </c>
      <c r="K37" s="97">
        <f t="shared" si="3"/>
        <v>7127.22</v>
      </c>
      <c r="L37" s="97">
        <f t="shared" si="3"/>
        <v>0</v>
      </c>
      <c r="M37" s="97">
        <f t="shared" si="3"/>
        <v>0</v>
      </c>
      <c r="N37" s="97">
        <f t="shared" si="3"/>
        <v>8750</v>
      </c>
      <c r="O37" s="97">
        <f t="shared" si="3"/>
        <v>5834</v>
      </c>
      <c r="P37" s="97">
        <f t="shared" si="3"/>
        <v>2122</v>
      </c>
      <c r="Q37" s="97">
        <f t="shared" si="3"/>
        <v>29276</v>
      </c>
      <c r="R37" s="97">
        <f t="shared" si="3"/>
        <v>9373</v>
      </c>
      <c r="S37" s="97">
        <f t="shared" si="3"/>
        <v>14558</v>
      </c>
      <c r="T37" s="97">
        <f t="shared" si="3"/>
        <v>14411</v>
      </c>
      <c r="U37" s="97">
        <f t="shared" si="3"/>
        <v>1740</v>
      </c>
      <c r="V37" s="97">
        <f t="shared" si="3"/>
        <v>2860</v>
      </c>
      <c r="W37" s="97">
        <f t="shared" ref="W37:Y37" si="4">SUM(W20,W36)</f>
        <v>163638.94</v>
      </c>
      <c r="X37" s="97">
        <f t="shared" si="4"/>
        <v>163698</v>
      </c>
      <c r="Y37" s="97">
        <f t="shared" si="4"/>
        <v>59.0599999999977</v>
      </c>
    </row>
    <row r="41" spans="1:25">
      <c r="B41" s="36"/>
      <c r="C41" s="36"/>
      <c r="D41" s="36"/>
      <c r="E41" s="36"/>
      <c r="F41" s="36"/>
      <c r="G41" s="36"/>
      <c r="H41" s="36"/>
      <c r="I41" s="36"/>
      <c r="J41" s="36"/>
      <c r="K41" s="36"/>
    </row>
  </sheetData>
  <mergeCells count="4">
    <mergeCell ref="A1:Y1"/>
    <mergeCell ref="A20:B20"/>
    <mergeCell ref="A36:B36"/>
    <mergeCell ref="A37:B37"/>
  </mergeCells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40"/>
  <sheetViews>
    <sheetView zoomScale="85" zoomScaleNormal="85" workbookViewId="0">
      <pane xSplit="2" ySplit="36" topLeftCell="U37" activePane="bottomRight" state="frozen"/>
      <selection pane="topRight"/>
      <selection pane="bottomLeft"/>
      <selection pane="bottomRight" activeCell="X19" sqref="X19"/>
    </sheetView>
  </sheetViews>
  <sheetFormatPr defaultColWidth="9.140625" defaultRowHeight="15"/>
  <cols>
    <col min="1" max="25" width="20.7109375" style="1" customWidth="1"/>
    <col min="26" max="37" width="12.7109375" style="1" customWidth="1"/>
    <col min="38" max="16384" width="9.140625" style="1"/>
  </cols>
  <sheetData>
    <row r="1" spans="1:47" ht="60.75" customHeight="1">
      <c r="A1" s="178" t="s">
        <v>57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</row>
    <row r="2" spans="1:47" ht="45" customHeight="1">
      <c r="A2" s="81" t="s">
        <v>21</v>
      </c>
      <c r="B2" s="81" t="s">
        <v>22</v>
      </c>
      <c r="C2" s="81" t="s">
        <v>23</v>
      </c>
      <c r="D2" s="81" t="s">
        <v>25</v>
      </c>
      <c r="E2" s="81" t="s">
        <v>24</v>
      </c>
      <c r="F2" s="81" t="s">
        <v>51</v>
      </c>
      <c r="G2" s="81" t="s">
        <v>53</v>
      </c>
      <c r="H2" s="81" t="s">
        <v>27</v>
      </c>
      <c r="I2" s="81" t="s">
        <v>28</v>
      </c>
      <c r="J2" s="81" t="s">
        <v>29</v>
      </c>
      <c r="K2" s="81" t="s">
        <v>30</v>
      </c>
      <c r="L2" s="81" t="s">
        <v>31</v>
      </c>
      <c r="M2" s="81" t="s">
        <v>32</v>
      </c>
      <c r="N2" s="81" t="s">
        <v>33</v>
      </c>
      <c r="O2" s="81" t="s">
        <v>34</v>
      </c>
      <c r="P2" s="81" t="s">
        <v>35</v>
      </c>
      <c r="Q2" s="81" t="s">
        <v>36</v>
      </c>
      <c r="R2" s="81" t="s">
        <v>37</v>
      </c>
      <c r="S2" s="81" t="s">
        <v>38</v>
      </c>
      <c r="T2" s="81" t="s">
        <v>39</v>
      </c>
      <c r="U2" s="81" t="s">
        <v>39</v>
      </c>
      <c r="V2" s="81" t="s">
        <v>40</v>
      </c>
      <c r="W2" s="81" t="s">
        <v>41</v>
      </c>
      <c r="X2" s="81" t="s">
        <v>42</v>
      </c>
      <c r="Y2" s="81" t="s">
        <v>5</v>
      </c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47" ht="15.75">
      <c r="A3" s="45">
        <v>5</v>
      </c>
      <c r="B3" s="46" t="s">
        <v>48</v>
      </c>
      <c r="C3" s="47"/>
      <c r="D3" s="47">
        <f>178+110</f>
        <v>288</v>
      </c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>
        <f>1000+281</f>
        <v>1281</v>
      </c>
      <c r="Q3" s="47"/>
      <c r="R3" s="47"/>
      <c r="S3" s="47">
        <f>199+4660+700</f>
        <v>5559</v>
      </c>
      <c r="T3" s="47">
        <v>7000</v>
      </c>
      <c r="U3" s="47"/>
      <c r="V3" s="47"/>
      <c r="W3" s="47">
        <f>SUM(C3:V3)</f>
        <v>14128</v>
      </c>
      <c r="X3" s="73">
        <v>53970.91</v>
      </c>
      <c r="Y3" s="74"/>
    </row>
    <row r="4" spans="1:47" ht="15.75">
      <c r="A4" s="52">
        <v>6</v>
      </c>
      <c r="B4" s="53" t="s">
        <v>49</v>
      </c>
      <c r="C4" s="54"/>
      <c r="D4" s="54">
        <v>110</v>
      </c>
      <c r="E4" s="54"/>
      <c r="F4" s="54"/>
      <c r="G4" s="54"/>
      <c r="H4" s="54">
        <f>2500+270</f>
        <v>2770</v>
      </c>
      <c r="I4" s="54"/>
      <c r="J4" s="54"/>
      <c r="K4" s="54"/>
      <c r="L4" s="54"/>
      <c r="M4" s="54"/>
      <c r="N4" s="54"/>
      <c r="O4" s="54">
        <f>363+350</f>
        <v>713</v>
      </c>
      <c r="P4" s="54"/>
      <c r="Q4" s="54"/>
      <c r="R4" s="54"/>
      <c r="S4" s="54"/>
      <c r="T4" s="54"/>
      <c r="U4" s="54"/>
      <c r="V4" s="54"/>
      <c r="W4" s="54">
        <f>SUM(C4:V4)</f>
        <v>3593</v>
      </c>
      <c r="X4" s="75"/>
      <c r="Y4" s="76"/>
    </row>
    <row r="5" spans="1:47" ht="15.75">
      <c r="A5" s="45">
        <v>7</v>
      </c>
      <c r="B5" s="46" t="s">
        <v>43</v>
      </c>
      <c r="C5" s="47">
        <f>1497+707</f>
        <v>2204</v>
      </c>
      <c r="D5" s="47">
        <v>520</v>
      </c>
      <c r="E5" s="47"/>
      <c r="F5" s="47">
        <f>189</f>
        <v>189</v>
      </c>
      <c r="G5" s="47"/>
      <c r="H5" s="47"/>
      <c r="I5" s="47">
        <v>750</v>
      </c>
      <c r="J5" s="47"/>
      <c r="K5" s="47"/>
      <c r="L5" s="47"/>
      <c r="M5" s="47"/>
      <c r="N5" s="47"/>
      <c r="O5" s="47">
        <v>245</v>
      </c>
      <c r="P5" s="47"/>
      <c r="Q5" s="47"/>
      <c r="R5" s="47"/>
      <c r="S5" s="47">
        <v>990</v>
      </c>
      <c r="T5" s="47"/>
      <c r="U5" s="47"/>
      <c r="V5" s="47"/>
      <c r="W5" s="47">
        <f t="shared" ref="W5:W17" si="0">SUM(C5:V5)</f>
        <v>4898</v>
      </c>
      <c r="X5" s="73"/>
      <c r="Y5" s="74"/>
    </row>
    <row r="6" spans="1:47" ht="15.75">
      <c r="A6" s="52">
        <v>8</v>
      </c>
      <c r="B6" s="53" t="s">
        <v>44</v>
      </c>
      <c r="C6" s="54"/>
      <c r="D6" s="54">
        <v>2122</v>
      </c>
      <c r="E6" s="54"/>
      <c r="F6" s="54"/>
      <c r="G6" s="54"/>
      <c r="H6" s="54">
        <v>3695</v>
      </c>
      <c r="I6" s="54"/>
      <c r="J6" s="54"/>
      <c r="K6" s="54"/>
      <c r="L6" s="54"/>
      <c r="M6" s="54"/>
      <c r="N6" s="54"/>
      <c r="O6" s="54">
        <f>350+407+249</f>
        <v>1006</v>
      </c>
      <c r="P6" s="54"/>
      <c r="Q6" s="54"/>
      <c r="R6" s="54"/>
      <c r="S6" s="54"/>
      <c r="T6" s="54"/>
      <c r="U6" s="54"/>
      <c r="V6" s="54"/>
      <c r="W6" s="54">
        <f t="shared" si="0"/>
        <v>6823</v>
      </c>
      <c r="X6" s="75"/>
      <c r="Y6" s="76"/>
    </row>
    <row r="7" spans="1:47" ht="15.75">
      <c r="A7" s="45">
        <v>9</v>
      </c>
      <c r="B7" s="46" t="s">
        <v>45</v>
      </c>
      <c r="C7" s="47"/>
      <c r="D7" s="47"/>
      <c r="E7" s="47"/>
      <c r="F7" s="47"/>
      <c r="G7" s="47"/>
      <c r="H7" s="47"/>
      <c r="I7" s="47"/>
      <c r="J7" s="47"/>
      <c r="K7" s="47">
        <v>1008.31</v>
      </c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>
        <f t="shared" si="0"/>
        <v>1008.31</v>
      </c>
      <c r="X7" s="73">
        <v>3000</v>
      </c>
      <c r="Y7" s="74"/>
    </row>
    <row r="8" spans="1:47" ht="15.75">
      <c r="A8" s="52">
        <v>10</v>
      </c>
      <c r="B8" s="53" t="s">
        <v>46</v>
      </c>
      <c r="C8" s="54"/>
      <c r="D8" s="54">
        <v>2550.04</v>
      </c>
      <c r="E8" s="54"/>
      <c r="F8" s="54"/>
      <c r="G8" s="54"/>
      <c r="H8" s="54"/>
      <c r="I8" s="54"/>
      <c r="J8" s="54"/>
      <c r="K8" s="54">
        <v>1763.15</v>
      </c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>
        <f t="shared" si="0"/>
        <v>4313.1899999999996</v>
      </c>
      <c r="X8" s="75"/>
      <c r="Y8" s="76"/>
    </row>
    <row r="9" spans="1:47" ht="15.75">
      <c r="A9" s="45">
        <v>11</v>
      </c>
      <c r="B9" s="46" t="s">
        <v>47</v>
      </c>
      <c r="C9" s="47">
        <f>3150.35+125</f>
        <v>3275.35</v>
      </c>
      <c r="D9" s="47">
        <f>264+1506</f>
        <v>1770</v>
      </c>
      <c r="E9" s="47"/>
      <c r="F9" s="47"/>
      <c r="G9" s="47"/>
      <c r="H9" s="47"/>
      <c r="I9" s="47"/>
      <c r="J9" s="47"/>
      <c r="K9" s="47">
        <v>2244.06</v>
      </c>
      <c r="L9" s="47"/>
      <c r="M9" s="47"/>
      <c r="N9" s="47"/>
      <c r="O9" s="47"/>
      <c r="P9" s="47">
        <v>1000</v>
      </c>
      <c r="Q9" s="47"/>
      <c r="R9" s="47"/>
      <c r="S9" s="47"/>
      <c r="T9" s="47">
        <f>100+100+400</f>
        <v>600</v>
      </c>
      <c r="U9" s="47"/>
      <c r="V9" s="47"/>
      <c r="W9" s="47">
        <f t="shared" si="0"/>
        <v>8889.41</v>
      </c>
      <c r="X9" s="73"/>
      <c r="Y9" s="74"/>
    </row>
    <row r="10" spans="1:47" ht="15.75">
      <c r="A10" s="52">
        <v>12</v>
      </c>
      <c r="B10" s="53" t="s">
        <v>48</v>
      </c>
      <c r="C10" s="54"/>
      <c r="D10" s="54"/>
      <c r="E10" s="54"/>
      <c r="F10" s="54">
        <v>1245</v>
      </c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>
        <f>1000+1000</f>
        <v>2000</v>
      </c>
      <c r="R10" s="54"/>
      <c r="S10" s="54"/>
      <c r="T10" s="54"/>
      <c r="U10" s="54"/>
      <c r="V10" s="54"/>
      <c r="W10" s="54">
        <f t="shared" si="0"/>
        <v>3245</v>
      </c>
      <c r="X10" s="75"/>
      <c r="Y10" s="76"/>
    </row>
    <row r="11" spans="1:47" ht="15.75">
      <c r="A11" s="45">
        <v>13</v>
      </c>
      <c r="B11" s="46" t="s">
        <v>49</v>
      </c>
      <c r="C11" s="47"/>
      <c r="D11" s="47"/>
      <c r="E11" s="47"/>
      <c r="F11" s="47"/>
      <c r="G11" s="47"/>
      <c r="H11" s="47">
        <f>210+1009</f>
        <v>1219</v>
      </c>
      <c r="I11" s="47"/>
      <c r="J11" s="47"/>
      <c r="K11" s="47"/>
      <c r="L11" s="47"/>
      <c r="M11" s="47"/>
      <c r="N11" s="47"/>
      <c r="O11" s="47"/>
      <c r="P11" s="47">
        <v>340</v>
      </c>
      <c r="Q11" s="47"/>
      <c r="R11" s="47"/>
      <c r="S11" s="47"/>
      <c r="T11" s="47">
        <v>1479</v>
      </c>
      <c r="U11" s="47"/>
      <c r="V11" s="47"/>
      <c r="W11" s="47">
        <f t="shared" si="0"/>
        <v>3038</v>
      </c>
      <c r="X11" s="73"/>
      <c r="Y11" s="74"/>
    </row>
    <row r="12" spans="1:47" ht="15.75">
      <c r="A12" s="52">
        <v>14</v>
      </c>
      <c r="B12" s="53" t="s">
        <v>43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>
        <v>367</v>
      </c>
      <c r="P12" s="54">
        <v>285</v>
      </c>
      <c r="Q12" s="54"/>
      <c r="R12" s="54"/>
      <c r="S12" s="54"/>
      <c r="T12" s="54">
        <v>220</v>
      </c>
      <c r="U12" s="54"/>
      <c r="V12" s="54"/>
      <c r="W12" s="54">
        <f t="shared" si="0"/>
        <v>872</v>
      </c>
      <c r="X12" s="75"/>
      <c r="Y12" s="76"/>
    </row>
    <row r="13" spans="1:47" ht="15.75">
      <c r="A13" s="45">
        <v>15</v>
      </c>
      <c r="B13" s="46" t="s">
        <v>44</v>
      </c>
      <c r="C13" s="47"/>
      <c r="D13" s="47"/>
      <c r="E13" s="47"/>
      <c r="F13" s="47"/>
      <c r="G13" s="47"/>
      <c r="H13" s="47">
        <v>1220</v>
      </c>
      <c r="I13" s="47"/>
      <c r="J13" s="47"/>
      <c r="K13" s="47"/>
      <c r="L13" s="47"/>
      <c r="M13" s="47"/>
      <c r="N13" s="47"/>
      <c r="O13" s="47"/>
      <c r="P13" s="47">
        <v>131</v>
      </c>
      <c r="Q13" s="47">
        <v>1012</v>
      </c>
      <c r="R13" s="47"/>
      <c r="S13" s="47"/>
      <c r="T13" s="47"/>
      <c r="U13" s="47"/>
      <c r="V13" s="47"/>
      <c r="W13" s="47">
        <f t="shared" si="0"/>
        <v>2363</v>
      </c>
      <c r="X13" s="73"/>
      <c r="Y13" s="74"/>
    </row>
    <row r="14" spans="1:47" ht="15.75">
      <c r="A14" s="52">
        <v>16</v>
      </c>
      <c r="B14" s="53" t="s">
        <v>45</v>
      </c>
      <c r="C14" s="54">
        <f>384+1318+1214</f>
        <v>2916</v>
      </c>
      <c r="D14" s="54">
        <v>1351.32</v>
      </c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>
        <v>450</v>
      </c>
      <c r="R14" s="54"/>
      <c r="S14" s="54"/>
      <c r="T14" s="54"/>
      <c r="U14" s="54"/>
      <c r="V14" s="54"/>
      <c r="W14" s="54">
        <f t="shared" si="0"/>
        <v>4717.32</v>
      </c>
      <c r="X14" s="75"/>
      <c r="Y14" s="76"/>
    </row>
    <row r="15" spans="1:47" ht="15.75">
      <c r="A15" s="45">
        <v>17</v>
      </c>
      <c r="B15" s="46" t="s">
        <v>46</v>
      </c>
      <c r="C15" s="47">
        <v>33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>
        <f t="shared" si="0"/>
        <v>33</v>
      </c>
      <c r="X15" s="73"/>
      <c r="Y15" s="74"/>
    </row>
    <row r="16" spans="1:47" ht="15.75">
      <c r="A16" s="52">
        <v>18</v>
      </c>
      <c r="B16" s="53" t="s">
        <v>47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>
        <v>280</v>
      </c>
      <c r="Q16" s="54"/>
      <c r="R16" s="54"/>
      <c r="S16" s="54"/>
      <c r="T16" s="54"/>
      <c r="U16" s="54"/>
      <c r="V16" s="54"/>
      <c r="W16" s="54">
        <f t="shared" si="0"/>
        <v>280</v>
      </c>
      <c r="X16" s="75"/>
      <c r="Y16" s="76"/>
    </row>
    <row r="17" spans="1:27" ht="15.75">
      <c r="A17" s="45">
        <v>19</v>
      </c>
      <c r="B17" s="46" t="s">
        <v>48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>
        <f t="shared" si="0"/>
        <v>0</v>
      </c>
      <c r="X17" s="73"/>
      <c r="Y17" s="74"/>
    </row>
    <row r="18" spans="1:27">
      <c r="A18" s="179" t="s">
        <v>54</v>
      </c>
      <c r="B18" s="179"/>
      <c r="C18" s="82">
        <f t="shared" ref="C18:X18" si="1">SUM(C3:C17)</f>
        <v>8428.35</v>
      </c>
      <c r="D18" s="82">
        <f t="shared" si="1"/>
        <v>8711.36</v>
      </c>
      <c r="E18" s="82">
        <f t="shared" si="1"/>
        <v>0</v>
      </c>
      <c r="F18" s="82">
        <f t="shared" si="1"/>
        <v>1434</v>
      </c>
      <c r="G18" s="82">
        <f t="shared" si="1"/>
        <v>0</v>
      </c>
      <c r="H18" s="82">
        <f t="shared" si="1"/>
        <v>8904</v>
      </c>
      <c r="I18" s="82">
        <f t="shared" si="1"/>
        <v>750</v>
      </c>
      <c r="J18" s="82">
        <f t="shared" si="1"/>
        <v>0</v>
      </c>
      <c r="K18" s="82">
        <f t="shared" si="1"/>
        <v>5015.5200000000004</v>
      </c>
      <c r="L18" s="82">
        <f t="shared" si="1"/>
        <v>0</v>
      </c>
      <c r="M18" s="82">
        <f t="shared" si="1"/>
        <v>0</v>
      </c>
      <c r="N18" s="82">
        <f t="shared" si="1"/>
        <v>0</v>
      </c>
      <c r="O18" s="82">
        <f t="shared" si="1"/>
        <v>2331</v>
      </c>
      <c r="P18" s="82">
        <f t="shared" si="1"/>
        <v>3317</v>
      </c>
      <c r="Q18" s="82">
        <f t="shared" si="1"/>
        <v>3462</v>
      </c>
      <c r="R18" s="82">
        <f t="shared" si="1"/>
        <v>0</v>
      </c>
      <c r="S18" s="82">
        <f t="shared" si="1"/>
        <v>6549</v>
      </c>
      <c r="T18" s="82">
        <f t="shared" si="1"/>
        <v>9299</v>
      </c>
      <c r="U18" s="82">
        <f t="shared" si="1"/>
        <v>0</v>
      </c>
      <c r="V18" s="82">
        <f t="shared" si="1"/>
        <v>0</v>
      </c>
      <c r="W18" s="82">
        <f t="shared" si="1"/>
        <v>58201.23</v>
      </c>
      <c r="X18" s="83">
        <f t="shared" si="1"/>
        <v>56970.91</v>
      </c>
      <c r="Y18" s="79">
        <f>X18-W18</f>
        <v>-1230.32</v>
      </c>
    </row>
    <row r="19" spans="1:27" ht="15.75">
      <c r="A19" s="45">
        <v>20</v>
      </c>
      <c r="B19" s="46" t="s">
        <v>49</v>
      </c>
      <c r="C19" s="47">
        <v>953</v>
      </c>
      <c r="D19" s="47">
        <v>1805.6</v>
      </c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>
        <v>285</v>
      </c>
      <c r="R19" s="47"/>
      <c r="S19" s="47">
        <v>700</v>
      </c>
      <c r="T19" s="47"/>
      <c r="U19" s="47"/>
      <c r="V19" s="47"/>
      <c r="W19" s="47">
        <f>SUM(C19:V19)</f>
        <v>3743.6</v>
      </c>
      <c r="X19" s="73">
        <v>32088.14</v>
      </c>
      <c r="Y19" s="74"/>
    </row>
    <row r="20" spans="1:27" ht="15.75">
      <c r="A20" s="52">
        <v>21</v>
      </c>
      <c r="B20" s="53" t="s">
        <v>43</v>
      </c>
      <c r="C20" s="54"/>
      <c r="D20" s="54">
        <f>1303+346+262</f>
        <v>1911</v>
      </c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>
        <f>553+689</f>
        <v>1242</v>
      </c>
      <c r="P20" s="54"/>
      <c r="Q20" s="54"/>
      <c r="R20" s="54"/>
      <c r="S20" s="54"/>
      <c r="T20" s="54">
        <v>849</v>
      </c>
      <c r="U20" s="54">
        <v>2000</v>
      </c>
      <c r="V20" s="54"/>
      <c r="W20" s="54">
        <f t="shared" ref="W20:W34" si="2">SUM(C20:V20)</f>
        <v>6002</v>
      </c>
      <c r="X20" s="75"/>
      <c r="Y20" s="76"/>
      <c r="AA20" s="29"/>
    </row>
    <row r="21" spans="1:27" ht="15.75">
      <c r="A21" s="45">
        <v>22</v>
      </c>
      <c r="B21" s="46" t="s">
        <v>44</v>
      </c>
      <c r="C21" s="47">
        <v>500</v>
      </c>
      <c r="D21" s="47"/>
      <c r="E21" s="47"/>
      <c r="F21" s="47"/>
      <c r="G21" s="47"/>
      <c r="H21" s="47">
        <f>1556+2900</f>
        <v>4456</v>
      </c>
      <c r="I21" s="47">
        <f>2101.91-500</f>
        <v>1601.91</v>
      </c>
      <c r="J21" s="47"/>
      <c r="K21" s="47"/>
      <c r="L21" s="47"/>
      <c r="M21" s="47"/>
      <c r="N21" s="47"/>
      <c r="O21" s="47"/>
      <c r="P21" s="47">
        <v>25.18</v>
      </c>
      <c r="Q21" s="47"/>
      <c r="R21" s="47"/>
      <c r="S21" s="47"/>
      <c r="T21" s="47">
        <v>800</v>
      </c>
      <c r="U21" s="47">
        <v>316</v>
      </c>
      <c r="V21" s="47"/>
      <c r="W21" s="47">
        <f t="shared" si="2"/>
        <v>7699.09</v>
      </c>
      <c r="X21" s="73">
        <v>1000</v>
      </c>
      <c r="Y21" s="74"/>
    </row>
    <row r="22" spans="1:27" ht="15.75">
      <c r="A22" s="52">
        <v>23</v>
      </c>
      <c r="B22" s="53" t="s">
        <v>45</v>
      </c>
      <c r="C22" s="54">
        <v>833</v>
      </c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>
        <v>332</v>
      </c>
      <c r="P22" s="54"/>
      <c r="Q22" s="54"/>
      <c r="R22" s="54"/>
      <c r="S22" s="54"/>
      <c r="T22" s="54"/>
      <c r="U22" s="54"/>
      <c r="V22" s="54"/>
      <c r="W22" s="54">
        <f t="shared" si="2"/>
        <v>1165</v>
      </c>
      <c r="X22" s="75"/>
      <c r="Y22" s="76"/>
    </row>
    <row r="23" spans="1:27" ht="15.75">
      <c r="A23" s="45">
        <v>24</v>
      </c>
      <c r="B23" s="46" t="s">
        <v>46</v>
      </c>
      <c r="C23" s="47">
        <f>119+1463</f>
        <v>1582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>
        <f t="shared" si="2"/>
        <v>1582</v>
      </c>
      <c r="X23" s="73"/>
      <c r="Y23" s="74"/>
    </row>
    <row r="24" spans="1:27" ht="15.75">
      <c r="A24" s="52">
        <v>25</v>
      </c>
      <c r="B24" s="53" t="s">
        <v>47</v>
      </c>
      <c r="C24" s="54">
        <f>440</f>
        <v>440</v>
      </c>
      <c r="D24" s="54"/>
      <c r="E24" s="54"/>
      <c r="F24" s="54"/>
      <c r="G24" s="54"/>
      <c r="H24" s="54"/>
      <c r="I24" s="54"/>
      <c r="J24" s="54">
        <v>3600</v>
      </c>
      <c r="K24" s="54"/>
      <c r="L24" s="54"/>
      <c r="M24" s="54"/>
      <c r="N24" s="54"/>
      <c r="O24" s="54">
        <f>397+401</f>
        <v>798</v>
      </c>
      <c r="P24" s="54"/>
      <c r="Q24" s="54"/>
      <c r="R24" s="54"/>
      <c r="S24" s="54">
        <v>700</v>
      </c>
      <c r="T24" s="54">
        <v>200</v>
      </c>
      <c r="U24" s="54"/>
      <c r="V24" s="54"/>
      <c r="W24" s="54">
        <f t="shared" si="2"/>
        <v>5738</v>
      </c>
      <c r="X24" s="75"/>
      <c r="Y24" s="76"/>
    </row>
    <row r="25" spans="1:27" ht="15.75">
      <c r="A25" s="45">
        <v>26</v>
      </c>
      <c r="B25" s="46" t="s">
        <v>48</v>
      </c>
      <c r="C25" s="47">
        <f>637</f>
        <v>637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>
        <f>249+309</f>
        <v>558</v>
      </c>
      <c r="P25" s="47"/>
      <c r="Q25" s="47"/>
      <c r="R25" s="47"/>
      <c r="S25" s="47"/>
      <c r="T25" s="47">
        <v>598</v>
      </c>
      <c r="U25" s="47"/>
      <c r="V25" s="47">
        <f>1555+50</f>
        <v>1605</v>
      </c>
      <c r="W25" s="47">
        <f t="shared" si="2"/>
        <v>3398</v>
      </c>
      <c r="X25" s="73"/>
      <c r="Y25" s="74"/>
    </row>
    <row r="26" spans="1:27" ht="15.75">
      <c r="A26" s="52">
        <v>27</v>
      </c>
      <c r="B26" s="53" t="s">
        <v>49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>
        <f t="shared" si="2"/>
        <v>0</v>
      </c>
      <c r="X26" s="75"/>
      <c r="Y26" s="76"/>
    </row>
    <row r="27" spans="1:27" ht="15.75">
      <c r="A27" s="45">
        <v>28</v>
      </c>
      <c r="B27" s="46" t="s">
        <v>43</v>
      </c>
      <c r="C27" s="47"/>
      <c r="D27" s="47"/>
      <c r="E27" s="47"/>
      <c r="F27" s="47"/>
      <c r="G27" s="47"/>
      <c r="H27" s="47">
        <v>158</v>
      </c>
      <c r="I27" s="47"/>
      <c r="J27" s="47"/>
      <c r="K27" s="47"/>
      <c r="L27" s="47"/>
      <c r="M27" s="47"/>
      <c r="N27" s="47"/>
      <c r="O27" s="47">
        <f>273+500</f>
        <v>773</v>
      </c>
      <c r="P27" s="47"/>
      <c r="Q27" s="47"/>
      <c r="R27" s="47"/>
      <c r="S27" s="47">
        <f>249</f>
        <v>249</v>
      </c>
      <c r="T27" s="47"/>
      <c r="U27" s="47"/>
      <c r="V27" s="47"/>
      <c r="W27" s="47">
        <f t="shared" si="2"/>
        <v>1180</v>
      </c>
      <c r="X27" s="73"/>
      <c r="Y27" s="74"/>
    </row>
    <row r="28" spans="1:27" ht="15.75">
      <c r="A28" s="52">
        <v>29</v>
      </c>
      <c r="B28" s="53" t="s">
        <v>44</v>
      </c>
      <c r="C28" s="54">
        <v>1121</v>
      </c>
      <c r="D28" s="54">
        <v>661</v>
      </c>
      <c r="E28" s="54"/>
      <c r="F28" s="54"/>
      <c r="G28" s="54"/>
      <c r="H28" s="54">
        <f>220+726</f>
        <v>946</v>
      </c>
      <c r="I28" s="54"/>
      <c r="J28" s="54"/>
      <c r="K28" s="54"/>
      <c r="L28" s="54">
        <f>204+233</f>
        <v>437</v>
      </c>
      <c r="M28" s="54"/>
      <c r="N28" s="54"/>
      <c r="O28" s="54"/>
      <c r="P28" s="54"/>
      <c r="Q28" s="54"/>
      <c r="R28" s="54"/>
      <c r="S28" s="54"/>
      <c r="T28" s="54"/>
      <c r="U28" s="54"/>
      <c r="V28" s="54">
        <f>390+1100</f>
        <v>1490</v>
      </c>
      <c r="W28" s="54">
        <f t="shared" si="2"/>
        <v>4655</v>
      </c>
      <c r="X28" s="77">
        <v>5000</v>
      </c>
      <c r="Y28" s="76"/>
    </row>
    <row r="29" spans="1:27" ht="15.75">
      <c r="A29" s="45">
        <v>30</v>
      </c>
      <c r="B29" s="46" t="s">
        <v>45</v>
      </c>
      <c r="C29" s="47">
        <f>2136</f>
        <v>2136</v>
      </c>
      <c r="D29" s="47">
        <v>1318.68</v>
      </c>
      <c r="E29" s="47">
        <v>1330</v>
      </c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>
        <f t="shared" si="2"/>
        <v>4784.68</v>
      </c>
      <c r="X29" s="77">
        <v>5000</v>
      </c>
      <c r="Y29" s="74"/>
    </row>
    <row r="30" spans="1:27" ht="15.75">
      <c r="A30" s="52">
        <v>31</v>
      </c>
      <c r="B30" s="53" t="s">
        <v>46</v>
      </c>
      <c r="C30" s="54">
        <f>493.95+190+90+150+1613.51</f>
        <v>2537.46</v>
      </c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>
        <v>500</v>
      </c>
      <c r="R30" s="54"/>
      <c r="S30" s="54"/>
      <c r="T30" s="54"/>
      <c r="U30" s="54"/>
      <c r="V30" s="54"/>
      <c r="W30" s="54">
        <f t="shared" si="2"/>
        <v>3037.46</v>
      </c>
      <c r="X30" s="75"/>
      <c r="Y30" s="76"/>
    </row>
    <row r="31" spans="1:27" ht="15.75">
      <c r="A31" s="45">
        <v>1</v>
      </c>
      <c r="B31" s="46" t="s">
        <v>47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>
        <f>500+2720</f>
        <v>3220</v>
      </c>
      <c r="O31" s="47">
        <v>241</v>
      </c>
      <c r="P31" s="47"/>
      <c r="Q31" s="47"/>
      <c r="R31" s="47"/>
      <c r="S31" s="47">
        <f>300+841</f>
        <v>1141</v>
      </c>
      <c r="T31" s="47"/>
      <c r="U31" s="47"/>
      <c r="V31" s="47"/>
      <c r="W31" s="47">
        <f t="shared" si="2"/>
        <v>4602</v>
      </c>
      <c r="X31" s="73"/>
      <c r="Y31" s="74"/>
    </row>
    <row r="32" spans="1:27" ht="15.75">
      <c r="A32" s="52">
        <v>2</v>
      </c>
      <c r="B32" s="53" t="s">
        <v>48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>
        <f t="shared" si="2"/>
        <v>0</v>
      </c>
      <c r="X32" s="75"/>
      <c r="Y32" s="76"/>
    </row>
    <row r="33" spans="1:25" ht="15.75">
      <c r="A33" s="45">
        <v>3</v>
      </c>
      <c r="B33" s="46" t="s">
        <v>49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>
        <f t="shared" si="2"/>
        <v>0</v>
      </c>
      <c r="X33" s="73"/>
      <c r="Y33" s="74"/>
    </row>
    <row r="34" spans="1:25" ht="15.75">
      <c r="A34" s="52">
        <v>4</v>
      </c>
      <c r="B34" s="53" t="s">
        <v>43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>
        <f t="shared" si="2"/>
        <v>0</v>
      </c>
      <c r="X34" s="75">
        <v>3000</v>
      </c>
      <c r="Y34" s="76"/>
    </row>
    <row r="35" spans="1:25">
      <c r="A35" s="179" t="s">
        <v>55</v>
      </c>
      <c r="B35" s="179"/>
      <c r="C35" s="82">
        <f>SUM(C19:C34)</f>
        <v>10739.46</v>
      </c>
      <c r="D35" s="82">
        <f t="shared" ref="D35:X35" si="3">SUM(D19:D34)</f>
        <v>5696.28</v>
      </c>
      <c r="E35" s="82">
        <f t="shared" si="3"/>
        <v>1330</v>
      </c>
      <c r="F35" s="82">
        <f t="shared" si="3"/>
        <v>0</v>
      </c>
      <c r="G35" s="82">
        <f t="shared" si="3"/>
        <v>0</v>
      </c>
      <c r="H35" s="82">
        <f t="shared" si="3"/>
        <v>5560</v>
      </c>
      <c r="I35" s="82">
        <f t="shared" si="3"/>
        <v>1601.91</v>
      </c>
      <c r="J35" s="82">
        <f t="shared" si="3"/>
        <v>3600</v>
      </c>
      <c r="K35" s="82">
        <f t="shared" si="3"/>
        <v>0</v>
      </c>
      <c r="L35" s="82">
        <f t="shared" si="3"/>
        <v>437</v>
      </c>
      <c r="M35" s="82">
        <f t="shared" si="3"/>
        <v>0</v>
      </c>
      <c r="N35" s="82">
        <f t="shared" si="3"/>
        <v>3220</v>
      </c>
      <c r="O35" s="82">
        <f t="shared" si="3"/>
        <v>3944</v>
      </c>
      <c r="P35" s="82">
        <f t="shared" si="3"/>
        <v>25.18</v>
      </c>
      <c r="Q35" s="82">
        <f t="shared" si="3"/>
        <v>785</v>
      </c>
      <c r="R35" s="82">
        <f t="shared" si="3"/>
        <v>0</v>
      </c>
      <c r="S35" s="82">
        <f t="shared" si="3"/>
        <v>2790</v>
      </c>
      <c r="T35" s="82">
        <f t="shared" si="3"/>
        <v>2447</v>
      </c>
      <c r="U35" s="82">
        <f t="shared" si="3"/>
        <v>2316</v>
      </c>
      <c r="V35" s="82">
        <f t="shared" si="3"/>
        <v>3095</v>
      </c>
      <c r="W35" s="82">
        <f t="shared" si="3"/>
        <v>47586.83</v>
      </c>
      <c r="X35" s="83">
        <f t="shared" si="3"/>
        <v>46088.14</v>
      </c>
      <c r="Y35" s="79">
        <f>X35-W35</f>
        <v>-1498.69</v>
      </c>
    </row>
    <row r="36" spans="1:25" ht="31.5" customHeight="1">
      <c r="A36" s="180" t="s">
        <v>56</v>
      </c>
      <c r="B36" s="180"/>
      <c r="C36" s="72">
        <f>SUM(C18,C35)</f>
        <v>19167.810000000001</v>
      </c>
      <c r="D36" s="72">
        <f t="shared" ref="D36:Y36" si="4">SUM(D18,D35)</f>
        <v>14407.64</v>
      </c>
      <c r="E36" s="72">
        <f t="shared" si="4"/>
        <v>1330</v>
      </c>
      <c r="F36" s="72">
        <f t="shared" si="4"/>
        <v>1434</v>
      </c>
      <c r="G36" s="72">
        <f t="shared" si="4"/>
        <v>0</v>
      </c>
      <c r="H36" s="72">
        <f t="shared" si="4"/>
        <v>14464</v>
      </c>
      <c r="I36" s="72">
        <f t="shared" si="4"/>
        <v>2351.91</v>
      </c>
      <c r="J36" s="72">
        <f t="shared" si="4"/>
        <v>3600</v>
      </c>
      <c r="K36" s="72">
        <f t="shared" si="4"/>
        <v>5015.5200000000004</v>
      </c>
      <c r="L36" s="72">
        <f t="shared" si="4"/>
        <v>437</v>
      </c>
      <c r="M36" s="72">
        <f t="shared" si="4"/>
        <v>0</v>
      </c>
      <c r="N36" s="72">
        <f t="shared" si="4"/>
        <v>3220</v>
      </c>
      <c r="O36" s="72">
        <f t="shared" si="4"/>
        <v>6275</v>
      </c>
      <c r="P36" s="72">
        <f t="shared" si="4"/>
        <v>3342.18</v>
      </c>
      <c r="Q36" s="72">
        <f t="shared" si="4"/>
        <v>4247</v>
      </c>
      <c r="R36" s="72">
        <f t="shared" si="4"/>
        <v>0</v>
      </c>
      <c r="S36" s="72">
        <f t="shared" si="4"/>
        <v>9339</v>
      </c>
      <c r="T36" s="72">
        <f t="shared" si="4"/>
        <v>11746</v>
      </c>
      <c r="U36" s="72">
        <f t="shared" si="4"/>
        <v>2316</v>
      </c>
      <c r="V36" s="72">
        <f t="shared" si="4"/>
        <v>3095</v>
      </c>
      <c r="W36" s="72">
        <f t="shared" si="4"/>
        <v>105788.06</v>
      </c>
      <c r="X36" s="72">
        <f t="shared" si="4"/>
        <v>103059.05</v>
      </c>
      <c r="Y36" s="72">
        <f t="shared" si="4"/>
        <v>-2729.01</v>
      </c>
    </row>
    <row r="40" spans="1:25">
      <c r="B40" s="36"/>
      <c r="C40" s="36"/>
      <c r="D40" s="36"/>
      <c r="E40" s="36"/>
      <c r="F40" s="36"/>
      <c r="G40" s="36"/>
      <c r="H40" s="36"/>
      <c r="I40" s="36"/>
      <c r="J40" s="36"/>
      <c r="K40" s="36"/>
    </row>
  </sheetData>
  <mergeCells count="4">
    <mergeCell ref="A1:Y1"/>
    <mergeCell ref="A18:B18"/>
    <mergeCell ref="A35:B35"/>
    <mergeCell ref="A36:B36"/>
  </mergeCells>
  <conditionalFormatting sqref="Y18:Y36">
    <cfRule type="expression" dxfId="3" priority="1">
      <formula>Y18&lt;0</formula>
    </cfRule>
    <cfRule type="expression" dxfId="2" priority="2">
      <formula>Y18&gt;0</formula>
    </cfRule>
  </conditionalFormatting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40"/>
  <sheetViews>
    <sheetView zoomScale="70" zoomScaleNormal="70" workbookViewId="0">
      <pane xSplit="2" ySplit="36" topLeftCell="S46" activePane="bottomRight" state="frozen"/>
      <selection pane="topRight"/>
      <selection pane="bottomLeft"/>
      <selection pane="bottomRight" activeCell="C18" sqref="C18:H18"/>
    </sheetView>
  </sheetViews>
  <sheetFormatPr defaultColWidth="9.140625" defaultRowHeight="15"/>
  <cols>
    <col min="1" max="25" width="20.7109375" style="1" customWidth="1"/>
    <col min="26" max="37" width="12.7109375" style="1" customWidth="1"/>
    <col min="38" max="16384" width="9.140625" style="1"/>
  </cols>
  <sheetData>
    <row r="1" spans="1:47" ht="60.75" customHeight="1">
      <c r="A1" s="181" t="s">
        <v>58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</row>
    <row r="2" spans="1:47" ht="45" customHeight="1">
      <c r="A2" s="38" t="s">
        <v>21</v>
      </c>
      <c r="B2" s="38" t="s">
        <v>22</v>
      </c>
      <c r="C2" s="38" t="s">
        <v>23</v>
      </c>
      <c r="D2" s="38" t="s">
        <v>25</v>
      </c>
      <c r="E2" s="38" t="s">
        <v>24</v>
      </c>
      <c r="F2" s="38" t="s">
        <v>51</v>
      </c>
      <c r="G2" s="38" t="s">
        <v>53</v>
      </c>
      <c r="H2" s="38" t="s">
        <v>27</v>
      </c>
      <c r="I2" s="38" t="s">
        <v>28</v>
      </c>
      <c r="J2" s="38" t="s">
        <v>29</v>
      </c>
      <c r="K2" s="38" t="s">
        <v>30</v>
      </c>
      <c r="L2" s="38" t="s">
        <v>31</v>
      </c>
      <c r="M2" s="38" t="s">
        <v>32</v>
      </c>
      <c r="N2" s="38" t="s">
        <v>33</v>
      </c>
      <c r="O2" s="38" t="s">
        <v>34</v>
      </c>
      <c r="P2" s="38" t="s">
        <v>35</v>
      </c>
      <c r="Q2" s="38" t="s">
        <v>36</v>
      </c>
      <c r="R2" s="38" t="s">
        <v>37</v>
      </c>
      <c r="S2" s="38" t="s">
        <v>38</v>
      </c>
      <c r="T2" s="38" t="s">
        <v>39</v>
      </c>
      <c r="U2" s="38" t="s">
        <v>39</v>
      </c>
      <c r="V2" s="38" t="s">
        <v>40</v>
      </c>
      <c r="W2" s="38" t="s">
        <v>41</v>
      </c>
      <c r="X2" s="38" t="s">
        <v>42</v>
      </c>
      <c r="Y2" s="38" t="s">
        <v>5</v>
      </c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47" ht="15.75">
      <c r="A3" s="45">
        <v>5</v>
      </c>
      <c r="B3" s="46" t="s">
        <v>44</v>
      </c>
      <c r="C3" s="47">
        <f>310+1963+195</f>
        <v>2468</v>
      </c>
      <c r="D3" s="47">
        <v>2091</v>
      </c>
      <c r="E3" s="47"/>
      <c r="F3" s="47">
        <v>596</v>
      </c>
      <c r="G3" s="47"/>
      <c r="H3" s="47">
        <f>209</f>
        <v>209</v>
      </c>
      <c r="I3" s="47"/>
      <c r="J3" s="47"/>
      <c r="K3" s="47"/>
      <c r="L3" s="47"/>
      <c r="M3" s="47"/>
      <c r="N3" s="47"/>
      <c r="O3" s="47">
        <v>271</v>
      </c>
      <c r="P3" s="47">
        <v>1000</v>
      </c>
      <c r="Q3" s="47"/>
      <c r="R3" s="47"/>
      <c r="S3" s="47">
        <f>199</f>
        <v>199</v>
      </c>
      <c r="T3" s="47">
        <v>2300</v>
      </c>
      <c r="U3" s="47"/>
      <c r="V3" s="47">
        <f>850</f>
        <v>850</v>
      </c>
      <c r="W3" s="47">
        <f>SUM(C3:V3)</f>
        <v>9984</v>
      </c>
      <c r="X3" s="73">
        <f>35654.26+22580</f>
        <v>58234.26</v>
      </c>
      <c r="Y3" s="74"/>
    </row>
    <row r="4" spans="1:47" ht="15.75">
      <c r="A4" s="52">
        <v>6</v>
      </c>
      <c r="B4" s="53" t="s">
        <v>45</v>
      </c>
      <c r="C4" s="54"/>
      <c r="D4" s="54">
        <f>5183+98</f>
        <v>5281</v>
      </c>
      <c r="E4" s="54"/>
      <c r="F4" s="54"/>
      <c r="G4" s="54"/>
      <c r="H4" s="54">
        <v>1450</v>
      </c>
      <c r="I4" s="54"/>
      <c r="J4" s="54"/>
      <c r="K4" s="54"/>
      <c r="L4" s="54"/>
      <c r="M4" s="54"/>
      <c r="N4" s="54">
        <v>2000</v>
      </c>
      <c r="O4" s="54"/>
      <c r="P4" s="54"/>
      <c r="Q4" s="54">
        <v>5700</v>
      </c>
      <c r="R4" s="54"/>
      <c r="S4" s="54">
        <v>700</v>
      </c>
      <c r="T4" s="54"/>
      <c r="U4" s="54"/>
      <c r="V4" s="54"/>
      <c r="W4" s="54">
        <f>SUM(C4:V4)</f>
        <v>15131</v>
      </c>
      <c r="X4" s="75"/>
      <c r="Y4" s="76"/>
    </row>
    <row r="5" spans="1:47" ht="15.75">
      <c r="A5" s="45">
        <v>7</v>
      </c>
      <c r="B5" s="46" t="s">
        <v>46</v>
      </c>
      <c r="C5" s="47">
        <f>280+1103</f>
        <v>1383</v>
      </c>
      <c r="D5" s="47"/>
      <c r="E5" s="47"/>
      <c r="F5" s="47"/>
      <c r="G5" s="47"/>
      <c r="H5" s="47">
        <v>1280</v>
      </c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>
        <v>1075</v>
      </c>
      <c r="U5" s="47"/>
      <c r="V5" s="47"/>
      <c r="W5" s="47">
        <f t="shared" ref="W5:W17" si="0">SUM(C5:V5)</f>
        <v>3738</v>
      </c>
      <c r="X5" s="73"/>
      <c r="Y5" s="74"/>
    </row>
    <row r="6" spans="1:47" ht="15.75">
      <c r="A6" s="52">
        <v>8</v>
      </c>
      <c r="B6" s="53" t="s">
        <v>47</v>
      </c>
      <c r="C6" s="54">
        <f>155</f>
        <v>155</v>
      </c>
      <c r="D6" s="54"/>
      <c r="E6" s="54"/>
      <c r="F6" s="54">
        <f>700</f>
        <v>700</v>
      </c>
      <c r="G6" s="54"/>
      <c r="H6" s="54">
        <v>1734</v>
      </c>
      <c r="I6" s="54"/>
      <c r="J6" s="54"/>
      <c r="K6" s="54"/>
      <c r="L6" s="54"/>
      <c r="M6" s="54"/>
      <c r="N6" s="54"/>
      <c r="O6" s="54"/>
      <c r="P6" s="54">
        <v>336</v>
      </c>
      <c r="Q6" s="54"/>
      <c r="R6" s="54"/>
      <c r="S6" s="54"/>
      <c r="T6" s="54">
        <v>990</v>
      </c>
      <c r="U6" s="54"/>
      <c r="V6" s="54"/>
      <c r="W6" s="54">
        <f t="shared" si="0"/>
        <v>3915</v>
      </c>
      <c r="X6" s="75"/>
      <c r="Y6" s="76"/>
    </row>
    <row r="7" spans="1:47" ht="15.75">
      <c r="A7" s="45">
        <v>9</v>
      </c>
      <c r="B7" s="46" t="s">
        <v>48</v>
      </c>
      <c r="C7" s="47">
        <v>1707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>
        <f>1000+297</f>
        <v>1297</v>
      </c>
      <c r="Q7" s="47">
        <v>400</v>
      </c>
      <c r="R7" s="47"/>
      <c r="S7" s="47"/>
      <c r="T7" s="47"/>
      <c r="U7" s="47"/>
      <c r="V7" s="47"/>
      <c r="W7" s="47">
        <f t="shared" si="0"/>
        <v>3404</v>
      </c>
      <c r="X7" s="73"/>
      <c r="Y7" s="74"/>
    </row>
    <row r="8" spans="1:47" ht="15.75">
      <c r="A8" s="52">
        <v>10</v>
      </c>
      <c r="B8" s="53" t="s">
        <v>49</v>
      </c>
      <c r="C8" s="54"/>
      <c r="D8" s="54">
        <v>1261</v>
      </c>
      <c r="E8" s="54"/>
      <c r="F8" s="54">
        <f>1080+740</f>
        <v>1820</v>
      </c>
      <c r="G8" s="54"/>
      <c r="H8" s="54"/>
      <c r="I8" s="54"/>
      <c r="J8" s="54"/>
      <c r="K8" s="54"/>
      <c r="L8" s="54"/>
      <c r="M8" s="54"/>
      <c r="N8" s="54">
        <f>15454</f>
        <v>15454</v>
      </c>
      <c r="O8" s="54"/>
      <c r="P8" s="54"/>
      <c r="Q8" s="54">
        <v>2630</v>
      </c>
      <c r="R8" s="54"/>
      <c r="S8" s="54">
        <v>841</v>
      </c>
      <c r="T8" s="54"/>
      <c r="U8" s="54"/>
      <c r="V8" s="54"/>
      <c r="W8" s="54">
        <f t="shared" si="0"/>
        <v>22006</v>
      </c>
      <c r="X8" s="75"/>
      <c r="Y8" s="76"/>
    </row>
    <row r="9" spans="1:47" ht="15.75">
      <c r="A9" s="45">
        <v>11</v>
      </c>
      <c r="B9" s="46" t="s">
        <v>43</v>
      </c>
      <c r="C9" s="47">
        <v>1198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>
        <f>201+203+153</f>
        <v>557</v>
      </c>
      <c r="P9" s="47"/>
      <c r="Q9" s="47">
        <v>2600</v>
      </c>
      <c r="R9" s="47"/>
      <c r="S9" s="47"/>
      <c r="T9" s="47"/>
      <c r="U9" s="47"/>
      <c r="V9" s="47"/>
      <c r="W9" s="47">
        <f t="shared" si="0"/>
        <v>4355</v>
      </c>
      <c r="X9" s="73">
        <v>15000</v>
      </c>
      <c r="Y9" s="74"/>
    </row>
    <row r="10" spans="1:47" ht="15.75">
      <c r="A10" s="52">
        <v>12</v>
      </c>
      <c r="B10" s="53" t="s">
        <v>44</v>
      </c>
      <c r="C10" s="54"/>
      <c r="D10" s="54">
        <v>1951.75</v>
      </c>
      <c r="E10" s="54">
        <v>1310</v>
      </c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>
        <f t="shared" si="0"/>
        <v>3261.75</v>
      </c>
      <c r="X10" s="75"/>
      <c r="Y10" s="76"/>
    </row>
    <row r="11" spans="1:47" ht="15.75">
      <c r="A11" s="45">
        <v>13</v>
      </c>
      <c r="B11" s="46" t="s">
        <v>45</v>
      </c>
      <c r="C11" s="47">
        <f>391+602</f>
        <v>993</v>
      </c>
      <c r="D11" s="47">
        <v>1090.32</v>
      </c>
      <c r="E11" s="47">
        <v>4180</v>
      </c>
      <c r="F11" s="47"/>
      <c r="G11" s="47"/>
      <c r="H11" s="47"/>
      <c r="I11" s="47">
        <v>1413</v>
      </c>
      <c r="J11" s="47"/>
      <c r="K11" s="47"/>
      <c r="L11" s="47"/>
      <c r="M11" s="47"/>
      <c r="N11" s="47"/>
      <c r="O11" s="47">
        <v>340</v>
      </c>
      <c r="P11" s="47"/>
      <c r="Q11" s="47"/>
      <c r="R11" s="47"/>
      <c r="S11" s="47"/>
      <c r="T11" s="47"/>
      <c r="U11" s="47"/>
      <c r="V11" s="47"/>
      <c r="W11" s="47">
        <f t="shared" si="0"/>
        <v>8016.32</v>
      </c>
      <c r="X11" s="73"/>
      <c r="Y11" s="74"/>
    </row>
    <row r="12" spans="1:47" ht="15.75">
      <c r="A12" s="52">
        <v>14</v>
      </c>
      <c r="B12" s="53" t="s">
        <v>46</v>
      </c>
      <c r="C12" s="54"/>
      <c r="D12" s="54">
        <v>1743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>
        <v>385</v>
      </c>
      <c r="P12" s="54"/>
      <c r="Q12" s="54">
        <v>-1000</v>
      </c>
      <c r="R12" s="54"/>
      <c r="S12" s="54"/>
      <c r="T12" s="54"/>
      <c r="U12" s="54"/>
      <c r="V12" s="54"/>
      <c r="W12" s="54">
        <f t="shared" si="0"/>
        <v>1128</v>
      </c>
      <c r="X12" s="75"/>
      <c r="Y12" s="76"/>
    </row>
    <row r="13" spans="1:47" ht="15.75">
      <c r="A13" s="45">
        <v>15</v>
      </c>
      <c r="B13" s="46" t="s">
        <v>47</v>
      </c>
      <c r="C13" s="47"/>
      <c r="D13" s="47">
        <v>152</v>
      </c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>
        <v>358</v>
      </c>
      <c r="P13" s="47"/>
      <c r="Q13" s="47">
        <v>-300</v>
      </c>
      <c r="R13" s="47"/>
      <c r="S13" s="47">
        <v>842</v>
      </c>
      <c r="T13" s="47"/>
      <c r="U13" s="47"/>
      <c r="V13" s="47"/>
      <c r="W13" s="47">
        <f t="shared" si="0"/>
        <v>1052</v>
      </c>
      <c r="X13" s="73"/>
      <c r="Y13" s="74"/>
    </row>
    <row r="14" spans="1:47" ht="15.75">
      <c r="A14" s="52">
        <v>16</v>
      </c>
      <c r="B14" s="53" t="s">
        <v>48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>
        <f t="shared" si="0"/>
        <v>0</v>
      </c>
      <c r="X14" s="77">
        <v>5000</v>
      </c>
      <c r="Y14" s="76"/>
    </row>
    <row r="15" spans="1:47" ht="15.75">
      <c r="A15" s="45">
        <v>17</v>
      </c>
      <c r="B15" s="46" t="s">
        <v>49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>
        <f t="shared" si="0"/>
        <v>0</v>
      </c>
      <c r="X15" s="73"/>
      <c r="Y15" s="74"/>
    </row>
    <row r="16" spans="1:47" ht="15.75">
      <c r="A16" s="52">
        <v>18</v>
      </c>
      <c r="B16" s="53" t="s">
        <v>43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>
        <f t="shared" si="0"/>
        <v>0</v>
      </c>
      <c r="X16" s="77">
        <v>2000</v>
      </c>
      <c r="Y16" s="76"/>
    </row>
    <row r="17" spans="1:27" ht="15.75">
      <c r="A17" s="45">
        <v>19</v>
      </c>
      <c r="B17" s="46" t="s">
        <v>44</v>
      </c>
      <c r="C17" s="47"/>
      <c r="D17" s="47">
        <v>2587</v>
      </c>
      <c r="E17" s="47"/>
      <c r="F17" s="47"/>
      <c r="G17" s="47"/>
      <c r="H17" s="47">
        <v>1836</v>
      </c>
      <c r="I17" s="47"/>
      <c r="J17" s="47"/>
      <c r="K17" s="47"/>
      <c r="L17" s="47"/>
      <c r="M17" s="47"/>
      <c r="N17" s="47"/>
      <c r="O17" s="47"/>
      <c r="P17" s="47">
        <f>280+13</f>
        <v>293</v>
      </c>
      <c r="Q17" s="47"/>
      <c r="R17" s="47"/>
      <c r="S17" s="47">
        <v>499</v>
      </c>
      <c r="T17" s="47">
        <v>640</v>
      </c>
      <c r="U17" s="47"/>
      <c r="V17" s="47"/>
      <c r="W17" s="47">
        <f t="shared" si="0"/>
        <v>5855</v>
      </c>
      <c r="X17" s="73"/>
      <c r="Y17" s="74"/>
    </row>
    <row r="18" spans="1:27">
      <c r="A18" s="182" t="s">
        <v>54</v>
      </c>
      <c r="B18" s="182"/>
      <c r="C18" s="60">
        <f t="shared" ref="C18:X18" si="1">SUM(C3:C17)</f>
        <v>7904</v>
      </c>
      <c r="D18" s="60">
        <f t="shared" si="1"/>
        <v>16157.07</v>
      </c>
      <c r="E18" s="60">
        <f t="shared" si="1"/>
        <v>5490</v>
      </c>
      <c r="F18" s="60">
        <f t="shared" si="1"/>
        <v>3116</v>
      </c>
      <c r="G18" s="60">
        <f t="shared" si="1"/>
        <v>0</v>
      </c>
      <c r="H18" s="60">
        <f t="shared" si="1"/>
        <v>6509</v>
      </c>
      <c r="I18" s="60">
        <f t="shared" si="1"/>
        <v>1413</v>
      </c>
      <c r="J18" s="60">
        <f t="shared" si="1"/>
        <v>0</v>
      </c>
      <c r="K18" s="60">
        <f t="shared" si="1"/>
        <v>0</v>
      </c>
      <c r="L18" s="60">
        <f t="shared" si="1"/>
        <v>0</v>
      </c>
      <c r="M18" s="60">
        <f t="shared" si="1"/>
        <v>0</v>
      </c>
      <c r="N18" s="60">
        <f t="shared" si="1"/>
        <v>17454</v>
      </c>
      <c r="O18" s="60">
        <f t="shared" si="1"/>
        <v>1911</v>
      </c>
      <c r="P18" s="60">
        <f t="shared" si="1"/>
        <v>2926</v>
      </c>
      <c r="Q18" s="60">
        <f t="shared" si="1"/>
        <v>10030</v>
      </c>
      <c r="R18" s="60">
        <f t="shared" si="1"/>
        <v>0</v>
      </c>
      <c r="S18" s="60">
        <f t="shared" si="1"/>
        <v>3081</v>
      </c>
      <c r="T18" s="60">
        <f t="shared" si="1"/>
        <v>5005</v>
      </c>
      <c r="U18" s="60">
        <f t="shared" si="1"/>
        <v>0</v>
      </c>
      <c r="V18" s="60">
        <f t="shared" si="1"/>
        <v>850</v>
      </c>
      <c r="W18" s="60">
        <f t="shared" si="1"/>
        <v>81846.070000000007</v>
      </c>
      <c r="X18" s="78">
        <f t="shared" si="1"/>
        <v>80234.259999999995</v>
      </c>
      <c r="Y18" s="79">
        <f>X18-W18</f>
        <v>-1611.81</v>
      </c>
    </row>
    <row r="19" spans="1:27" ht="15.75">
      <c r="A19" s="45">
        <v>20</v>
      </c>
      <c r="B19" s="46" t="s">
        <v>45</v>
      </c>
      <c r="C19" s="47"/>
      <c r="D19" s="47"/>
      <c r="E19" s="47"/>
      <c r="F19" s="47"/>
      <c r="G19" s="47"/>
      <c r="H19" s="47">
        <v>351</v>
      </c>
      <c r="I19" s="47"/>
      <c r="J19" s="47"/>
      <c r="K19" s="47"/>
      <c r="L19" s="47"/>
      <c r="M19" s="47"/>
      <c r="N19" s="47">
        <v>7500</v>
      </c>
      <c r="O19" s="47">
        <v>556</v>
      </c>
      <c r="P19" s="47"/>
      <c r="Q19" s="47"/>
      <c r="R19" s="47"/>
      <c r="S19" s="47"/>
      <c r="T19" s="47"/>
      <c r="U19" s="47"/>
      <c r="V19" s="47"/>
      <c r="W19" s="47">
        <f>SUM(C19:V19)</f>
        <v>8407</v>
      </c>
      <c r="X19" s="73">
        <v>32257.279999999999</v>
      </c>
      <c r="Y19" s="74"/>
    </row>
    <row r="20" spans="1:27" ht="15.75">
      <c r="A20" s="52">
        <v>21</v>
      </c>
      <c r="B20" s="53" t="s">
        <v>46</v>
      </c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>
        <f t="shared" ref="W20:W34" si="2">SUM(C20:V20)</f>
        <v>0</v>
      </c>
      <c r="X20" s="75"/>
      <c r="Y20" s="76"/>
      <c r="AA20" s="29"/>
    </row>
    <row r="21" spans="1:27" ht="15.75">
      <c r="A21" s="45">
        <v>22</v>
      </c>
      <c r="B21" s="46" t="s">
        <v>47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>
        <f t="shared" si="2"/>
        <v>0</v>
      </c>
      <c r="X21" s="73"/>
      <c r="Y21" s="74"/>
    </row>
    <row r="22" spans="1:27" ht="15.75">
      <c r="A22" s="52">
        <v>23</v>
      </c>
      <c r="B22" s="53" t="s">
        <v>48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>
        <f t="shared" si="2"/>
        <v>0</v>
      </c>
      <c r="X22" s="75"/>
      <c r="Y22" s="76"/>
    </row>
    <row r="23" spans="1:27" ht="15.75">
      <c r="A23" s="45">
        <v>24</v>
      </c>
      <c r="B23" s="46" t="s">
        <v>49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>
        <f t="shared" si="2"/>
        <v>0</v>
      </c>
      <c r="X23" s="73"/>
      <c r="Y23" s="74"/>
    </row>
    <row r="24" spans="1:27" ht="15.75">
      <c r="A24" s="52">
        <v>25</v>
      </c>
      <c r="B24" s="53" t="s">
        <v>43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>
        <f t="shared" si="2"/>
        <v>0</v>
      </c>
      <c r="X24" s="75"/>
      <c r="Y24" s="76"/>
    </row>
    <row r="25" spans="1:27" ht="15.75">
      <c r="A25" s="45">
        <v>26</v>
      </c>
      <c r="B25" s="46" t="s">
        <v>44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>
        <f t="shared" si="2"/>
        <v>0</v>
      </c>
      <c r="X25" s="73"/>
      <c r="Y25" s="74"/>
    </row>
    <row r="26" spans="1:27" ht="15.75">
      <c r="A26" s="52">
        <v>27</v>
      </c>
      <c r="B26" s="53" t="s">
        <v>45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>
        <f t="shared" si="2"/>
        <v>0</v>
      </c>
      <c r="X26" s="75"/>
      <c r="Y26" s="76"/>
    </row>
    <row r="27" spans="1:27" ht="15.75">
      <c r="A27" s="45">
        <v>28</v>
      </c>
      <c r="B27" s="46" t="s">
        <v>46</v>
      </c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>
        <f t="shared" si="2"/>
        <v>0</v>
      </c>
      <c r="X27" s="73"/>
      <c r="Y27" s="74"/>
    </row>
    <row r="28" spans="1:27" ht="15.75">
      <c r="A28" s="52">
        <v>29</v>
      </c>
      <c r="B28" s="53" t="s">
        <v>47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>
        <f t="shared" si="2"/>
        <v>0</v>
      </c>
      <c r="X28" s="75"/>
      <c r="Y28" s="76"/>
    </row>
    <row r="29" spans="1:27" ht="15.75">
      <c r="A29" s="45">
        <v>30</v>
      </c>
      <c r="B29" s="46" t="s">
        <v>48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>
        <f t="shared" si="2"/>
        <v>0</v>
      </c>
      <c r="X29" s="73"/>
      <c r="Y29" s="74"/>
    </row>
    <row r="30" spans="1:27" ht="15.75">
      <c r="A30" s="52">
        <v>31</v>
      </c>
      <c r="B30" s="53" t="s">
        <v>49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>
        <f t="shared" si="2"/>
        <v>0</v>
      </c>
      <c r="X30" s="75"/>
      <c r="Y30" s="76"/>
    </row>
    <row r="31" spans="1:27" ht="15.75">
      <c r="A31" s="45">
        <v>1</v>
      </c>
      <c r="B31" s="46" t="s">
        <v>43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>
        <f t="shared" si="2"/>
        <v>0</v>
      </c>
      <c r="X31" s="73"/>
      <c r="Y31" s="74"/>
    </row>
    <row r="32" spans="1:27" ht="15.75">
      <c r="A32" s="52">
        <v>2</v>
      </c>
      <c r="B32" s="53" t="s">
        <v>44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>
        <f t="shared" si="2"/>
        <v>0</v>
      </c>
      <c r="X32" s="75"/>
      <c r="Y32" s="76"/>
    </row>
    <row r="33" spans="1:25" ht="15.75">
      <c r="A33" s="45">
        <v>3</v>
      </c>
      <c r="B33" s="46" t="s">
        <v>45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>
        <f t="shared" si="2"/>
        <v>0</v>
      </c>
      <c r="X33" s="73"/>
      <c r="Y33" s="74"/>
    </row>
    <row r="34" spans="1:25" ht="15.75">
      <c r="A34" s="52">
        <v>4</v>
      </c>
      <c r="B34" s="53" t="s">
        <v>46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>
        <f t="shared" si="2"/>
        <v>0</v>
      </c>
      <c r="X34" s="75"/>
      <c r="Y34" s="76"/>
    </row>
    <row r="35" spans="1:25">
      <c r="A35" s="182" t="s">
        <v>55</v>
      </c>
      <c r="B35" s="182"/>
      <c r="C35" s="60">
        <f>SUM(C19:C34)</f>
        <v>0</v>
      </c>
      <c r="D35" s="60">
        <f t="shared" ref="D35:X35" si="3">SUM(D19:D34)</f>
        <v>0</v>
      </c>
      <c r="E35" s="60">
        <f t="shared" si="3"/>
        <v>0</v>
      </c>
      <c r="F35" s="60">
        <f t="shared" si="3"/>
        <v>0</v>
      </c>
      <c r="G35" s="60">
        <f t="shared" si="3"/>
        <v>0</v>
      </c>
      <c r="H35" s="60">
        <f t="shared" si="3"/>
        <v>351</v>
      </c>
      <c r="I35" s="60">
        <f t="shared" si="3"/>
        <v>0</v>
      </c>
      <c r="J35" s="60">
        <f t="shared" si="3"/>
        <v>0</v>
      </c>
      <c r="K35" s="60">
        <f t="shared" si="3"/>
        <v>0</v>
      </c>
      <c r="L35" s="60">
        <f t="shared" si="3"/>
        <v>0</v>
      </c>
      <c r="M35" s="60">
        <f t="shared" si="3"/>
        <v>0</v>
      </c>
      <c r="N35" s="60">
        <f t="shared" si="3"/>
        <v>7500</v>
      </c>
      <c r="O35" s="60">
        <f t="shared" si="3"/>
        <v>556</v>
      </c>
      <c r="P35" s="60">
        <f t="shared" si="3"/>
        <v>0</v>
      </c>
      <c r="Q35" s="60">
        <f t="shared" si="3"/>
        <v>0</v>
      </c>
      <c r="R35" s="60">
        <f t="shared" si="3"/>
        <v>0</v>
      </c>
      <c r="S35" s="60">
        <f t="shared" si="3"/>
        <v>0</v>
      </c>
      <c r="T35" s="60">
        <f t="shared" si="3"/>
        <v>0</v>
      </c>
      <c r="U35" s="60">
        <f t="shared" si="3"/>
        <v>0</v>
      </c>
      <c r="V35" s="60">
        <f t="shared" si="3"/>
        <v>0</v>
      </c>
      <c r="W35" s="60">
        <f t="shared" si="3"/>
        <v>8407</v>
      </c>
      <c r="X35" s="78">
        <f t="shared" si="3"/>
        <v>32257.279999999999</v>
      </c>
      <c r="Y35" s="79">
        <f>X35-W35</f>
        <v>23850.28</v>
      </c>
    </row>
    <row r="36" spans="1:25" ht="31.5" customHeight="1">
      <c r="A36" s="183" t="s">
        <v>56</v>
      </c>
      <c r="B36" s="183"/>
      <c r="C36" s="80">
        <f>SUM(C18,C35)</f>
        <v>7904</v>
      </c>
      <c r="D36" s="80">
        <f t="shared" ref="D36:Y36" si="4">SUM(D18,D35)</f>
        <v>16157.07</v>
      </c>
      <c r="E36" s="80">
        <f t="shared" si="4"/>
        <v>5490</v>
      </c>
      <c r="F36" s="80">
        <f t="shared" si="4"/>
        <v>3116</v>
      </c>
      <c r="G36" s="80">
        <f t="shared" si="4"/>
        <v>0</v>
      </c>
      <c r="H36" s="80">
        <f t="shared" si="4"/>
        <v>6860</v>
      </c>
      <c r="I36" s="80">
        <f t="shared" si="4"/>
        <v>1413</v>
      </c>
      <c r="J36" s="80">
        <f t="shared" si="4"/>
        <v>0</v>
      </c>
      <c r="K36" s="80">
        <f t="shared" si="4"/>
        <v>0</v>
      </c>
      <c r="L36" s="80">
        <f t="shared" si="4"/>
        <v>0</v>
      </c>
      <c r="M36" s="80">
        <f t="shared" si="4"/>
        <v>0</v>
      </c>
      <c r="N36" s="80">
        <f t="shared" si="4"/>
        <v>24954</v>
      </c>
      <c r="O36" s="80">
        <f t="shared" si="4"/>
        <v>2467</v>
      </c>
      <c r="P36" s="80">
        <f t="shared" si="4"/>
        <v>2926</v>
      </c>
      <c r="Q36" s="80">
        <f t="shared" si="4"/>
        <v>10030</v>
      </c>
      <c r="R36" s="80">
        <f t="shared" si="4"/>
        <v>0</v>
      </c>
      <c r="S36" s="80">
        <f t="shared" si="4"/>
        <v>3081</v>
      </c>
      <c r="T36" s="80">
        <f t="shared" si="4"/>
        <v>5005</v>
      </c>
      <c r="U36" s="80">
        <f t="shared" si="4"/>
        <v>0</v>
      </c>
      <c r="V36" s="80">
        <f t="shared" si="4"/>
        <v>850</v>
      </c>
      <c r="W36" s="80">
        <f t="shared" si="4"/>
        <v>90253.07</v>
      </c>
      <c r="X36" s="80">
        <f t="shared" si="4"/>
        <v>112491.54</v>
      </c>
      <c r="Y36" s="72">
        <f t="shared" si="4"/>
        <v>22238.47</v>
      </c>
    </row>
    <row r="40" spans="1:25">
      <c r="B40" s="36"/>
      <c r="C40" s="36"/>
      <c r="D40" s="36"/>
      <c r="E40" s="36"/>
      <c r="F40" s="36"/>
      <c r="G40" s="36"/>
      <c r="H40" s="36"/>
      <c r="I40" s="36"/>
      <c r="J40" s="36"/>
      <c r="K40" s="36"/>
    </row>
  </sheetData>
  <mergeCells count="4">
    <mergeCell ref="A1:Y1"/>
    <mergeCell ref="A18:B18"/>
    <mergeCell ref="A35:B35"/>
    <mergeCell ref="A36:B36"/>
  </mergeCells>
  <conditionalFormatting sqref="Y18:Y36">
    <cfRule type="expression" dxfId="1" priority="1">
      <formula>Y18&lt;0</formula>
    </cfRule>
    <cfRule type="expression" dxfId="0" priority="2">
      <formula>Y18&gt;0</formula>
    </cfRule>
  </conditionalFormatting>
  <pageMargins left="0.7" right="0.7" top="0.75" bottom="0.75" header="0.3" footer="0.3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V42"/>
  <sheetViews>
    <sheetView zoomScale="70" zoomScaleNormal="70" workbookViewId="0">
      <pane xSplit="2" ySplit="38" topLeftCell="L39" activePane="bottomRight" state="frozen"/>
      <selection pane="topRight"/>
      <selection pane="bottomLeft"/>
      <selection pane="bottomRight" activeCell="AG25" sqref="AG25"/>
    </sheetView>
  </sheetViews>
  <sheetFormatPr defaultColWidth="9.140625" defaultRowHeight="15"/>
  <cols>
    <col min="1" max="26" width="20.7109375" style="1" customWidth="1"/>
    <col min="27" max="32" width="12.7109375" style="1" customWidth="1"/>
    <col min="33" max="33" width="16.140625" style="1" customWidth="1"/>
    <col min="34" max="38" width="12.7109375" style="1" customWidth="1"/>
    <col min="39" max="16384" width="9.140625" style="1"/>
  </cols>
  <sheetData>
    <row r="1" spans="1:48" ht="60.75" customHeight="1">
      <c r="A1" s="188" t="s">
        <v>59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</row>
    <row r="2" spans="1:48" ht="45" customHeight="1">
      <c r="A2" s="38" t="s">
        <v>21</v>
      </c>
      <c r="B2" s="38" t="s">
        <v>22</v>
      </c>
      <c r="C2" s="39" t="s">
        <v>23</v>
      </c>
      <c r="D2" s="39" t="s">
        <v>25</v>
      </c>
      <c r="E2" s="39" t="s">
        <v>24</v>
      </c>
      <c r="F2" s="39" t="s">
        <v>51</v>
      </c>
      <c r="G2" s="39" t="s">
        <v>53</v>
      </c>
      <c r="H2" s="39" t="s">
        <v>27</v>
      </c>
      <c r="I2" s="39" t="s">
        <v>28</v>
      </c>
      <c r="J2" s="39" t="s">
        <v>29</v>
      </c>
      <c r="K2" s="38" t="s">
        <v>30</v>
      </c>
      <c r="L2" s="38" t="s">
        <v>31</v>
      </c>
      <c r="M2" s="38" t="s">
        <v>32</v>
      </c>
      <c r="N2" s="38" t="s">
        <v>33</v>
      </c>
      <c r="O2" s="38" t="s">
        <v>34</v>
      </c>
      <c r="P2" s="38" t="s">
        <v>35</v>
      </c>
      <c r="Q2" s="38" t="s">
        <v>36</v>
      </c>
      <c r="R2" s="38" t="s">
        <v>37</v>
      </c>
      <c r="S2" s="38" t="s">
        <v>38</v>
      </c>
      <c r="T2" s="38" t="s">
        <v>39</v>
      </c>
      <c r="U2" s="38" t="s">
        <v>39</v>
      </c>
      <c r="V2" s="40" t="s">
        <v>40</v>
      </c>
      <c r="W2" s="41" t="s">
        <v>41</v>
      </c>
      <c r="X2" s="42" t="s">
        <v>60</v>
      </c>
      <c r="Y2" s="43" t="s">
        <v>42</v>
      </c>
      <c r="Z2" s="44" t="s">
        <v>5</v>
      </c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</row>
    <row r="3" spans="1:48" ht="15.75">
      <c r="A3" s="45">
        <v>3</v>
      </c>
      <c r="B3" s="46" t="s">
        <v>44</v>
      </c>
      <c r="C3" s="47">
        <f>100</f>
        <v>100</v>
      </c>
      <c r="D3" s="47"/>
      <c r="E3" s="47"/>
      <c r="F3" s="47"/>
      <c r="G3" s="47"/>
      <c r="H3" s="47"/>
      <c r="I3" s="47"/>
      <c r="J3" s="47"/>
      <c r="K3" s="47"/>
      <c r="L3" s="47">
        <f>150+3000</f>
        <v>3150</v>
      </c>
      <c r="M3" s="47"/>
      <c r="N3" s="47"/>
      <c r="O3" s="47"/>
      <c r="P3" s="47"/>
      <c r="Q3" s="47">
        <f>10000</f>
        <v>10000</v>
      </c>
      <c r="R3" s="47"/>
      <c r="S3" s="47">
        <v>799</v>
      </c>
      <c r="T3" s="47"/>
      <c r="U3" s="47"/>
      <c r="V3" s="48"/>
      <c r="W3" s="49">
        <f>SUM(C3:V3)</f>
        <v>14049</v>
      </c>
      <c r="X3" s="50">
        <v>72082.179999999993</v>
      </c>
      <c r="Y3" s="51">
        <f>(94085+57723.67)</f>
        <v>151808.67000000001</v>
      </c>
      <c r="Z3" s="186"/>
    </row>
    <row r="4" spans="1:48" ht="15.75">
      <c r="A4" s="52">
        <v>4</v>
      </c>
      <c r="B4" s="53" t="s">
        <v>45</v>
      </c>
      <c r="C4" s="54">
        <v>528.91999999999996</v>
      </c>
      <c r="D4" s="54">
        <f>403+3617.41</f>
        <v>4020.41</v>
      </c>
      <c r="E4" s="54"/>
      <c r="F4" s="54"/>
      <c r="G4" s="54"/>
      <c r="H4" s="54">
        <f>3760</f>
        <v>3760</v>
      </c>
      <c r="I4" s="54">
        <v>1320.98</v>
      </c>
      <c r="J4" s="54"/>
      <c r="K4" s="54"/>
      <c r="L4" s="54"/>
      <c r="M4" s="54"/>
      <c r="N4" s="54"/>
      <c r="O4" s="54">
        <f>290+215</f>
        <v>505</v>
      </c>
      <c r="P4" s="54"/>
      <c r="Q4" s="54"/>
      <c r="R4" s="54"/>
      <c r="S4" s="54"/>
      <c r="T4" s="54">
        <v>398</v>
      </c>
      <c r="U4" s="54"/>
      <c r="V4" s="55"/>
      <c r="W4" s="49">
        <f>SUM(C4:V4)</f>
        <v>10533.31</v>
      </c>
      <c r="X4" s="50"/>
      <c r="Y4" s="56"/>
      <c r="Z4" s="186"/>
    </row>
    <row r="5" spans="1:48" ht="15.75">
      <c r="A5" s="45">
        <v>5</v>
      </c>
      <c r="B5" s="46" t="s">
        <v>46</v>
      </c>
      <c r="C5" s="47">
        <f>441+815</f>
        <v>1256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>
        <v>199</v>
      </c>
      <c r="T5" s="47"/>
      <c r="U5" s="47"/>
      <c r="V5" s="48"/>
      <c r="W5" s="49">
        <f t="shared" ref="W5:W19" si="0">SUM(C5:V5)</f>
        <v>1455</v>
      </c>
      <c r="X5" s="50"/>
      <c r="Y5" s="56"/>
      <c r="Z5" s="186"/>
    </row>
    <row r="6" spans="1:48" ht="15.75">
      <c r="A6" s="52">
        <v>6</v>
      </c>
      <c r="B6" s="53" t="s">
        <v>47</v>
      </c>
      <c r="C6" s="54"/>
      <c r="D6" s="54">
        <v>628.84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>
        <v>225</v>
      </c>
      <c r="P6" s="54"/>
      <c r="Q6" s="54"/>
      <c r="R6" s="54"/>
      <c r="S6" s="54"/>
      <c r="T6" s="54"/>
      <c r="U6" s="54"/>
      <c r="V6" s="55">
        <v>950</v>
      </c>
      <c r="W6" s="49">
        <f t="shared" si="0"/>
        <v>1803.84</v>
      </c>
      <c r="X6" s="50"/>
      <c r="Y6" s="56"/>
      <c r="Z6" s="186"/>
    </row>
    <row r="7" spans="1:48" ht="15" customHeight="1">
      <c r="A7" s="45">
        <v>7</v>
      </c>
      <c r="B7" s="46" t="s">
        <v>48</v>
      </c>
      <c r="C7" s="47">
        <f>1534.21+320.4</f>
        <v>1854.61</v>
      </c>
      <c r="D7" s="47">
        <v>292</v>
      </c>
      <c r="E7" s="47"/>
      <c r="F7" s="47">
        <v>960</v>
      </c>
      <c r="G7" s="47"/>
      <c r="H7" s="47"/>
      <c r="I7" s="47"/>
      <c r="J7" s="47"/>
      <c r="K7" s="47"/>
      <c r="L7" s="47"/>
      <c r="M7" s="47"/>
      <c r="N7" s="47"/>
      <c r="O7" s="47">
        <v>196</v>
      </c>
      <c r="P7" s="47"/>
      <c r="Q7" s="47"/>
      <c r="R7" s="47"/>
      <c r="S7" s="47"/>
      <c r="T7" s="47"/>
      <c r="U7" s="47"/>
      <c r="V7" s="48"/>
      <c r="W7" s="49">
        <f t="shared" si="0"/>
        <v>3302.61</v>
      </c>
      <c r="X7" s="50"/>
      <c r="Y7" s="56"/>
      <c r="Z7" s="186"/>
    </row>
    <row r="8" spans="1:48" ht="15.75">
      <c r="A8" s="52">
        <v>8</v>
      </c>
      <c r="B8" s="53" t="s">
        <v>49</v>
      </c>
      <c r="C8" s="54">
        <v>233</v>
      </c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>
        <f>490+690</f>
        <v>1180</v>
      </c>
      <c r="R8" s="54"/>
      <c r="S8" s="54">
        <v>842</v>
      </c>
      <c r="T8" s="54"/>
      <c r="U8" s="54"/>
      <c r="V8" s="55"/>
      <c r="W8" s="49">
        <f t="shared" si="0"/>
        <v>2255</v>
      </c>
      <c r="X8" s="50"/>
      <c r="Y8" s="56"/>
      <c r="Z8" s="186"/>
      <c r="AC8" s="187" t="s">
        <v>61</v>
      </c>
      <c r="AD8" s="187"/>
      <c r="AE8" s="187"/>
      <c r="AF8" s="187"/>
      <c r="AG8" s="187"/>
    </row>
    <row r="9" spans="1:48" ht="15.75">
      <c r="A9" s="45">
        <v>9</v>
      </c>
      <c r="B9" s="46" t="s">
        <v>43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>
        <v>395</v>
      </c>
      <c r="P9" s="47"/>
      <c r="Q9" s="47"/>
      <c r="R9" s="47"/>
      <c r="S9" s="47">
        <v>700</v>
      </c>
      <c r="T9" s="47"/>
      <c r="U9" s="47"/>
      <c r="V9" s="48"/>
      <c r="W9" s="49">
        <f t="shared" si="0"/>
        <v>1095</v>
      </c>
      <c r="X9" s="50"/>
      <c r="Y9" s="56"/>
      <c r="Z9" s="186"/>
      <c r="AC9" s="187"/>
      <c r="AD9" s="187"/>
      <c r="AE9" s="187"/>
      <c r="AF9" s="187"/>
      <c r="AG9" s="187"/>
    </row>
    <row r="10" spans="1:48" ht="15.75">
      <c r="A10" s="52">
        <v>10</v>
      </c>
      <c r="B10" s="53" t="s">
        <v>44</v>
      </c>
      <c r="C10" s="54"/>
      <c r="D10" s="54"/>
      <c r="E10" s="54">
        <v>2500</v>
      </c>
      <c r="F10" s="54"/>
      <c r="G10" s="54"/>
      <c r="H10" s="54"/>
      <c r="I10" s="54"/>
      <c r="J10" s="54"/>
      <c r="K10" s="54"/>
      <c r="L10" s="54"/>
      <c r="M10" s="54"/>
      <c r="N10" s="54"/>
      <c r="O10" s="54">
        <f>473+161</f>
        <v>634</v>
      </c>
      <c r="P10" s="54"/>
      <c r="Q10" s="54"/>
      <c r="R10" s="54"/>
      <c r="S10" s="54">
        <v>990</v>
      </c>
      <c r="T10" s="54">
        <v>790</v>
      </c>
      <c r="U10" s="54"/>
      <c r="V10" s="55"/>
      <c r="W10" s="49">
        <f t="shared" si="0"/>
        <v>4914</v>
      </c>
      <c r="X10" s="50"/>
      <c r="Y10" s="56"/>
      <c r="Z10" s="186"/>
      <c r="AC10" s="187"/>
      <c r="AD10" s="187"/>
      <c r="AE10" s="187"/>
      <c r="AF10" s="187"/>
      <c r="AG10" s="187"/>
    </row>
    <row r="11" spans="1:48" ht="15.75">
      <c r="A11" s="45">
        <v>11</v>
      </c>
      <c r="B11" s="46" t="s">
        <v>45</v>
      </c>
      <c r="C11" s="47">
        <f>132.68+3500</f>
        <v>3632.68</v>
      </c>
      <c r="D11" s="47"/>
      <c r="E11" s="47"/>
      <c r="F11" s="47"/>
      <c r="G11" s="47"/>
      <c r="H11" s="47"/>
      <c r="I11" s="47">
        <v>1000</v>
      </c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8"/>
      <c r="W11" s="49">
        <f t="shared" si="0"/>
        <v>4632.68</v>
      </c>
      <c r="X11" s="50"/>
      <c r="Y11" s="56"/>
      <c r="Z11" s="186"/>
      <c r="AC11" s="184" t="s">
        <v>62</v>
      </c>
      <c r="AD11" s="184"/>
      <c r="AE11" s="184"/>
      <c r="AF11" s="184"/>
      <c r="AG11" s="57">
        <f>Y3+Y14+Y21</f>
        <v>226341.31</v>
      </c>
    </row>
    <row r="12" spans="1:48" ht="15.75">
      <c r="A12" s="52">
        <v>12</v>
      </c>
      <c r="B12" s="53" t="s">
        <v>46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>
        <v>4475</v>
      </c>
      <c r="R12" s="54"/>
      <c r="S12" s="54"/>
      <c r="T12" s="54"/>
      <c r="U12" s="54"/>
      <c r="V12" s="55"/>
      <c r="W12" s="49">
        <f t="shared" si="0"/>
        <v>4475</v>
      </c>
      <c r="X12" s="50"/>
      <c r="Y12" s="56"/>
      <c r="Z12" s="186"/>
      <c r="AC12" s="184" t="s">
        <v>2</v>
      </c>
      <c r="AD12" s="184"/>
      <c r="AE12" s="184"/>
      <c r="AF12" s="184"/>
      <c r="AG12" s="57">
        <f>Y27</f>
        <v>20000</v>
      </c>
    </row>
    <row r="13" spans="1:48" ht="15.75">
      <c r="A13" s="45">
        <v>13</v>
      </c>
      <c r="B13" s="46" t="s">
        <v>47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>
        <v>303</v>
      </c>
      <c r="P13" s="47"/>
      <c r="Q13" s="47">
        <v>2870</v>
      </c>
      <c r="R13" s="47"/>
      <c r="S13" s="47">
        <v>842.63</v>
      </c>
      <c r="T13" s="47"/>
      <c r="U13" s="47"/>
      <c r="V13" s="48"/>
      <c r="W13" s="49">
        <f t="shared" si="0"/>
        <v>4015.63</v>
      </c>
      <c r="X13" s="50"/>
      <c r="Y13" s="56"/>
      <c r="Z13" s="186"/>
      <c r="AC13" s="184" t="s">
        <v>63</v>
      </c>
      <c r="AD13" s="184"/>
      <c r="AE13" s="184"/>
      <c r="AF13" s="184"/>
      <c r="AG13" s="57">
        <f>Y17+Y19</f>
        <v>25000</v>
      </c>
    </row>
    <row r="14" spans="1:48" ht="15.75">
      <c r="A14" s="52">
        <v>14</v>
      </c>
      <c r="B14" s="53" t="s">
        <v>48</v>
      </c>
      <c r="C14" s="54">
        <f>219+2054.78</f>
        <v>2273.7800000000002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5"/>
      <c r="W14" s="49">
        <f t="shared" si="0"/>
        <v>2273.7800000000002</v>
      </c>
      <c r="X14" s="50">
        <v>14878.51</v>
      </c>
      <c r="Y14" s="51">
        <v>37634</v>
      </c>
      <c r="Z14" s="186"/>
      <c r="AC14" s="184" t="s">
        <v>64</v>
      </c>
      <c r="AD14" s="184"/>
      <c r="AE14" s="184"/>
      <c r="AF14" s="184"/>
      <c r="AG14" s="57">
        <f>W38</f>
        <v>177971.36</v>
      </c>
    </row>
    <row r="15" spans="1:48" ht="15.75">
      <c r="A15" s="45">
        <v>15</v>
      </c>
      <c r="B15" s="46" t="s">
        <v>49</v>
      </c>
      <c r="C15" s="47">
        <v>364</v>
      </c>
      <c r="D15" s="47">
        <v>584</v>
      </c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>
        <v>328</v>
      </c>
      <c r="P15" s="47"/>
      <c r="Q15" s="47">
        <f>1500+1120.98</f>
        <v>2620.98</v>
      </c>
      <c r="R15" s="47"/>
      <c r="S15" s="47">
        <v>200</v>
      </c>
      <c r="T15" s="47"/>
      <c r="U15" s="47"/>
      <c r="V15" s="48"/>
      <c r="W15" s="49">
        <f t="shared" si="0"/>
        <v>4096.9799999999996</v>
      </c>
      <c r="X15" s="50"/>
      <c r="Y15" s="56"/>
      <c r="Z15" s="186"/>
      <c r="AC15" s="184" t="s">
        <v>65</v>
      </c>
      <c r="AD15" s="184"/>
      <c r="AE15" s="184"/>
      <c r="AF15" s="184"/>
      <c r="AG15" s="57">
        <f>SUM(C38:H38)</f>
        <v>55416.04</v>
      </c>
    </row>
    <row r="16" spans="1:48" ht="15.75">
      <c r="A16" s="52">
        <v>16</v>
      </c>
      <c r="B16" s="53" t="s">
        <v>43</v>
      </c>
      <c r="C16" s="54"/>
      <c r="D16" s="54"/>
      <c r="E16" s="54">
        <v>2850</v>
      </c>
      <c r="F16" s="54">
        <v>1080</v>
      </c>
      <c r="G16" s="54"/>
      <c r="H16" s="54"/>
      <c r="I16" s="54"/>
      <c r="J16" s="54"/>
      <c r="K16" s="54"/>
      <c r="L16" s="54"/>
      <c r="M16" s="54">
        <v>598</v>
      </c>
      <c r="N16" s="54"/>
      <c r="O16" s="54">
        <v>413</v>
      </c>
      <c r="P16" s="54"/>
      <c r="Q16" s="54"/>
      <c r="R16" s="54"/>
      <c r="S16" s="54"/>
      <c r="T16" s="54">
        <v>1200</v>
      </c>
      <c r="U16" s="58"/>
      <c r="V16" s="55"/>
      <c r="W16" s="49">
        <f t="shared" si="0"/>
        <v>6141</v>
      </c>
      <c r="X16" s="50"/>
      <c r="Y16" s="56"/>
      <c r="Z16" s="186"/>
      <c r="AC16" s="184" t="s">
        <v>85</v>
      </c>
      <c r="AD16" s="184"/>
      <c r="AE16" s="184"/>
      <c r="AF16" s="184"/>
      <c r="AG16" s="57">
        <f>Q38</f>
        <v>27468.98</v>
      </c>
    </row>
    <row r="17" spans="1:28" ht="15.75">
      <c r="A17" s="45">
        <v>17</v>
      </c>
      <c r="B17" s="46" t="s">
        <v>44</v>
      </c>
      <c r="C17" s="47">
        <f>700</f>
        <v>700</v>
      </c>
      <c r="D17" s="47"/>
      <c r="E17" s="47"/>
      <c r="F17" s="47"/>
      <c r="G17" s="47"/>
      <c r="H17" s="47"/>
      <c r="I17" s="47"/>
      <c r="J17" s="47"/>
      <c r="K17" s="47"/>
      <c r="L17" s="47"/>
      <c r="M17" s="47">
        <v>7899</v>
      </c>
      <c r="N17" s="47"/>
      <c r="O17" s="47">
        <f>220</f>
        <v>220</v>
      </c>
      <c r="P17" s="47"/>
      <c r="Q17" s="47"/>
      <c r="R17" s="47"/>
      <c r="S17" s="47">
        <v>700</v>
      </c>
      <c r="T17" s="47">
        <v>800</v>
      </c>
      <c r="U17" s="47">
        <f>1825+2217+2419</f>
        <v>6461</v>
      </c>
      <c r="V17" s="48"/>
      <c r="W17" s="49">
        <f t="shared" si="0"/>
        <v>16780</v>
      </c>
      <c r="X17" s="50"/>
      <c r="Y17" s="59">
        <v>15000</v>
      </c>
      <c r="Z17" s="186"/>
    </row>
    <row r="18" spans="1:28" ht="15.75">
      <c r="A18" s="52">
        <v>18</v>
      </c>
      <c r="B18" s="53" t="s">
        <v>45</v>
      </c>
      <c r="C18" s="54"/>
      <c r="D18" s="54">
        <v>2018.8</v>
      </c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>
        <v>499</v>
      </c>
      <c r="T18" s="58"/>
      <c r="U18" s="54">
        <v>8000</v>
      </c>
      <c r="V18" s="55"/>
      <c r="W18" s="49">
        <f t="shared" si="0"/>
        <v>10517.8</v>
      </c>
      <c r="X18" s="50"/>
      <c r="Y18" s="56"/>
      <c r="Z18" s="186"/>
    </row>
    <row r="19" spans="1:28" ht="15.75">
      <c r="A19" s="45">
        <v>19</v>
      </c>
      <c r="B19" s="46" t="s">
        <v>46</v>
      </c>
      <c r="C19" s="47"/>
      <c r="D19" s="47">
        <v>2376.09</v>
      </c>
      <c r="E19" s="47">
        <v>3600</v>
      </c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8">
        <f>83+760+400+6869+83+83+1800+850+1033.84+1423+1349+694+83+6000+1800+305</f>
        <v>23615.84</v>
      </c>
      <c r="W19" s="49">
        <f t="shared" si="0"/>
        <v>29591.93</v>
      </c>
      <c r="X19" s="50"/>
      <c r="Y19" s="59">
        <v>10000</v>
      </c>
      <c r="Z19" s="186"/>
    </row>
    <row r="20" spans="1:28" ht="14.25" customHeight="1">
      <c r="A20" s="182" t="s">
        <v>54</v>
      </c>
      <c r="B20" s="182"/>
      <c r="C20" s="60">
        <f t="shared" ref="C20:V20" si="1">SUM(C3:C17)</f>
        <v>10942.99</v>
      </c>
      <c r="D20" s="60">
        <f t="shared" si="1"/>
        <v>5525.25</v>
      </c>
      <c r="E20" s="60">
        <f t="shared" si="1"/>
        <v>5350</v>
      </c>
      <c r="F20" s="60">
        <f t="shared" si="1"/>
        <v>2040</v>
      </c>
      <c r="G20" s="60">
        <f t="shared" si="1"/>
        <v>0</v>
      </c>
      <c r="H20" s="60">
        <f t="shared" si="1"/>
        <v>3760</v>
      </c>
      <c r="I20" s="60">
        <f t="shared" si="1"/>
        <v>2320.98</v>
      </c>
      <c r="J20" s="60">
        <f t="shared" si="1"/>
        <v>0</v>
      </c>
      <c r="K20" s="60">
        <f t="shared" si="1"/>
        <v>0</v>
      </c>
      <c r="L20" s="60">
        <f t="shared" si="1"/>
        <v>3150</v>
      </c>
      <c r="M20" s="60">
        <f t="shared" si="1"/>
        <v>8497</v>
      </c>
      <c r="N20" s="60">
        <f t="shared" si="1"/>
        <v>0</v>
      </c>
      <c r="O20" s="60">
        <f t="shared" si="1"/>
        <v>3219</v>
      </c>
      <c r="P20" s="60">
        <f t="shared" si="1"/>
        <v>0</v>
      </c>
      <c r="Q20" s="60">
        <f t="shared" si="1"/>
        <v>21145.98</v>
      </c>
      <c r="R20" s="60">
        <f t="shared" si="1"/>
        <v>0</v>
      </c>
      <c r="S20" s="60">
        <f t="shared" si="1"/>
        <v>5272.63</v>
      </c>
      <c r="T20" s="60">
        <f t="shared" si="1"/>
        <v>3188</v>
      </c>
      <c r="U20" s="60">
        <f t="shared" si="1"/>
        <v>6461</v>
      </c>
      <c r="V20" s="61">
        <f t="shared" si="1"/>
        <v>950</v>
      </c>
      <c r="W20" s="62">
        <f>SUM(W3:W19)</f>
        <v>121932.56</v>
      </c>
      <c r="X20" s="63">
        <f>SUM(X3:X19)</f>
        <v>86960.69</v>
      </c>
      <c r="Y20" s="64">
        <f>SUM(Y3:Y19)</f>
        <v>214442.67</v>
      </c>
      <c r="Z20" s="65">
        <f>Y20-W20-X20</f>
        <v>5549.42</v>
      </c>
    </row>
    <row r="21" spans="1:28" ht="15.75">
      <c r="A21" s="45">
        <v>20</v>
      </c>
      <c r="B21" s="46" t="s">
        <v>47</v>
      </c>
      <c r="C21" s="47">
        <v>44</v>
      </c>
      <c r="D21" s="47"/>
      <c r="E21" s="47"/>
      <c r="F21" s="47">
        <v>1770</v>
      </c>
      <c r="G21" s="47"/>
      <c r="H21" s="47"/>
      <c r="I21" s="47"/>
      <c r="J21" s="47"/>
      <c r="K21" s="47"/>
      <c r="L21" s="47"/>
      <c r="M21" s="47"/>
      <c r="N21" s="47"/>
      <c r="O21" s="47">
        <v>572</v>
      </c>
      <c r="P21" s="47"/>
      <c r="Q21" s="47">
        <v>3400</v>
      </c>
      <c r="R21" s="47"/>
      <c r="S21" s="47"/>
      <c r="T21" s="47">
        <v>856</v>
      </c>
      <c r="U21" s="47"/>
      <c r="V21" s="48"/>
      <c r="W21" s="49">
        <f>SUM(C21:V21)</f>
        <v>6642</v>
      </c>
      <c r="X21" s="50"/>
      <c r="Y21" s="51">
        <v>36898.639999999999</v>
      </c>
      <c r="Z21" s="186"/>
    </row>
    <row r="22" spans="1:28" ht="15.75">
      <c r="A22" s="52">
        <v>21</v>
      </c>
      <c r="B22" s="53" t="s">
        <v>48</v>
      </c>
      <c r="C22" s="54">
        <f>80</f>
        <v>80</v>
      </c>
      <c r="D22" s="54">
        <v>883</v>
      </c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>
        <v>334</v>
      </c>
      <c r="P22" s="54"/>
      <c r="Q22" s="54"/>
      <c r="R22" s="54"/>
      <c r="S22" s="54"/>
      <c r="T22" s="54">
        <v>79</v>
      </c>
      <c r="U22" s="54"/>
      <c r="V22" s="55"/>
      <c r="W22" s="49">
        <f t="shared" ref="W22:W36" si="2">SUM(C22:V22)</f>
        <v>1376</v>
      </c>
      <c r="X22" s="50">
        <v>23662.84</v>
      </c>
      <c r="Y22" s="56"/>
      <c r="Z22" s="186"/>
      <c r="AB22" s="29"/>
    </row>
    <row r="23" spans="1:28" ht="15.75">
      <c r="A23" s="45">
        <v>22</v>
      </c>
      <c r="B23" s="46" t="s">
        <v>49</v>
      </c>
      <c r="C23" s="47"/>
      <c r="D23" s="47">
        <v>162</v>
      </c>
      <c r="E23" s="47"/>
      <c r="F23" s="47">
        <v>690</v>
      </c>
      <c r="G23" s="47"/>
      <c r="H23" s="47"/>
      <c r="I23" s="47"/>
      <c r="J23" s="47"/>
      <c r="K23" s="47"/>
      <c r="L23" s="47"/>
      <c r="M23" s="47"/>
      <c r="N23" s="47"/>
      <c r="O23" s="47">
        <v>325</v>
      </c>
      <c r="P23" s="47"/>
      <c r="Q23" s="47"/>
      <c r="R23" s="47"/>
      <c r="S23" s="47">
        <v>843</v>
      </c>
      <c r="T23" s="47"/>
      <c r="U23" s="47"/>
      <c r="V23" s="48"/>
      <c r="W23" s="49">
        <f t="shared" si="2"/>
        <v>2020</v>
      </c>
      <c r="X23" s="50"/>
      <c r="Y23" s="56"/>
      <c r="Z23" s="186"/>
    </row>
    <row r="24" spans="1:28" ht="15.75">
      <c r="A24" s="52">
        <v>23</v>
      </c>
      <c r="B24" s="53" t="s">
        <v>43</v>
      </c>
      <c r="C24" s="54"/>
      <c r="D24" s="54">
        <v>192</v>
      </c>
      <c r="E24" s="54"/>
      <c r="F24" s="54">
        <v>1960</v>
      </c>
      <c r="G24" s="54"/>
      <c r="H24" s="54"/>
      <c r="I24" s="54"/>
      <c r="J24" s="54"/>
      <c r="K24" s="54"/>
      <c r="L24" s="54"/>
      <c r="M24" s="54"/>
      <c r="N24" s="54"/>
      <c r="O24" s="54">
        <f>537+185</f>
        <v>722</v>
      </c>
      <c r="P24" s="54"/>
      <c r="Q24" s="54">
        <v>1000</v>
      </c>
      <c r="R24" s="54"/>
      <c r="S24" s="54"/>
      <c r="T24" s="54"/>
      <c r="U24" s="54"/>
      <c r="V24" s="55"/>
      <c r="W24" s="49">
        <f t="shared" si="2"/>
        <v>3874</v>
      </c>
      <c r="X24" s="50"/>
      <c r="Y24" s="56"/>
      <c r="Z24" s="186"/>
    </row>
    <row r="25" spans="1:28" ht="15.75">
      <c r="A25" s="45">
        <v>24</v>
      </c>
      <c r="B25" s="46" t="s">
        <v>44</v>
      </c>
      <c r="C25" s="47"/>
      <c r="D25" s="47">
        <f>1377+2099.31-149</f>
        <v>3327.31</v>
      </c>
      <c r="E25" s="47"/>
      <c r="F25" s="47"/>
      <c r="G25" s="47"/>
      <c r="H25" s="47">
        <v>2414</v>
      </c>
      <c r="I25" s="47"/>
      <c r="J25" s="47"/>
      <c r="K25" s="47"/>
      <c r="L25" s="47"/>
      <c r="M25" s="47"/>
      <c r="N25" s="47"/>
      <c r="O25" s="47"/>
      <c r="P25" s="47">
        <v>152</v>
      </c>
      <c r="Q25" s="47"/>
      <c r="R25" s="47"/>
      <c r="S25" s="47"/>
      <c r="T25" s="47"/>
      <c r="U25" s="47"/>
      <c r="V25" s="48">
        <v>2000</v>
      </c>
      <c r="W25" s="49">
        <f t="shared" si="2"/>
        <v>7893.31</v>
      </c>
      <c r="X25" s="50"/>
      <c r="Y25" s="56"/>
      <c r="Z25" s="186"/>
    </row>
    <row r="26" spans="1:28" ht="15.75">
      <c r="A26" s="52">
        <v>25</v>
      </c>
      <c r="B26" s="53" t="s">
        <v>45</v>
      </c>
      <c r="C26" s="54">
        <v>3084</v>
      </c>
      <c r="D26" s="54">
        <v>245</v>
      </c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5"/>
      <c r="W26" s="49">
        <f t="shared" si="2"/>
        <v>3329</v>
      </c>
      <c r="X26" s="50"/>
      <c r="Y26" s="56"/>
      <c r="Z26" s="186"/>
    </row>
    <row r="27" spans="1:28" ht="15.75">
      <c r="A27" s="45">
        <v>26</v>
      </c>
      <c r="B27" s="46" t="s">
        <v>46</v>
      </c>
      <c r="C27" s="47">
        <v>185</v>
      </c>
      <c r="D27" s="47">
        <v>1332</v>
      </c>
      <c r="E27" s="47">
        <v>3180</v>
      </c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8">
        <v>2800</v>
      </c>
      <c r="W27" s="49">
        <f t="shared" si="2"/>
        <v>7497</v>
      </c>
      <c r="X27" s="50"/>
      <c r="Y27" s="66">
        <v>20000</v>
      </c>
      <c r="Z27" s="186"/>
    </row>
    <row r="28" spans="1:28" ht="15.75">
      <c r="A28" s="52">
        <v>27</v>
      </c>
      <c r="B28" s="53" t="s">
        <v>47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>
        <v>338</v>
      </c>
      <c r="Q28" s="54"/>
      <c r="R28" s="54"/>
      <c r="S28" s="54">
        <v>249</v>
      </c>
      <c r="T28" s="54">
        <f>3790+3780+3004</f>
        <v>10574</v>
      </c>
      <c r="U28" s="54"/>
      <c r="V28" s="55"/>
      <c r="W28" s="49">
        <f t="shared" si="2"/>
        <v>11161</v>
      </c>
      <c r="X28" s="50"/>
      <c r="Y28" s="56"/>
      <c r="Z28" s="186"/>
    </row>
    <row r="29" spans="1:28" ht="15.75">
      <c r="A29" s="45">
        <v>28</v>
      </c>
      <c r="B29" s="46" t="s">
        <v>48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>
        <v>307</v>
      </c>
      <c r="Q29" s="47">
        <v>1223</v>
      </c>
      <c r="R29" s="47"/>
      <c r="S29" s="47"/>
      <c r="T29" s="47"/>
      <c r="U29" s="47"/>
      <c r="V29" s="48"/>
      <c r="W29" s="49">
        <f t="shared" si="2"/>
        <v>1530</v>
      </c>
      <c r="X29" s="50"/>
      <c r="Y29" s="56"/>
      <c r="Z29" s="186"/>
    </row>
    <row r="30" spans="1:28" ht="15.75">
      <c r="A30" s="52">
        <v>29</v>
      </c>
      <c r="B30" s="53" t="s">
        <v>49</v>
      </c>
      <c r="C30" s="54"/>
      <c r="D30" s="54"/>
      <c r="E30" s="54"/>
      <c r="F30" s="54">
        <v>1080</v>
      </c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>
        <f>400+300</f>
        <v>700</v>
      </c>
      <c r="R30" s="54"/>
      <c r="S30" s="54"/>
      <c r="T30" s="54"/>
      <c r="U30" s="54"/>
      <c r="V30" s="55"/>
      <c r="W30" s="49">
        <f t="shared" si="2"/>
        <v>1780</v>
      </c>
      <c r="X30" s="50"/>
      <c r="Y30" s="56"/>
      <c r="Z30" s="186"/>
    </row>
    <row r="31" spans="1:28" ht="15.75">
      <c r="A31" s="45">
        <v>30</v>
      </c>
      <c r="B31" s="46" t="s">
        <v>43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8"/>
      <c r="W31" s="49">
        <f t="shared" si="2"/>
        <v>0</v>
      </c>
      <c r="X31" s="50"/>
      <c r="Y31" s="56"/>
      <c r="Z31" s="186"/>
    </row>
    <row r="32" spans="1:28" ht="15.75">
      <c r="A32" s="52">
        <v>31</v>
      </c>
      <c r="B32" s="53" t="s">
        <v>44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5"/>
      <c r="W32" s="49">
        <f t="shared" si="2"/>
        <v>0</v>
      </c>
      <c r="X32" s="50"/>
      <c r="Y32" s="56"/>
      <c r="Z32" s="186"/>
    </row>
    <row r="33" spans="1:26" ht="15.75">
      <c r="A33" s="45">
        <v>1</v>
      </c>
      <c r="B33" s="46" t="s">
        <v>45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8"/>
      <c r="W33" s="49">
        <f t="shared" si="2"/>
        <v>0</v>
      </c>
      <c r="X33" s="50"/>
      <c r="Y33" s="67">
        <v>10000</v>
      </c>
      <c r="Z33" s="186"/>
    </row>
    <row r="34" spans="1:26" ht="15.75">
      <c r="A34" s="52">
        <v>2</v>
      </c>
      <c r="B34" s="53" t="s">
        <v>46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>
        <v>799</v>
      </c>
      <c r="T34" s="54">
        <v>100</v>
      </c>
      <c r="U34" s="54"/>
      <c r="V34" s="55"/>
      <c r="W34" s="49">
        <f t="shared" si="2"/>
        <v>899</v>
      </c>
      <c r="X34" s="50"/>
      <c r="Y34" s="56"/>
      <c r="Z34" s="186"/>
    </row>
    <row r="35" spans="1:26" ht="15.75">
      <c r="A35" s="45">
        <v>3</v>
      </c>
      <c r="B35" s="46" t="s">
        <v>47</v>
      </c>
      <c r="C35" s="47"/>
      <c r="D35" s="47"/>
      <c r="E35" s="47">
        <v>2327</v>
      </c>
      <c r="F35" s="47">
        <f>1610+175.49</f>
        <v>1785.49</v>
      </c>
      <c r="G35" s="47"/>
      <c r="H35" s="47"/>
      <c r="I35" s="47"/>
      <c r="J35" s="47"/>
      <c r="K35" s="47"/>
      <c r="L35" s="47"/>
      <c r="M35" s="47"/>
      <c r="N35" s="47"/>
      <c r="O35" s="47">
        <v>270</v>
      </c>
      <c r="P35" s="47"/>
      <c r="Q35" s="47"/>
      <c r="R35" s="47"/>
      <c r="S35" s="47">
        <v>399</v>
      </c>
      <c r="T35" s="47"/>
      <c r="U35" s="47"/>
      <c r="V35" s="48"/>
      <c r="W35" s="49">
        <f t="shared" si="2"/>
        <v>4781.49</v>
      </c>
      <c r="X35" s="50"/>
      <c r="Y35" s="56"/>
      <c r="Z35" s="186"/>
    </row>
    <row r="36" spans="1:26" ht="15.75">
      <c r="A36" s="52">
        <v>4</v>
      </c>
      <c r="B36" s="53" t="s">
        <v>48</v>
      </c>
      <c r="C36" s="54"/>
      <c r="D36" s="54">
        <v>327</v>
      </c>
      <c r="E36" s="54"/>
      <c r="F36" s="54"/>
      <c r="G36" s="54"/>
      <c r="H36" s="54">
        <v>2730</v>
      </c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>
        <v>199</v>
      </c>
      <c r="T36" s="54"/>
      <c r="U36" s="54"/>
      <c r="V36" s="55"/>
      <c r="W36" s="49">
        <f t="shared" si="2"/>
        <v>3256</v>
      </c>
      <c r="X36" s="50"/>
      <c r="Y36" s="56"/>
      <c r="Z36" s="186"/>
    </row>
    <row r="37" spans="1:26">
      <c r="A37" s="182" t="s">
        <v>55</v>
      </c>
      <c r="B37" s="182"/>
      <c r="C37" s="60">
        <f>SUM(C21:C36)</f>
        <v>3393</v>
      </c>
      <c r="D37" s="60">
        <f t="shared" ref="D37:Y37" si="3">SUM(D21:D36)</f>
        <v>6468.31</v>
      </c>
      <c r="E37" s="60">
        <f t="shared" si="3"/>
        <v>5507</v>
      </c>
      <c r="F37" s="60">
        <f t="shared" si="3"/>
        <v>7285.49</v>
      </c>
      <c r="G37" s="60">
        <f t="shared" si="3"/>
        <v>0</v>
      </c>
      <c r="H37" s="60">
        <f t="shared" si="3"/>
        <v>5144</v>
      </c>
      <c r="I37" s="60">
        <f t="shared" si="3"/>
        <v>0</v>
      </c>
      <c r="J37" s="60">
        <f t="shared" si="3"/>
        <v>0</v>
      </c>
      <c r="K37" s="60">
        <f t="shared" si="3"/>
        <v>0</v>
      </c>
      <c r="L37" s="60">
        <f t="shared" si="3"/>
        <v>0</v>
      </c>
      <c r="M37" s="60">
        <f t="shared" si="3"/>
        <v>0</v>
      </c>
      <c r="N37" s="60">
        <f t="shared" si="3"/>
        <v>0</v>
      </c>
      <c r="O37" s="60">
        <f t="shared" si="3"/>
        <v>2223</v>
      </c>
      <c r="P37" s="60">
        <f t="shared" si="3"/>
        <v>797</v>
      </c>
      <c r="Q37" s="60">
        <f t="shared" si="3"/>
        <v>6323</v>
      </c>
      <c r="R37" s="60">
        <f t="shared" si="3"/>
        <v>0</v>
      </c>
      <c r="S37" s="60">
        <f t="shared" si="3"/>
        <v>2489</v>
      </c>
      <c r="T37" s="60">
        <f t="shared" si="3"/>
        <v>11609</v>
      </c>
      <c r="U37" s="60">
        <f t="shared" si="3"/>
        <v>0</v>
      </c>
      <c r="V37" s="61">
        <f t="shared" si="3"/>
        <v>4800</v>
      </c>
      <c r="W37" s="62">
        <f t="shared" si="3"/>
        <v>56038.8</v>
      </c>
      <c r="X37" s="63">
        <f t="shared" si="3"/>
        <v>23662.84</v>
      </c>
      <c r="Y37" s="64">
        <f t="shared" si="3"/>
        <v>66898.64</v>
      </c>
      <c r="Z37" s="68">
        <f>Y37-W37-X37</f>
        <v>-12803</v>
      </c>
    </row>
    <row r="38" spans="1:26" ht="31.5" customHeight="1">
      <c r="A38" s="185" t="s">
        <v>56</v>
      </c>
      <c r="B38" s="185"/>
      <c r="C38" s="69">
        <f>SUM(C20,C37)</f>
        <v>14335.99</v>
      </c>
      <c r="D38" s="69">
        <f t="shared" ref="D38:Z38" si="4">SUM(D20,D37)</f>
        <v>11993.56</v>
      </c>
      <c r="E38" s="69">
        <f t="shared" si="4"/>
        <v>10857</v>
      </c>
      <c r="F38" s="69">
        <f t="shared" si="4"/>
        <v>9325.49</v>
      </c>
      <c r="G38" s="69">
        <f t="shared" si="4"/>
        <v>0</v>
      </c>
      <c r="H38" s="69">
        <f t="shared" si="4"/>
        <v>8904</v>
      </c>
      <c r="I38" s="69">
        <f t="shared" si="4"/>
        <v>2320.98</v>
      </c>
      <c r="J38" s="69">
        <f t="shared" si="4"/>
        <v>0</v>
      </c>
      <c r="K38" s="69">
        <f t="shared" si="4"/>
        <v>0</v>
      </c>
      <c r="L38" s="69">
        <f t="shared" si="4"/>
        <v>3150</v>
      </c>
      <c r="M38" s="69">
        <f t="shared" si="4"/>
        <v>8497</v>
      </c>
      <c r="N38" s="69">
        <f t="shared" si="4"/>
        <v>0</v>
      </c>
      <c r="O38" s="69">
        <f t="shared" si="4"/>
        <v>5442</v>
      </c>
      <c r="P38" s="69">
        <f t="shared" si="4"/>
        <v>797</v>
      </c>
      <c r="Q38" s="69">
        <f t="shared" si="4"/>
        <v>27468.98</v>
      </c>
      <c r="R38" s="69">
        <f t="shared" si="4"/>
        <v>0</v>
      </c>
      <c r="S38" s="69">
        <f t="shared" si="4"/>
        <v>7761.63</v>
      </c>
      <c r="T38" s="69">
        <f t="shared" si="4"/>
        <v>14797</v>
      </c>
      <c r="U38" s="69">
        <f t="shared" si="4"/>
        <v>6461</v>
      </c>
      <c r="V38" s="70">
        <f t="shared" si="4"/>
        <v>5750</v>
      </c>
      <c r="W38" s="62">
        <f t="shared" si="4"/>
        <v>177971.36</v>
      </c>
      <c r="X38" s="63">
        <f t="shared" si="4"/>
        <v>110623.53</v>
      </c>
      <c r="Y38" s="71">
        <f t="shared" si="4"/>
        <v>281341.31</v>
      </c>
      <c r="Z38" s="72">
        <f t="shared" si="4"/>
        <v>-7253.58</v>
      </c>
    </row>
    <row r="42" spans="1:26">
      <c r="B42" s="36"/>
      <c r="C42" s="36"/>
      <c r="D42" s="36"/>
      <c r="E42" s="36"/>
      <c r="F42" s="36"/>
      <c r="G42" s="36"/>
      <c r="H42" s="36"/>
      <c r="I42" s="36"/>
      <c r="J42" s="36"/>
      <c r="K42" s="36"/>
    </row>
  </sheetData>
  <mergeCells count="13">
    <mergeCell ref="A1:Z1"/>
    <mergeCell ref="AC11:AF11"/>
    <mergeCell ref="AC12:AF12"/>
    <mergeCell ref="AC13:AF13"/>
    <mergeCell ref="AC14:AF14"/>
    <mergeCell ref="AC15:AF15"/>
    <mergeCell ref="A20:B20"/>
    <mergeCell ref="A37:B37"/>
    <mergeCell ref="A38:B38"/>
    <mergeCell ref="Z3:Z19"/>
    <mergeCell ref="Z21:Z36"/>
    <mergeCell ref="AC8:AG10"/>
    <mergeCell ref="AC16:AF16"/>
  </mergeCells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40"/>
  <sheetViews>
    <sheetView zoomScale="70" zoomScaleNormal="70" workbookViewId="0">
      <pane xSplit="2" ySplit="36" topLeftCell="F37" activePane="bottomRight" state="frozen"/>
      <selection pane="topRight"/>
      <selection pane="bottomLeft"/>
      <selection pane="bottomRight" activeCell="AN25" sqref="AN25"/>
    </sheetView>
  </sheetViews>
  <sheetFormatPr defaultColWidth="9.140625" defaultRowHeight="15"/>
  <cols>
    <col min="1" max="30" width="20.7109375" style="1" customWidth="1"/>
    <col min="31" max="37" width="12.7109375" style="1" customWidth="1"/>
    <col min="38" max="38" width="19" style="1" customWidth="1"/>
    <col min="39" max="42" width="12.7109375" style="1" customWidth="1"/>
    <col min="43" max="16384" width="9.140625" style="1"/>
  </cols>
  <sheetData>
    <row r="1" spans="1:52" ht="34.5" customHeight="1">
      <c r="A1" s="194" t="s">
        <v>66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</row>
    <row r="2" spans="1:52" ht="26.25">
      <c r="A2" s="195"/>
      <c r="B2" s="196"/>
      <c r="C2" s="197" t="s">
        <v>67</v>
      </c>
      <c r="D2" s="197"/>
      <c r="E2" s="197"/>
      <c r="F2" s="197"/>
      <c r="G2" s="197"/>
      <c r="H2" s="197"/>
      <c r="I2" s="197"/>
      <c r="J2" s="197"/>
      <c r="K2" s="197"/>
      <c r="L2" s="198" t="s">
        <v>68</v>
      </c>
      <c r="M2" s="198"/>
      <c r="N2" s="198"/>
      <c r="O2" s="198"/>
      <c r="P2" s="198"/>
      <c r="Q2" s="198"/>
      <c r="R2" s="199" t="s">
        <v>69</v>
      </c>
      <c r="S2" s="199"/>
      <c r="T2" s="199"/>
      <c r="U2" s="199"/>
      <c r="V2" s="199"/>
      <c r="W2" s="199"/>
      <c r="X2" s="199"/>
      <c r="Y2" s="199"/>
      <c r="Z2" s="199"/>
      <c r="AA2" s="199"/>
      <c r="AB2" s="200" t="s">
        <v>70</v>
      </c>
      <c r="AC2" s="200"/>
      <c r="AD2" s="200"/>
    </row>
    <row r="3" spans="1:52" ht="45" customHeight="1">
      <c r="A3" s="2" t="s">
        <v>21</v>
      </c>
      <c r="B3" s="2" t="s">
        <v>22</v>
      </c>
      <c r="C3" s="3" t="s">
        <v>71</v>
      </c>
      <c r="D3" s="3" t="s">
        <v>72</v>
      </c>
      <c r="E3" s="3" t="s">
        <v>73</v>
      </c>
      <c r="F3" s="3" t="s">
        <v>25</v>
      </c>
      <c r="G3" s="3" t="s">
        <v>74</v>
      </c>
      <c r="H3" s="3" t="s">
        <v>75</v>
      </c>
      <c r="I3" s="3" t="s">
        <v>76</v>
      </c>
      <c r="J3" s="3" t="s">
        <v>77</v>
      </c>
      <c r="K3" s="3" t="s">
        <v>78</v>
      </c>
      <c r="L3" s="4" t="s">
        <v>30</v>
      </c>
      <c r="M3" s="4" t="s">
        <v>33</v>
      </c>
      <c r="N3" s="4" t="s">
        <v>79</v>
      </c>
      <c r="O3" s="4" t="s">
        <v>39</v>
      </c>
      <c r="P3" s="4" t="s">
        <v>39</v>
      </c>
      <c r="Q3" s="4" t="s">
        <v>80</v>
      </c>
      <c r="R3" s="5" t="s">
        <v>28</v>
      </c>
      <c r="S3" s="5" t="s">
        <v>31</v>
      </c>
      <c r="T3" s="5" t="s">
        <v>32</v>
      </c>
      <c r="U3" s="5" t="s">
        <v>34</v>
      </c>
      <c r="V3" s="5" t="s">
        <v>35</v>
      </c>
      <c r="W3" s="5" t="s">
        <v>36</v>
      </c>
      <c r="X3" s="5" t="s">
        <v>81</v>
      </c>
      <c r="Y3" s="5" t="s">
        <v>81</v>
      </c>
      <c r="Z3" s="5" t="s">
        <v>82</v>
      </c>
      <c r="AA3" s="6" t="s">
        <v>40</v>
      </c>
      <c r="AB3" s="7" t="s">
        <v>41</v>
      </c>
      <c r="AC3" s="8" t="s">
        <v>42</v>
      </c>
      <c r="AD3" s="9" t="s">
        <v>5</v>
      </c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</row>
    <row r="4" spans="1:52" ht="15.75">
      <c r="A4" s="11">
        <v>5</v>
      </c>
      <c r="B4" s="12" t="s">
        <v>49</v>
      </c>
      <c r="C4" s="13">
        <v>429.95</v>
      </c>
      <c r="D4" s="13"/>
      <c r="E4" s="13"/>
      <c r="F4" s="13"/>
      <c r="G4" s="13"/>
      <c r="H4" s="13"/>
      <c r="I4" s="13">
        <f>4660+545</f>
        <v>5205</v>
      </c>
      <c r="J4" s="13"/>
      <c r="K4" s="13"/>
      <c r="L4" s="13"/>
      <c r="M4" s="13"/>
      <c r="N4" s="13"/>
      <c r="O4" s="13">
        <v>100</v>
      </c>
      <c r="P4" s="13">
        <v>10000</v>
      </c>
      <c r="Q4" s="13"/>
      <c r="R4" s="13"/>
      <c r="S4" s="13"/>
      <c r="T4" s="13"/>
      <c r="U4" s="13"/>
      <c r="V4" s="13"/>
      <c r="W4" s="13"/>
      <c r="X4" s="13">
        <v>1237</v>
      </c>
      <c r="Y4" s="13"/>
      <c r="Z4" s="13"/>
      <c r="AA4" s="14"/>
      <c r="AB4" s="15">
        <f>SUM(C4:AA4)</f>
        <v>16971.95</v>
      </c>
      <c r="AC4" s="16">
        <f>37635+40252.26+18817.85</f>
        <v>96705.11</v>
      </c>
      <c r="AD4" s="192"/>
    </row>
    <row r="5" spans="1:52" ht="15.75">
      <c r="A5" s="17">
        <v>6</v>
      </c>
      <c r="B5" s="18" t="s">
        <v>43</v>
      </c>
      <c r="C5" s="19"/>
      <c r="D5" s="19"/>
      <c r="E5" s="19"/>
      <c r="F5" s="19">
        <v>351</v>
      </c>
      <c r="G5" s="19"/>
      <c r="H5" s="19"/>
      <c r="I5" s="19"/>
      <c r="J5" s="19"/>
      <c r="K5" s="19"/>
      <c r="L5" s="19">
        <f>5748.49+2803.26+2306.38</f>
        <v>10858.13</v>
      </c>
      <c r="M5" s="19"/>
      <c r="N5" s="19"/>
      <c r="O5" s="19"/>
      <c r="P5" s="19"/>
      <c r="Q5" s="19">
        <v>3500</v>
      </c>
      <c r="R5" s="19"/>
      <c r="S5" s="19"/>
      <c r="T5" s="19"/>
      <c r="U5" s="19">
        <v>294</v>
      </c>
      <c r="V5" s="19"/>
      <c r="W5" s="19">
        <v>1500</v>
      </c>
      <c r="X5" s="19"/>
      <c r="Y5" s="19"/>
      <c r="Z5" s="19"/>
      <c r="AA5" s="20"/>
      <c r="AB5" s="15">
        <f>SUM(C5:AA5)</f>
        <v>16503.13</v>
      </c>
      <c r="AC5" s="21"/>
      <c r="AD5" s="192"/>
    </row>
    <row r="6" spans="1:52" ht="15.75">
      <c r="A6" s="11">
        <v>7</v>
      </c>
      <c r="B6" s="12" t="s">
        <v>44</v>
      </c>
      <c r="C6" s="13"/>
      <c r="D6" s="13"/>
      <c r="E6" s="13"/>
      <c r="F6" s="13"/>
      <c r="G6" s="13"/>
      <c r="H6" s="13"/>
      <c r="I6" s="13"/>
      <c r="J6" s="13">
        <v>838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>
        <v>158.61000000000001</v>
      </c>
      <c r="W6" s="13"/>
      <c r="X6" s="13"/>
      <c r="Y6" s="13"/>
      <c r="Z6" s="13"/>
      <c r="AA6" s="14"/>
      <c r="AB6" s="15">
        <f t="shared" ref="AB6:AB18" si="0">SUM(C6:AA6)</f>
        <v>996.61</v>
      </c>
      <c r="AC6" s="21"/>
      <c r="AD6" s="192"/>
    </row>
    <row r="7" spans="1:52" ht="15.75">
      <c r="A7" s="17">
        <v>8</v>
      </c>
      <c r="B7" s="18" t="s">
        <v>45</v>
      </c>
      <c r="C7" s="19"/>
      <c r="D7" s="19"/>
      <c r="E7" s="19"/>
      <c r="F7" s="19">
        <v>1461</v>
      </c>
      <c r="G7" s="19">
        <v>821</v>
      </c>
      <c r="H7" s="19"/>
      <c r="I7" s="19">
        <f>2510+220</f>
        <v>2730</v>
      </c>
      <c r="J7" s="19">
        <v>730</v>
      </c>
      <c r="K7" s="19"/>
      <c r="L7" s="19"/>
      <c r="M7" s="19"/>
      <c r="N7" s="19"/>
      <c r="O7" s="19">
        <v>100</v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>
        <f>2626-2500</f>
        <v>126</v>
      </c>
      <c r="AA7" s="20"/>
      <c r="AB7" s="15">
        <f t="shared" si="0"/>
        <v>5968</v>
      </c>
      <c r="AC7" s="21"/>
      <c r="AD7" s="192"/>
    </row>
    <row r="8" spans="1:52" ht="15" customHeight="1">
      <c r="A8" s="11">
        <v>9</v>
      </c>
      <c r="B8" s="12" t="s">
        <v>46</v>
      </c>
      <c r="C8" s="13"/>
      <c r="D8" s="13"/>
      <c r="E8" s="13">
        <v>2510</v>
      </c>
      <c r="F8" s="13"/>
      <c r="G8" s="13"/>
      <c r="H8" s="13"/>
      <c r="I8" s="13"/>
      <c r="J8" s="13">
        <v>1534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>
        <f>400+1115+3400+1409.98+1800</f>
        <v>8124.98</v>
      </c>
      <c r="X8" s="13"/>
      <c r="Y8" s="13"/>
      <c r="Z8" s="13"/>
      <c r="AA8" s="14"/>
      <c r="AB8" s="15">
        <f t="shared" si="0"/>
        <v>12168.98</v>
      </c>
      <c r="AC8" s="21"/>
      <c r="AD8" s="192"/>
    </row>
    <row r="9" spans="1:52" ht="15.75">
      <c r="A9" s="17">
        <v>10</v>
      </c>
      <c r="B9" s="18" t="s">
        <v>47</v>
      </c>
      <c r="C9" s="19"/>
      <c r="D9" s="19"/>
      <c r="E9" s="19"/>
      <c r="F9" s="19"/>
      <c r="G9" s="19"/>
      <c r="H9" s="19"/>
      <c r="I9" s="19"/>
      <c r="J9" s="19"/>
      <c r="K9" s="19">
        <v>1860</v>
      </c>
      <c r="L9" s="19"/>
      <c r="M9" s="19"/>
      <c r="N9" s="19">
        <f>700+990</f>
        <v>1690</v>
      </c>
      <c r="O9" s="19"/>
      <c r="P9" s="19">
        <v>2000</v>
      </c>
      <c r="Q9" s="19"/>
      <c r="R9" s="19"/>
      <c r="S9" s="19"/>
      <c r="T9" s="19"/>
      <c r="U9" s="19">
        <v>420</v>
      </c>
      <c r="V9" s="19"/>
      <c r="W9" s="19"/>
      <c r="X9" s="19"/>
      <c r="Y9" s="19"/>
      <c r="Z9" s="19"/>
      <c r="AA9" s="20"/>
      <c r="AB9" s="15">
        <f t="shared" si="0"/>
        <v>5970</v>
      </c>
      <c r="AC9" s="21"/>
      <c r="AD9" s="192"/>
    </row>
    <row r="10" spans="1:52" ht="15.75">
      <c r="A10" s="11">
        <v>11</v>
      </c>
      <c r="B10" s="12" t="s">
        <v>48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>
        <v>500</v>
      </c>
      <c r="R10" s="13"/>
      <c r="S10" s="13"/>
      <c r="T10" s="13"/>
      <c r="U10" s="13">
        <f>207+380</f>
        <v>587</v>
      </c>
      <c r="V10" s="13"/>
      <c r="W10" s="13">
        <v>1180</v>
      </c>
      <c r="X10" s="13">
        <v>990</v>
      </c>
      <c r="Y10" s="13"/>
      <c r="Z10" s="13"/>
      <c r="AA10" s="14"/>
      <c r="AB10" s="15">
        <f t="shared" si="0"/>
        <v>3257</v>
      </c>
      <c r="AC10" s="21"/>
      <c r="AD10" s="192"/>
    </row>
    <row r="11" spans="1:52" ht="15.75">
      <c r="A11" s="17">
        <v>12</v>
      </c>
      <c r="B11" s="18" t="s">
        <v>49</v>
      </c>
      <c r="C11" s="19"/>
      <c r="D11" s="19"/>
      <c r="E11" s="19"/>
      <c r="F11" s="19">
        <f>210+424</f>
        <v>634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>
        <v>400</v>
      </c>
      <c r="X11" s="19"/>
      <c r="Y11" s="19"/>
      <c r="Z11" s="19"/>
      <c r="AA11" s="20"/>
      <c r="AB11" s="15">
        <f t="shared" si="0"/>
        <v>1034</v>
      </c>
      <c r="AC11" s="21"/>
      <c r="AD11" s="192"/>
      <c r="AH11" s="193" t="s">
        <v>83</v>
      </c>
      <c r="AI11" s="193"/>
      <c r="AJ11" s="193"/>
      <c r="AK11" s="193"/>
      <c r="AL11" s="193"/>
    </row>
    <row r="12" spans="1:52" ht="15.75">
      <c r="A12" s="11">
        <v>13</v>
      </c>
      <c r="B12" s="12" t="s">
        <v>43</v>
      </c>
      <c r="C12" s="13"/>
      <c r="D12" s="13"/>
      <c r="E12" s="13"/>
      <c r="F12" s="13"/>
      <c r="G12" s="13"/>
      <c r="H12" s="13"/>
      <c r="I12" s="13"/>
      <c r="J12" s="13"/>
      <c r="K12" s="13">
        <v>420</v>
      </c>
      <c r="L12" s="13"/>
      <c r="M12" s="13"/>
      <c r="N12" s="13"/>
      <c r="O12" s="13"/>
      <c r="P12" s="13"/>
      <c r="Q12" s="13"/>
      <c r="R12" s="13"/>
      <c r="S12" s="13"/>
      <c r="T12" s="13"/>
      <c r="U12" s="13">
        <f>399+300</f>
        <v>699</v>
      </c>
      <c r="V12" s="13"/>
      <c r="W12" s="13">
        <f>517+1080+787+83</f>
        <v>2467</v>
      </c>
      <c r="X12" s="13"/>
      <c r="Y12" s="13"/>
      <c r="Z12" s="13"/>
      <c r="AA12" s="14"/>
      <c r="AB12" s="15">
        <f t="shared" si="0"/>
        <v>3586</v>
      </c>
      <c r="AC12" s="21"/>
      <c r="AD12" s="192"/>
      <c r="AH12" s="193"/>
      <c r="AI12" s="193"/>
      <c r="AJ12" s="193"/>
      <c r="AK12" s="193"/>
      <c r="AL12" s="193"/>
    </row>
    <row r="13" spans="1:52" ht="15.75">
      <c r="A13" s="17">
        <v>14</v>
      </c>
      <c r="B13" s="18" t="s">
        <v>44</v>
      </c>
      <c r="C13" s="19"/>
      <c r="D13" s="19"/>
      <c r="E13" s="19"/>
      <c r="F13" s="19"/>
      <c r="G13" s="19"/>
      <c r="H13" s="19"/>
      <c r="I13" s="19">
        <f>2220+250</f>
        <v>2470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>
        <v>384</v>
      </c>
      <c r="V13" s="19"/>
      <c r="W13" s="19">
        <f>2720+315</f>
        <v>3035</v>
      </c>
      <c r="X13" s="19"/>
      <c r="Y13" s="19"/>
      <c r="Z13" s="19"/>
      <c r="AA13" s="20"/>
      <c r="AB13" s="15">
        <f t="shared" si="0"/>
        <v>5889</v>
      </c>
      <c r="AC13" s="21"/>
      <c r="AD13" s="192"/>
      <c r="AH13" s="193"/>
      <c r="AI13" s="193"/>
      <c r="AJ13" s="193"/>
      <c r="AK13" s="193"/>
      <c r="AL13" s="193"/>
    </row>
    <row r="14" spans="1:52" ht="18">
      <c r="A14" s="11">
        <v>15</v>
      </c>
      <c r="B14" s="12" t="s">
        <v>45</v>
      </c>
      <c r="C14" s="13">
        <v>973.94</v>
      </c>
      <c r="D14" s="13"/>
      <c r="E14" s="13"/>
      <c r="F14" s="13"/>
      <c r="G14" s="13"/>
      <c r="H14" s="13">
        <v>4470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>
        <f>1319.99+329</f>
        <v>1648.99</v>
      </c>
      <c r="X14" s="13"/>
      <c r="Y14" s="13"/>
      <c r="Z14" s="13"/>
      <c r="AA14" s="14"/>
      <c r="AB14" s="15">
        <f t="shared" si="0"/>
        <v>7092.93</v>
      </c>
      <c r="AC14" s="21"/>
      <c r="AD14" s="192"/>
      <c r="AH14" s="189" t="s">
        <v>62</v>
      </c>
      <c r="AI14" s="189"/>
      <c r="AJ14" s="189"/>
      <c r="AK14" s="189"/>
      <c r="AL14" s="22">
        <f>AC4+AC20</f>
        <v>133443.15</v>
      </c>
    </row>
    <row r="15" spans="1:52" ht="18">
      <c r="A15" s="17">
        <v>16</v>
      </c>
      <c r="B15" s="18" t="s">
        <v>46</v>
      </c>
      <c r="C15" s="19"/>
      <c r="D15" s="19">
        <v>97.3</v>
      </c>
      <c r="E15" s="19"/>
      <c r="F15" s="19"/>
      <c r="G15" s="19"/>
      <c r="H15" s="19"/>
      <c r="I15" s="19"/>
      <c r="J15" s="19">
        <f>539.98+147+1271</f>
        <v>1957.98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>
        <v>2049</v>
      </c>
      <c r="W15" s="19">
        <f>490+380</f>
        <v>870</v>
      </c>
      <c r="X15" s="19">
        <v>990</v>
      </c>
      <c r="Y15" s="19"/>
      <c r="Z15" s="19">
        <f>170+170+170+170</f>
        <v>680</v>
      </c>
      <c r="AA15" s="20"/>
      <c r="AB15" s="15">
        <f t="shared" si="0"/>
        <v>6644.28</v>
      </c>
      <c r="AC15" s="16"/>
      <c r="AD15" s="192"/>
      <c r="AH15" s="189" t="s">
        <v>2</v>
      </c>
      <c r="AI15" s="189"/>
      <c r="AJ15" s="189"/>
      <c r="AK15" s="189"/>
      <c r="AL15" s="22">
        <f>AC29</f>
        <v>1000</v>
      </c>
    </row>
    <row r="16" spans="1:52" ht="18">
      <c r="A16" s="11">
        <v>17</v>
      </c>
      <c r="B16" s="12" t="s">
        <v>47</v>
      </c>
      <c r="C16" s="13"/>
      <c r="D16" s="13"/>
      <c r="E16" s="13"/>
      <c r="F16" s="13"/>
      <c r="G16" s="13">
        <f>354+1199</f>
        <v>1553</v>
      </c>
      <c r="H16" s="13"/>
      <c r="I16" s="13">
        <v>1710</v>
      </c>
      <c r="J16" s="13"/>
      <c r="K16" s="13"/>
      <c r="L16" s="13"/>
      <c r="M16" s="13"/>
      <c r="N16" s="13">
        <f>700+499</f>
        <v>1199</v>
      </c>
      <c r="O16" s="13"/>
      <c r="P16" s="13"/>
      <c r="Q16" s="13"/>
      <c r="R16" s="13"/>
      <c r="S16" s="13"/>
      <c r="T16" s="13"/>
      <c r="U16" s="13"/>
      <c r="V16" s="13">
        <v>313.19</v>
      </c>
      <c r="W16" s="13"/>
      <c r="X16" s="13">
        <v>330</v>
      </c>
      <c r="Y16" s="13"/>
      <c r="Z16" s="13"/>
      <c r="AA16" s="14"/>
      <c r="AB16" s="15">
        <f t="shared" si="0"/>
        <v>5105.1899999999996</v>
      </c>
      <c r="AC16" s="21"/>
      <c r="AD16" s="192"/>
      <c r="AH16" s="189" t="s">
        <v>63</v>
      </c>
      <c r="AI16" s="189"/>
      <c r="AJ16" s="189"/>
      <c r="AK16" s="189"/>
      <c r="AL16" s="22">
        <f>AC21+AC34</f>
        <v>11000</v>
      </c>
    </row>
    <row r="17" spans="1:38" ht="18">
      <c r="A17" s="17">
        <v>18</v>
      </c>
      <c r="B17" s="18" t="s">
        <v>48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>
        <v>280.97000000000003</v>
      </c>
      <c r="W17" s="19"/>
      <c r="X17" s="19"/>
      <c r="Y17" s="19"/>
      <c r="Z17" s="19"/>
      <c r="AA17" s="20"/>
      <c r="AB17" s="15">
        <f t="shared" si="0"/>
        <v>280.97000000000003</v>
      </c>
      <c r="AC17" s="21"/>
      <c r="AD17" s="192"/>
      <c r="AH17" s="189" t="s">
        <v>64</v>
      </c>
      <c r="AI17" s="189"/>
      <c r="AJ17" s="189"/>
      <c r="AK17" s="189"/>
      <c r="AL17" s="22">
        <f>AB36</f>
        <v>146501.73000000001</v>
      </c>
    </row>
    <row r="18" spans="1:38" ht="18">
      <c r="A18" s="11">
        <v>19</v>
      </c>
      <c r="B18" s="12" t="s">
        <v>49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>
        <f>382+190</f>
        <v>572</v>
      </c>
      <c r="V18" s="13"/>
      <c r="W18" s="13"/>
      <c r="X18" s="13">
        <f>384.98</f>
        <v>384.98</v>
      </c>
      <c r="Y18" s="13"/>
      <c r="Z18" s="13"/>
      <c r="AA18" s="14"/>
      <c r="AB18" s="15">
        <f t="shared" si="0"/>
        <v>956.98</v>
      </c>
      <c r="AC18" s="21"/>
      <c r="AD18" s="192"/>
      <c r="AH18" s="189" t="s">
        <v>65</v>
      </c>
      <c r="AI18" s="189"/>
      <c r="AJ18" s="189"/>
      <c r="AK18" s="189"/>
      <c r="AL18" s="22">
        <f>SUM(C36:K36)</f>
        <v>56967.92</v>
      </c>
    </row>
    <row r="19" spans="1:38" ht="19.5" customHeight="1">
      <c r="A19" s="190" t="s">
        <v>54</v>
      </c>
      <c r="B19" s="190"/>
      <c r="C19" s="23">
        <f>SUM(C4:C18)</f>
        <v>1403.89</v>
      </c>
      <c r="D19" s="23">
        <f t="shared" ref="D19:AC19" si="1">SUM(D4:D18)</f>
        <v>97.3</v>
      </c>
      <c r="E19" s="23">
        <f t="shared" si="1"/>
        <v>2510</v>
      </c>
      <c r="F19" s="23">
        <f t="shared" si="1"/>
        <v>2446</v>
      </c>
      <c r="G19" s="23">
        <f t="shared" si="1"/>
        <v>2374</v>
      </c>
      <c r="H19" s="23">
        <f t="shared" si="1"/>
        <v>4470</v>
      </c>
      <c r="I19" s="23">
        <f t="shared" si="1"/>
        <v>12115</v>
      </c>
      <c r="J19" s="23">
        <f t="shared" si="1"/>
        <v>5059.9799999999996</v>
      </c>
      <c r="K19" s="23">
        <f t="shared" si="1"/>
        <v>2280</v>
      </c>
      <c r="L19" s="24">
        <f t="shared" si="1"/>
        <v>10858.13</v>
      </c>
      <c r="M19" s="24">
        <f t="shared" si="1"/>
        <v>0</v>
      </c>
      <c r="N19" s="24">
        <f t="shared" si="1"/>
        <v>2889</v>
      </c>
      <c r="O19" s="24">
        <f t="shared" si="1"/>
        <v>200</v>
      </c>
      <c r="P19" s="24">
        <f t="shared" si="1"/>
        <v>12000</v>
      </c>
      <c r="Q19" s="24">
        <f t="shared" si="1"/>
        <v>4000</v>
      </c>
      <c r="R19" s="25">
        <f t="shared" si="1"/>
        <v>0</v>
      </c>
      <c r="S19" s="25">
        <f t="shared" si="1"/>
        <v>0</v>
      </c>
      <c r="T19" s="25">
        <f t="shared" si="1"/>
        <v>0</v>
      </c>
      <c r="U19" s="25">
        <f t="shared" si="1"/>
        <v>2956</v>
      </c>
      <c r="V19" s="25">
        <f t="shared" si="1"/>
        <v>2801.77</v>
      </c>
      <c r="W19" s="25">
        <f t="shared" si="1"/>
        <v>19225.97</v>
      </c>
      <c r="X19" s="25">
        <f t="shared" si="1"/>
        <v>3931.98</v>
      </c>
      <c r="Y19" s="25">
        <f t="shared" si="1"/>
        <v>0</v>
      </c>
      <c r="Z19" s="25">
        <f t="shared" si="1"/>
        <v>806</v>
      </c>
      <c r="AA19" s="30">
        <f t="shared" si="1"/>
        <v>0</v>
      </c>
      <c r="AB19" s="26">
        <f t="shared" si="1"/>
        <v>92425.02</v>
      </c>
      <c r="AC19" s="27">
        <f t="shared" si="1"/>
        <v>96705.11</v>
      </c>
      <c r="AD19" s="28">
        <f>AC19-AB19</f>
        <v>4280.0900000000101</v>
      </c>
      <c r="AH19" s="189" t="s">
        <v>84</v>
      </c>
      <c r="AI19" s="189"/>
      <c r="AJ19" s="189"/>
      <c r="AK19" s="189"/>
      <c r="AL19" s="22">
        <f>SUM(L36:Q36)</f>
        <v>31394.13</v>
      </c>
    </row>
    <row r="20" spans="1:38" ht="18">
      <c r="A20" s="11">
        <v>20</v>
      </c>
      <c r="B20" s="12" t="s">
        <v>43</v>
      </c>
      <c r="C20" s="13">
        <f>1527.91-1000</f>
        <v>527.91</v>
      </c>
      <c r="D20" s="13">
        <f>399.97</f>
        <v>399.97</v>
      </c>
      <c r="E20" s="13"/>
      <c r="F20" s="13"/>
      <c r="G20" s="13"/>
      <c r="H20" s="13"/>
      <c r="I20" s="13"/>
      <c r="J20" s="13"/>
      <c r="K20" s="13">
        <f>880</f>
        <v>880</v>
      </c>
      <c r="L20" s="13"/>
      <c r="M20" s="13"/>
      <c r="N20" s="13"/>
      <c r="O20" s="13"/>
      <c r="P20" s="13"/>
      <c r="Q20" s="13"/>
      <c r="R20" s="13">
        <v>1000</v>
      </c>
      <c r="S20" s="13"/>
      <c r="T20" s="13"/>
      <c r="U20" s="13">
        <v>311</v>
      </c>
      <c r="V20" s="13"/>
      <c r="W20" s="13">
        <f>2000+1000</f>
        <v>3000</v>
      </c>
      <c r="X20" s="13"/>
      <c r="Y20" s="13"/>
      <c r="Z20" s="13"/>
      <c r="AA20" s="14"/>
      <c r="AB20" s="15">
        <f>SUM(C20:AA20)</f>
        <v>6118.88</v>
      </c>
      <c r="AC20" s="16">
        <v>36738.04</v>
      </c>
      <c r="AD20" s="192"/>
      <c r="AH20" s="189" t="s">
        <v>85</v>
      </c>
      <c r="AI20" s="189"/>
      <c r="AJ20" s="189"/>
      <c r="AK20" s="189"/>
      <c r="AL20" s="22">
        <f>W36</f>
        <v>35678.97</v>
      </c>
    </row>
    <row r="21" spans="1:38" ht="18">
      <c r="A21" s="17">
        <v>21</v>
      </c>
      <c r="B21" s="18" t="s">
        <v>44</v>
      </c>
      <c r="C21" s="19"/>
      <c r="D21" s="19">
        <f>231+493.2</f>
        <v>724.2</v>
      </c>
      <c r="E21" s="19"/>
      <c r="F21" s="19">
        <v>104</v>
      </c>
      <c r="G21" s="19"/>
      <c r="H21" s="19"/>
      <c r="I21" s="19">
        <f>170+1740</f>
        <v>1910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>
        <v>243</v>
      </c>
      <c r="V21" s="19"/>
      <c r="W21" s="19"/>
      <c r="X21" s="19"/>
      <c r="Y21" s="19"/>
      <c r="Z21" s="19"/>
      <c r="AA21" s="20"/>
      <c r="AB21" s="15">
        <f>SUM(C21:AA21)</f>
        <v>2981.2</v>
      </c>
      <c r="AC21" s="37">
        <v>10000</v>
      </c>
      <c r="AD21" s="192"/>
      <c r="AF21" s="29"/>
      <c r="AH21" s="189" t="s">
        <v>86</v>
      </c>
      <c r="AI21" s="189"/>
      <c r="AJ21" s="189"/>
      <c r="AK21" s="189"/>
      <c r="AL21" s="22">
        <f>SUM(U36:V36)</f>
        <v>11008.46</v>
      </c>
    </row>
    <row r="22" spans="1:38" ht="18">
      <c r="A22" s="11">
        <v>22</v>
      </c>
      <c r="B22" s="12" t="s">
        <v>45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  <c r="AB22" s="15">
        <f t="shared" ref="AB22:AB34" si="2">SUM(C22:AA22)</f>
        <v>0</v>
      </c>
      <c r="AC22" s="21"/>
      <c r="AD22" s="192"/>
      <c r="AH22" s="189" t="s">
        <v>32</v>
      </c>
      <c r="AI22" s="189"/>
      <c r="AJ22" s="189"/>
      <c r="AK22" s="189"/>
      <c r="AL22" s="22">
        <f>T36</f>
        <v>0</v>
      </c>
    </row>
    <row r="23" spans="1:38" ht="18">
      <c r="A23" s="17">
        <v>23</v>
      </c>
      <c r="B23" s="18" t="s">
        <v>46</v>
      </c>
      <c r="C23" s="19"/>
      <c r="D23" s="19"/>
      <c r="E23" s="19"/>
      <c r="F23" s="19"/>
      <c r="G23" s="19"/>
      <c r="H23" s="19"/>
      <c r="I23" s="19"/>
      <c r="J23" s="19">
        <f>1357+194+197</f>
        <v>1748</v>
      </c>
      <c r="K23" s="19"/>
      <c r="L23" s="19"/>
      <c r="M23" s="19"/>
      <c r="N23" s="19"/>
      <c r="O23" s="19"/>
      <c r="P23" s="19"/>
      <c r="Q23" s="19"/>
      <c r="R23" s="19">
        <f>798.27</f>
        <v>798.27</v>
      </c>
      <c r="S23" s="19"/>
      <c r="T23" s="19"/>
      <c r="U23" s="19"/>
      <c r="V23" s="19">
        <f>1707.5-201.49</f>
        <v>1506.01</v>
      </c>
      <c r="W23" s="19">
        <f>329+2500</f>
        <v>2829</v>
      </c>
      <c r="X23" s="19"/>
      <c r="Y23" s="19"/>
      <c r="Z23" s="19"/>
      <c r="AA23" s="20"/>
      <c r="AB23" s="15">
        <f t="shared" si="2"/>
        <v>6881.28</v>
      </c>
      <c r="AC23" s="21"/>
      <c r="AD23" s="192"/>
      <c r="AH23" s="189" t="s">
        <v>87</v>
      </c>
      <c r="AI23" s="189"/>
      <c r="AJ23" s="189"/>
      <c r="AK23" s="189"/>
      <c r="AL23" s="22">
        <f>X36</f>
        <v>5267.98</v>
      </c>
    </row>
    <row r="24" spans="1:38" ht="15.75">
      <c r="A24" s="11">
        <v>24</v>
      </c>
      <c r="B24" s="12" t="s">
        <v>47</v>
      </c>
      <c r="C24" s="13">
        <v>785.88</v>
      </c>
      <c r="D24" s="13">
        <f>589.98</f>
        <v>589.98</v>
      </c>
      <c r="E24" s="13"/>
      <c r="F24" s="13"/>
      <c r="G24" s="13"/>
      <c r="H24" s="13">
        <v>2450</v>
      </c>
      <c r="I24" s="13"/>
      <c r="J24" s="13"/>
      <c r="K24" s="13">
        <f>1800+196.2</f>
        <v>1996.2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>
        <v>304.63</v>
      </c>
      <c r="W24" s="13"/>
      <c r="X24" s="13"/>
      <c r="Y24" s="13"/>
      <c r="Z24" s="13"/>
      <c r="AA24" s="14"/>
      <c r="AB24" s="15">
        <f t="shared" si="2"/>
        <v>6126.69</v>
      </c>
      <c r="AC24" s="21"/>
      <c r="AD24" s="192"/>
    </row>
    <row r="25" spans="1:38" ht="15.75">
      <c r="A25" s="17">
        <v>25</v>
      </c>
      <c r="B25" s="18" t="s">
        <v>48</v>
      </c>
      <c r="C25" s="19"/>
      <c r="D25" s="19"/>
      <c r="E25" s="19"/>
      <c r="F25" s="19"/>
      <c r="G25" s="19"/>
      <c r="H25" s="19"/>
      <c r="I25" s="19"/>
      <c r="J25" s="19"/>
      <c r="K25" s="19">
        <f>1640+110</f>
        <v>1750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>
        <v>6000</v>
      </c>
      <c r="X25" s="19"/>
      <c r="Y25" s="19"/>
      <c r="Z25" s="19"/>
      <c r="AA25" s="20"/>
      <c r="AB25" s="15">
        <f t="shared" si="2"/>
        <v>7750</v>
      </c>
      <c r="AC25" s="21"/>
      <c r="AD25" s="192"/>
    </row>
    <row r="26" spans="1:38" ht="15.75">
      <c r="A26" s="11">
        <v>26</v>
      </c>
      <c r="B26" s="12" t="s">
        <v>49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>
        <f>249</f>
        <v>249</v>
      </c>
      <c r="O26" s="13"/>
      <c r="P26" s="13"/>
      <c r="Q26" s="13"/>
      <c r="R26" s="13"/>
      <c r="S26" s="13"/>
      <c r="T26" s="13"/>
      <c r="U26" s="13"/>
      <c r="V26" s="13"/>
      <c r="W26" s="13">
        <f>704+500+400</f>
        <v>1604</v>
      </c>
      <c r="X26" s="13">
        <v>950</v>
      </c>
      <c r="Y26" s="13"/>
      <c r="Z26" s="13"/>
      <c r="AA26" s="14"/>
      <c r="AB26" s="15">
        <f t="shared" si="2"/>
        <v>2803</v>
      </c>
      <c r="AC26" s="16"/>
      <c r="AD26" s="192"/>
    </row>
    <row r="27" spans="1:38" ht="15.75">
      <c r="A27" s="17">
        <v>27</v>
      </c>
      <c r="B27" s="18" t="s">
        <v>43</v>
      </c>
      <c r="C27" s="19">
        <v>149.96</v>
      </c>
      <c r="D27" s="19"/>
      <c r="E27" s="19"/>
      <c r="F27" s="19"/>
      <c r="G27" s="19"/>
      <c r="H27" s="19"/>
      <c r="I27" s="19"/>
      <c r="J27" s="19"/>
      <c r="K27" s="19">
        <f>1240</f>
        <v>1240</v>
      </c>
      <c r="L27" s="19"/>
      <c r="M27" s="19"/>
      <c r="N27" s="19"/>
      <c r="O27" s="19"/>
      <c r="P27" s="19"/>
      <c r="Q27" s="19"/>
      <c r="R27" s="19"/>
      <c r="S27" s="19"/>
      <c r="T27" s="19"/>
      <c r="U27" s="19">
        <v>313</v>
      </c>
      <c r="V27" s="19"/>
      <c r="W27" s="19"/>
      <c r="X27" s="19">
        <v>386</v>
      </c>
      <c r="Y27" s="19"/>
      <c r="Z27" s="19"/>
      <c r="AA27" s="20"/>
      <c r="AB27" s="15">
        <f t="shared" si="2"/>
        <v>2088.96</v>
      </c>
      <c r="AC27" s="21"/>
      <c r="AD27" s="192"/>
    </row>
    <row r="28" spans="1:38" ht="15.75">
      <c r="A28" s="11">
        <v>28</v>
      </c>
      <c r="B28" s="12" t="s">
        <v>44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>
        <v>288</v>
      </c>
      <c r="V28" s="13"/>
      <c r="W28" s="13">
        <f>1180</f>
        <v>1180</v>
      </c>
      <c r="X28" s="13"/>
      <c r="Y28" s="13"/>
      <c r="Z28" s="13">
        <v>2000</v>
      </c>
      <c r="AA28" s="14"/>
      <c r="AB28" s="15">
        <f t="shared" si="2"/>
        <v>3468</v>
      </c>
      <c r="AC28" s="21"/>
      <c r="AD28" s="192"/>
    </row>
    <row r="29" spans="1:38" ht="15.75">
      <c r="A29" s="17">
        <v>29</v>
      </c>
      <c r="B29" s="18" t="s">
        <v>45</v>
      </c>
      <c r="C29" s="19">
        <f>705.95</f>
        <v>705.95</v>
      </c>
      <c r="D29" s="19">
        <f>329.99+356.95+143.98</f>
        <v>830.92</v>
      </c>
      <c r="E29" s="19"/>
      <c r="F29" s="19"/>
      <c r="G29" s="19"/>
      <c r="H29" s="19"/>
      <c r="I29" s="19"/>
      <c r="J29" s="19">
        <f>841</f>
        <v>841</v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>
        <f>1580</f>
        <v>1580</v>
      </c>
      <c r="AA29" s="20"/>
      <c r="AB29" s="15">
        <f t="shared" si="2"/>
        <v>3957.87</v>
      </c>
      <c r="AC29" s="21">
        <v>1000</v>
      </c>
      <c r="AD29" s="192"/>
    </row>
    <row r="30" spans="1:38" ht="15.75">
      <c r="A30" s="11">
        <v>30</v>
      </c>
      <c r="B30" s="12" t="s">
        <v>46</v>
      </c>
      <c r="C30" s="13"/>
      <c r="D30" s="13"/>
      <c r="E30" s="13"/>
      <c r="F30" s="13"/>
      <c r="G30" s="13"/>
      <c r="H30" s="13"/>
      <c r="I30" s="13"/>
      <c r="J30" s="13">
        <f>1510</f>
        <v>1510</v>
      </c>
      <c r="K30" s="13"/>
      <c r="L30" s="13"/>
      <c r="M30" s="13"/>
      <c r="N30" s="13">
        <f>799</f>
        <v>799</v>
      </c>
      <c r="O30" s="13"/>
      <c r="P30" s="13"/>
      <c r="Q30" s="13"/>
      <c r="R30" s="13"/>
      <c r="S30" s="13"/>
      <c r="T30" s="13"/>
      <c r="U30" s="13"/>
      <c r="V30" s="13">
        <f>1707.5</f>
        <v>1707.5</v>
      </c>
      <c r="W30" s="13"/>
      <c r="X30" s="13"/>
      <c r="Y30" s="13"/>
      <c r="Z30" s="13"/>
      <c r="AA30" s="14"/>
      <c r="AB30" s="15">
        <f t="shared" si="2"/>
        <v>4016.5</v>
      </c>
      <c r="AC30" s="21"/>
      <c r="AD30" s="192"/>
    </row>
    <row r="31" spans="1:38" ht="15.75">
      <c r="A31" s="17">
        <v>31</v>
      </c>
      <c r="B31" s="18" t="s">
        <v>47</v>
      </c>
      <c r="C31" s="19"/>
      <c r="D31" s="19">
        <v>131.78</v>
      </c>
      <c r="E31" s="19"/>
      <c r="F31" s="19"/>
      <c r="G31" s="19"/>
      <c r="H31" s="19"/>
      <c r="I31" s="19"/>
      <c r="J31" s="19"/>
      <c r="K31" s="19">
        <f>2450+220</f>
        <v>2670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20"/>
      <c r="AB31" s="15">
        <f t="shared" si="2"/>
        <v>2801.78</v>
      </c>
      <c r="AC31" s="21"/>
      <c r="AD31" s="192"/>
    </row>
    <row r="32" spans="1:38" ht="15.75">
      <c r="A32" s="11">
        <v>1</v>
      </c>
      <c r="B32" s="12" t="s">
        <v>48</v>
      </c>
      <c r="C32" s="13"/>
      <c r="D32" s="13"/>
      <c r="E32" s="13"/>
      <c r="F32" s="13">
        <v>396</v>
      </c>
      <c r="G32" s="13"/>
      <c r="H32" s="13"/>
      <c r="I32" s="13"/>
      <c r="J32" s="13"/>
      <c r="K32" s="13">
        <f>1870</f>
        <v>1870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>
        <v>301.11</v>
      </c>
      <c r="W32" s="13">
        <f>320+920</f>
        <v>1240</v>
      </c>
      <c r="X32" s="13"/>
      <c r="Y32" s="13"/>
      <c r="Z32" s="13"/>
      <c r="AA32" s="14"/>
      <c r="AB32" s="15">
        <f t="shared" si="2"/>
        <v>3807.11</v>
      </c>
      <c r="AC32" s="21"/>
      <c r="AD32" s="192"/>
    </row>
    <row r="33" spans="1:30" ht="15.75">
      <c r="A33" s="17">
        <v>2</v>
      </c>
      <c r="B33" s="18" t="s">
        <v>49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>
        <v>399</v>
      </c>
      <c r="O33" s="19"/>
      <c r="P33" s="19"/>
      <c r="Q33" s="19"/>
      <c r="R33" s="19"/>
      <c r="S33" s="19"/>
      <c r="T33" s="19"/>
      <c r="U33" s="19"/>
      <c r="V33" s="19">
        <f>276.44</f>
        <v>276.44</v>
      </c>
      <c r="W33" s="19"/>
      <c r="X33" s="19"/>
      <c r="Y33" s="19"/>
      <c r="Z33" s="19"/>
      <c r="AA33" s="20"/>
      <c r="AB33" s="15">
        <f t="shared" si="2"/>
        <v>675.44</v>
      </c>
      <c r="AC33" s="21"/>
      <c r="AD33" s="192"/>
    </row>
    <row r="34" spans="1:30" ht="15.75">
      <c r="A34" s="11">
        <v>3</v>
      </c>
      <c r="B34" s="12" t="s">
        <v>43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>
        <f>1000+100-500</f>
        <v>600</v>
      </c>
      <c r="X34" s="13"/>
      <c r="Y34" s="13"/>
      <c r="Z34" s="13"/>
      <c r="AA34" s="14"/>
      <c r="AB34" s="15">
        <f t="shared" si="2"/>
        <v>600</v>
      </c>
      <c r="AC34" s="37">
        <v>1000</v>
      </c>
      <c r="AD34" s="192"/>
    </row>
    <row r="35" spans="1:30" ht="14.25" customHeight="1">
      <c r="A35" s="190" t="s">
        <v>55</v>
      </c>
      <c r="B35" s="190"/>
      <c r="C35" s="23">
        <f t="shared" ref="C35:AC35" si="3">SUM(C20:C34)</f>
        <v>2169.6999999999998</v>
      </c>
      <c r="D35" s="23">
        <f t="shared" si="3"/>
        <v>2676.85</v>
      </c>
      <c r="E35" s="23">
        <f t="shared" si="3"/>
        <v>0</v>
      </c>
      <c r="F35" s="23">
        <f t="shared" si="3"/>
        <v>500</v>
      </c>
      <c r="G35" s="23">
        <f t="shared" si="3"/>
        <v>0</v>
      </c>
      <c r="H35" s="23">
        <f t="shared" si="3"/>
        <v>2450</v>
      </c>
      <c r="I35" s="23">
        <f t="shared" si="3"/>
        <v>1910</v>
      </c>
      <c r="J35" s="23">
        <f t="shared" si="3"/>
        <v>4099</v>
      </c>
      <c r="K35" s="23">
        <f t="shared" si="3"/>
        <v>10406.200000000001</v>
      </c>
      <c r="L35" s="24">
        <f t="shared" si="3"/>
        <v>0</v>
      </c>
      <c r="M35" s="24">
        <f t="shared" si="3"/>
        <v>0</v>
      </c>
      <c r="N35" s="24">
        <f t="shared" si="3"/>
        <v>1447</v>
      </c>
      <c r="O35" s="24">
        <f t="shared" si="3"/>
        <v>0</v>
      </c>
      <c r="P35" s="24">
        <f t="shared" si="3"/>
        <v>0</v>
      </c>
      <c r="Q35" s="24">
        <f t="shared" si="3"/>
        <v>0</v>
      </c>
      <c r="R35" s="25">
        <f t="shared" si="3"/>
        <v>1798.27</v>
      </c>
      <c r="S35" s="25">
        <f t="shared" si="3"/>
        <v>0</v>
      </c>
      <c r="T35" s="25">
        <f t="shared" si="3"/>
        <v>0</v>
      </c>
      <c r="U35" s="25">
        <f t="shared" si="3"/>
        <v>1155</v>
      </c>
      <c r="V35" s="25">
        <f t="shared" si="3"/>
        <v>4095.69</v>
      </c>
      <c r="W35" s="25">
        <f t="shared" si="3"/>
        <v>16453</v>
      </c>
      <c r="X35" s="25">
        <f t="shared" si="3"/>
        <v>1336</v>
      </c>
      <c r="Y35" s="25">
        <f t="shared" si="3"/>
        <v>0</v>
      </c>
      <c r="Z35" s="25">
        <f t="shared" si="3"/>
        <v>3580</v>
      </c>
      <c r="AA35" s="30">
        <f t="shared" si="3"/>
        <v>0</v>
      </c>
      <c r="AB35" s="26">
        <f t="shared" si="3"/>
        <v>54076.71</v>
      </c>
      <c r="AC35" s="27">
        <f t="shared" si="3"/>
        <v>48738.04</v>
      </c>
      <c r="AD35" s="28">
        <f>AC35-AB35</f>
        <v>-5338.6700000000101</v>
      </c>
    </row>
    <row r="36" spans="1:30" ht="31.5" customHeight="1">
      <c r="A36" s="191" t="s">
        <v>56</v>
      </c>
      <c r="B36" s="191"/>
      <c r="C36" s="31">
        <f>SUM(C19,C35)</f>
        <v>3573.59</v>
      </c>
      <c r="D36" s="31">
        <f>SUM(D19,D35)</f>
        <v>2774.15</v>
      </c>
      <c r="E36" s="31">
        <f>SUM(E19,E35)</f>
        <v>2510</v>
      </c>
      <c r="F36" s="31">
        <f>SUM(F19,F35)</f>
        <v>2946</v>
      </c>
      <c r="G36" s="31">
        <f>SUM(G19,G35)</f>
        <v>2374</v>
      </c>
      <c r="H36" s="31">
        <f t="shared" ref="H36:R36" si="4">SUM(H19,H35)</f>
        <v>6920</v>
      </c>
      <c r="I36" s="31">
        <f t="shared" si="4"/>
        <v>14025</v>
      </c>
      <c r="J36" s="31">
        <f t="shared" si="4"/>
        <v>9158.98</v>
      </c>
      <c r="K36" s="31">
        <f t="shared" si="4"/>
        <v>12686.2</v>
      </c>
      <c r="L36" s="31">
        <f t="shared" si="4"/>
        <v>10858.13</v>
      </c>
      <c r="M36" s="31">
        <f t="shared" si="4"/>
        <v>0</v>
      </c>
      <c r="N36" s="31">
        <f t="shared" si="4"/>
        <v>4336</v>
      </c>
      <c r="O36" s="31">
        <f t="shared" si="4"/>
        <v>200</v>
      </c>
      <c r="P36" s="31">
        <f t="shared" si="4"/>
        <v>12000</v>
      </c>
      <c r="Q36" s="31">
        <f t="shared" si="4"/>
        <v>4000</v>
      </c>
      <c r="R36" s="31">
        <f t="shared" si="4"/>
        <v>1798.27</v>
      </c>
      <c r="S36" s="31"/>
      <c r="T36" s="31">
        <f t="shared" ref="T36:AD36" si="5">SUM(T19,T35)</f>
        <v>0</v>
      </c>
      <c r="U36" s="31">
        <f t="shared" si="5"/>
        <v>4111</v>
      </c>
      <c r="V36" s="31">
        <f t="shared" si="5"/>
        <v>6897.46</v>
      </c>
      <c r="W36" s="31">
        <f t="shared" si="5"/>
        <v>35678.97</v>
      </c>
      <c r="X36" s="31">
        <f t="shared" si="5"/>
        <v>5267.98</v>
      </c>
      <c r="Y36" s="31">
        <f t="shared" si="5"/>
        <v>0</v>
      </c>
      <c r="Z36" s="31">
        <f t="shared" si="5"/>
        <v>4386</v>
      </c>
      <c r="AA36" s="32">
        <f t="shared" si="5"/>
        <v>0</v>
      </c>
      <c r="AB36" s="33">
        <f t="shared" si="5"/>
        <v>146501.73000000001</v>
      </c>
      <c r="AC36" s="34">
        <f t="shared" si="5"/>
        <v>145443.15</v>
      </c>
      <c r="AD36" s="35">
        <f t="shared" si="5"/>
        <v>-1058.5799999999899</v>
      </c>
    </row>
    <row r="40" spans="1:30"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</row>
  </sheetData>
  <mergeCells count="22">
    <mergeCell ref="A1:AD1"/>
    <mergeCell ref="A2:B2"/>
    <mergeCell ref="C2:K2"/>
    <mergeCell ref="L2:Q2"/>
    <mergeCell ref="R2:AA2"/>
    <mergeCell ref="AB2:AD2"/>
    <mergeCell ref="AH23:AK23"/>
    <mergeCell ref="A35:B35"/>
    <mergeCell ref="A36:B36"/>
    <mergeCell ref="AD4:AD18"/>
    <mergeCell ref="AD20:AD34"/>
    <mergeCell ref="AH11:AL13"/>
    <mergeCell ref="A19:B19"/>
    <mergeCell ref="AH19:AK19"/>
    <mergeCell ref="AH20:AK20"/>
    <mergeCell ref="AH21:AK21"/>
    <mergeCell ref="AH22:AK22"/>
    <mergeCell ref="AH14:AK14"/>
    <mergeCell ref="AH15:AK15"/>
    <mergeCell ref="AH16:AK16"/>
    <mergeCell ref="AH17:AK17"/>
    <mergeCell ref="AH18:AK18"/>
  </mergeCells>
  <pageMargins left="0.7" right="0.7" top="0.75" bottom="0.75" header="0.3" footer="0.3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41"/>
  <sheetViews>
    <sheetView zoomScale="70" zoomScaleNormal="70" workbookViewId="0">
      <pane xSplit="2" ySplit="37" topLeftCell="C38" activePane="bottomRight" state="frozen"/>
      <selection pane="topRight"/>
      <selection pane="bottomLeft"/>
      <selection pane="bottomRight" activeCell="AB32" sqref="AB32:AB35"/>
    </sheetView>
  </sheetViews>
  <sheetFormatPr defaultColWidth="9.140625" defaultRowHeight="15"/>
  <cols>
    <col min="1" max="30" width="20.7109375" style="1" customWidth="1"/>
    <col min="31" max="37" width="12.7109375" style="1" customWidth="1"/>
    <col min="38" max="38" width="19" style="1" customWidth="1"/>
    <col min="39" max="42" width="12.7109375" style="1" customWidth="1"/>
    <col min="43" max="16384" width="9.140625" style="1"/>
  </cols>
  <sheetData>
    <row r="1" spans="1:52" ht="34.5" customHeight="1">
      <c r="A1" s="194" t="s">
        <v>88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</row>
    <row r="2" spans="1:52" ht="26.25">
      <c r="A2" s="195"/>
      <c r="B2" s="196"/>
      <c r="C2" s="197" t="s">
        <v>67</v>
      </c>
      <c r="D2" s="197"/>
      <c r="E2" s="197"/>
      <c r="F2" s="197"/>
      <c r="G2" s="197"/>
      <c r="H2" s="197"/>
      <c r="I2" s="197"/>
      <c r="J2" s="197"/>
      <c r="K2" s="197"/>
      <c r="L2" s="198" t="s">
        <v>68</v>
      </c>
      <c r="M2" s="198"/>
      <c r="N2" s="198"/>
      <c r="O2" s="198"/>
      <c r="P2" s="198"/>
      <c r="Q2" s="198"/>
      <c r="R2" s="199" t="s">
        <v>69</v>
      </c>
      <c r="S2" s="199"/>
      <c r="T2" s="199"/>
      <c r="U2" s="199"/>
      <c r="V2" s="199"/>
      <c r="W2" s="199"/>
      <c r="X2" s="199"/>
      <c r="Y2" s="199"/>
      <c r="Z2" s="199"/>
      <c r="AA2" s="199"/>
      <c r="AB2" s="200" t="s">
        <v>70</v>
      </c>
      <c r="AC2" s="200"/>
      <c r="AD2" s="200"/>
    </row>
    <row r="3" spans="1:52" ht="45" customHeight="1">
      <c r="A3" s="2" t="s">
        <v>21</v>
      </c>
      <c r="B3" s="2" t="s">
        <v>22</v>
      </c>
      <c r="C3" s="3" t="s">
        <v>71</v>
      </c>
      <c r="D3" s="3" t="s">
        <v>89</v>
      </c>
      <c r="E3" s="3" t="s">
        <v>90</v>
      </c>
      <c r="F3" s="3" t="s">
        <v>25</v>
      </c>
      <c r="G3" s="3" t="s">
        <v>74</v>
      </c>
      <c r="H3" s="3" t="s">
        <v>75</v>
      </c>
      <c r="I3" s="3" t="s">
        <v>76</v>
      </c>
      <c r="J3" s="3" t="s">
        <v>77</v>
      </c>
      <c r="K3" s="3" t="s">
        <v>78</v>
      </c>
      <c r="L3" s="4" t="s">
        <v>30</v>
      </c>
      <c r="M3" s="4" t="s">
        <v>33</v>
      </c>
      <c r="N3" s="4" t="s">
        <v>79</v>
      </c>
      <c r="O3" s="4" t="s">
        <v>39</v>
      </c>
      <c r="P3" s="4" t="s">
        <v>39</v>
      </c>
      <c r="Q3" s="4" t="s">
        <v>80</v>
      </c>
      <c r="R3" s="5" t="s">
        <v>28</v>
      </c>
      <c r="S3" s="5" t="s">
        <v>31</v>
      </c>
      <c r="T3" s="5" t="s">
        <v>32</v>
      </c>
      <c r="U3" s="5" t="s">
        <v>34</v>
      </c>
      <c r="V3" s="5" t="s">
        <v>35</v>
      </c>
      <c r="W3" s="5" t="s">
        <v>36</v>
      </c>
      <c r="X3" s="5" t="s">
        <v>81</v>
      </c>
      <c r="Y3" s="5" t="s">
        <v>81</v>
      </c>
      <c r="Z3" s="5" t="s">
        <v>82</v>
      </c>
      <c r="AA3" s="6" t="s">
        <v>40</v>
      </c>
      <c r="AB3" s="7" t="s">
        <v>41</v>
      </c>
      <c r="AC3" s="8" t="s">
        <v>42</v>
      </c>
      <c r="AD3" s="206" t="s">
        <v>5</v>
      </c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</row>
    <row r="4" spans="1:52" ht="15.75">
      <c r="A4" s="11">
        <v>4</v>
      </c>
      <c r="B4" s="12" t="s">
        <v>44</v>
      </c>
      <c r="C4" s="13"/>
      <c r="D4" s="13">
        <v>45.99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>
        <v>750</v>
      </c>
      <c r="Y4" s="13">
        <v>300</v>
      </c>
      <c r="Z4" s="13">
        <f>3022</f>
        <v>3022</v>
      </c>
      <c r="AA4" s="14"/>
      <c r="AB4" s="15">
        <f>SUM(C4:AA4)</f>
        <v>4117.99</v>
      </c>
      <c r="AC4" s="166">
        <f>66577.47+18817</f>
        <v>85394.47</v>
      </c>
      <c r="AD4" s="192"/>
    </row>
    <row r="5" spans="1:52" ht="15.75">
      <c r="A5" s="17">
        <v>5</v>
      </c>
      <c r="B5" s="18" t="s">
        <v>45</v>
      </c>
      <c r="C5" s="19"/>
      <c r="D5" s="19"/>
      <c r="E5" s="19"/>
      <c r="F5" s="19"/>
      <c r="G5" s="19"/>
      <c r="H5" s="19">
        <f>2730</f>
        <v>2730</v>
      </c>
      <c r="I5" s="19"/>
      <c r="J5" s="19">
        <v>2005</v>
      </c>
      <c r="K5" s="19"/>
      <c r="L5" s="19"/>
      <c r="M5" s="19">
        <f>350+500</f>
        <v>850</v>
      </c>
      <c r="N5" s="19">
        <v>199</v>
      </c>
      <c r="O5" s="19"/>
      <c r="P5" s="19"/>
      <c r="Q5" s="19"/>
      <c r="R5" s="19"/>
      <c r="S5" s="19"/>
      <c r="T5" s="19"/>
      <c r="U5" s="19">
        <f>236+297</f>
        <v>533</v>
      </c>
      <c r="V5" s="19"/>
      <c r="W5" s="19"/>
      <c r="X5" s="19">
        <f>799</f>
        <v>799</v>
      </c>
      <c r="Y5" s="19"/>
      <c r="Z5" s="19"/>
      <c r="AA5" s="20"/>
      <c r="AB5" s="15">
        <f>SUM(C5:AA5)</f>
        <v>7116</v>
      </c>
      <c r="AC5" s="168"/>
      <c r="AD5" s="192"/>
    </row>
    <row r="6" spans="1:52" ht="15.75">
      <c r="A6" s="11">
        <v>6</v>
      </c>
      <c r="B6" s="12" t="s">
        <v>46</v>
      </c>
      <c r="C6" s="13"/>
      <c r="D6" s="13"/>
      <c r="E6" s="13"/>
      <c r="F6" s="13"/>
      <c r="G6" s="13"/>
      <c r="H6" s="13"/>
      <c r="I6" s="13">
        <f>2230</f>
        <v>2230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>
        <f>9219</f>
        <v>9219</v>
      </c>
      <c r="U6" s="13"/>
      <c r="V6" s="13"/>
      <c r="W6" s="13">
        <f>5697</f>
        <v>5697</v>
      </c>
      <c r="X6" s="13"/>
      <c r="Y6" s="13"/>
      <c r="Z6" s="13"/>
      <c r="AA6" s="14"/>
      <c r="AB6" s="15">
        <f t="shared" ref="AB6:AB16" si="0">SUM(C6:AA6)</f>
        <v>17146</v>
      </c>
      <c r="AC6" s="168"/>
      <c r="AD6" s="192"/>
    </row>
    <row r="7" spans="1:52" ht="15.75">
      <c r="A7" s="17">
        <v>7</v>
      </c>
      <c r="B7" s="18" t="s">
        <v>47</v>
      </c>
      <c r="C7" s="19">
        <v>129.99</v>
      </c>
      <c r="D7" s="19">
        <f>799.99</f>
        <v>799.99</v>
      </c>
      <c r="E7" s="19"/>
      <c r="F7" s="19"/>
      <c r="G7" s="19"/>
      <c r="H7" s="19"/>
      <c r="I7" s="19"/>
      <c r="J7" s="19"/>
      <c r="K7" s="19">
        <f>1770</f>
        <v>1770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>
        <v>339.88</v>
      </c>
      <c r="W7" s="19">
        <f>607</f>
        <v>607</v>
      </c>
      <c r="X7" s="19">
        <v>2000</v>
      </c>
      <c r="Y7" s="19">
        <f>559.98</f>
        <v>559.98</v>
      </c>
      <c r="Z7" s="19"/>
      <c r="AA7" s="20"/>
      <c r="AB7" s="15">
        <f t="shared" si="0"/>
        <v>6206.84</v>
      </c>
      <c r="AC7" s="168"/>
      <c r="AD7" s="192"/>
    </row>
    <row r="8" spans="1:52" ht="15" customHeight="1">
      <c r="A8" s="11">
        <v>8</v>
      </c>
      <c r="B8" s="12" t="s">
        <v>48</v>
      </c>
      <c r="C8" s="13"/>
      <c r="D8" s="13">
        <f>318</f>
        <v>318</v>
      </c>
      <c r="E8" s="13"/>
      <c r="F8" s="13">
        <f>2881+306</f>
        <v>3187</v>
      </c>
      <c r="G8" s="13"/>
      <c r="H8" s="13">
        <v>310</v>
      </c>
      <c r="I8" s="13"/>
      <c r="J8" s="13"/>
      <c r="K8" s="13">
        <f>2240</f>
        <v>2240</v>
      </c>
      <c r="L8" s="13"/>
      <c r="M8" s="13">
        <f>1049</f>
        <v>1049</v>
      </c>
      <c r="N8" s="13"/>
      <c r="O8" s="13">
        <f>500</f>
        <v>500</v>
      </c>
      <c r="P8" s="13"/>
      <c r="Q8" s="13"/>
      <c r="R8" s="13"/>
      <c r="S8" s="13"/>
      <c r="T8" s="13"/>
      <c r="U8" s="13"/>
      <c r="V8" s="13"/>
      <c r="W8" s="13">
        <f>600</f>
        <v>600</v>
      </c>
      <c r="X8" s="13"/>
      <c r="Y8" s="13"/>
      <c r="Z8" s="13"/>
      <c r="AA8" s="14"/>
      <c r="AB8" s="15">
        <f t="shared" si="0"/>
        <v>8204</v>
      </c>
      <c r="AC8" s="168"/>
      <c r="AD8" s="192"/>
    </row>
    <row r="9" spans="1:52" ht="15.75">
      <c r="A9" s="17">
        <v>9</v>
      </c>
      <c r="B9" s="18" t="s">
        <v>49</v>
      </c>
      <c r="C9" s="19"/>
      <c r="D9" s="19"/>
      <c r="E9" s="19"/>
      <c r="F9" s="19"/>
      <c r="G9" s="19">
        <f>1745</f>
        <v>1745</v>
      </c>
      <c r="H9" s="19"/>
      <c r="I9" s="19"/>
      <c r="J9" s="19"/>
      <c r="K9" s="19">
        <v>2480</v>
      </c>
      <c r="L9" s="19"/>
      <c r="M9" s="19"/>
      <c r="N9" s="19"/>
      <c r="O9" s="19"/>
      <c r="P9" s="19"/>
      <c r="Q9" s="19"/>
      <c r="R9" s="19"/>
      <c r="S9" s="19"/>
      <c r="T9" s="19"/>
      <c r="U9" s="19">
        <v>306</v>
      </c>
      <c r="V9" s="19"/>
      <c r="W9" s="19">
        <f>3745</f>
        <v>3745</v>
      </c>
      <c r="X9" s="19"/>
      <c r="Y9" s="19"/>
      <c r="Z9" s="19"/>
      <c r="AA9" s="20"/>
      <c r="AB9" s="15">
        <f t="shared" si="0"/>
        <v>8276</v>
      </c>
      <c r="AC9" s="168"/>
      <c r="AD9" s="192"/>
    </row>
    <row r="10" spans="1:52" ht="15.75">
      <c r="A10" s="11">
        <v>10</v>
      </c>
      <c r="B10" s="12" t="s">
        <v>43</v>
      </c>
      <c r="C10" s="13"/>
      <c r="D10" s="13"/>
      <c r="E10" s="13"/>
      <c r="F10" s="13">
        <f>89+367</f>
        <v>456</v>
      </c>
      <c r="G10" s="13"/>
      <c r="H10" s="13"/>
      <c r="I10" s="13"/>
      <c r="J10" s="13"/>
      <c r="K10" s="13"/>
      <c r="L10" s="13"/>
      <c r="M10" s="13"/>
      <c r="N10" s="13">
        <v>700</v>
      </c>
      <c r="O10" s="13"/>
      <c r="P10" s="13"/>
      <c r="Q10" s="13"/>
      <c r="R10" s="13"/>
      <c r="S10" s="13"/>
      <c r="T10" s="13"/>
      <c r="U10" s="13">
        <v>269</v>
      </c>
      <c r="V10" s="13"/>
      <c r="W10" s="13"/>
      <c r="X10" s="13"/>
      <c r="Y10" s="13"/>
      <c r="Z10" s="13"/>
      <c r="AA10" s="14"/>
      <c r="AB10" s="15">
        <f t="shared" si="0"/>
        <v>1425</v>
      </c>
      <c r="AC10" s="168">
        <v>28225.5</v>
      </c>
      <c r="AD10" s="192"/>
    </row>
    <row r="11" spans="1:52" ht="15.75">
      <c r="A11" s="17">
        <v>11</v>
      </c>
      <c r="B11" s="18" t="s">
        <v>44</v>
      </c>
      <c r="C11" s="19"/>
      <c r="D11" s="19"/>
      <c r="E11" s="19"/>
      <c r="F11" s="19">
        <v>681</v>
      </c>
      <c r="G11" s="19"/>
      <c r="H11" s="19"/>
      <c r="I11" s="19"/>
      <c r="J11" s="19"/>
      <c r="K11" s="19">
        <f>1920+590</f>
        <v>2510</v>
      </c>
      <c r="L11" s="19"/>
      <c r="M11" s="19"/>
      <c r="N11" s="19">
        <v>300</v>
      </c>
      <c r="O11" s="19"/>
      <c r="P11" s="19"/>
      <c r="Q11" s="19"/>
      <c r="R11" s="19"/>
      <c r="S11" s="19"/>
      <c r="T11" s="19"/>
      <c r="U11" s="19"/>
      <c r="V11" s="19">
        <v>147.53</v>
      </c>
      <c r="W11" s="19"/>
      <c r="X11" s="19"/>
      <c r="Y11" s="19"/>
      <c r="Z11" s="19">
        <v>2000</v>
      </c>
      <c r="AA11" s="20"/>
      <c r="AB11" s="15">
        <f t="shared" si="0"/>
        <v>5638.53</v>
      </c>
      <c r="AC11" s="168"/>
      <c r="AD11" s="192"/>
      <c r="AH11" s="193" t="s">
        <v>83</v>
      </c>
      <c r="AI11" s="193"/>
      <c r="AJ11" s="193"/>
      <c r="AK11" s="193"/>
      <c r="AL11" s="193"/>
    </row>
    <row r="12" spans="1:52" ht="15.75">
      <c r="A12" s="11">
        <v>12</v>
      </c>
      <c r="B12" s="12" t="s">
        <v>45</v>
      </c>
      <c r="C12" s="13"/>
      <c r="D12" s="13"/>
      <c r="E12" s="13"/>
      <c r="F12" s="13"/>
      <c r="G12" s="13"/>
      <c r="H12" s="13"/>
      <c r="I12" s="13"/>
      <c r="J12" s="13">
        <f>1560</f>
        <v>1560</v>
      </c>
      <c r="K12" s="13"/>
      <c r="L12" s="13"/>
      <c r="M12" s="13"/>
      <c r="N12" s="13"/>
      <c r="O12" s="13"/>
      <c r="P12" s="13"/>
      <c r="Q12" s="13">
        <f>20000</f>
        <v>20000</v>
      </c>
      <c r="R12" s="13"/>
      <c r="S12" s="13"/>
      <c r="T12" s="13">
        <f>1800+975+2280+5116</f>
        <v>10171</v>
      </c>
      <c r="U12" s="13">
        <f>343+301</f>
        <v>644</v>
      </c>
      <c r="V12" s="13"/>
      <c r="W12" s="13"/>
      <c r="X12" s="13">
        <f>990</f>
        <v>990</v>
      </c>
      <c r="Y12" s="13"/>
      <c r="Z12" s="13"/>
      <c r="AA12" s="14"/>
      <c r="AB12" s="15">
        <f t="shared" si="0"/>
        <v>33365</v>
      </c>
      <c r="AC12" s="168"/>
      <c r="AD12" s="192"/>
      <c r="AH12" s="193"/>
      <c r="AI12" s="193"/>
      <c r="AJ12" s="193"/>
      <c r="AK12" s="193"/>
      <c r="AL12" s="193"/>
    </row>
    <row r="13" spans="1:52" ht="15.75">
      <c r="A13" s="17">
        <v>13</v>
      </c>
      <c r="B13" s="18" t="s">
        <v>46</v>
      </c>
      <c r="C13" s="19"/>
      <c r="D13" s="19"/>
      <c r="E13" s="19">
        <v>500.98</v>
      </c>
      <c r="F13" s="19">
        <f>2775</f>
        <v>2775</v>
      </c>
      <c r="G13" s="19"/>
      <c r="H13" s="19"/>
      <c r="I13" s="19">
        <v>1425</v>
      </c>
      <c r="J13" s="19">
        <f>589.99+189.99</f>
        <v>779.98</v>
      </c>
      <c r="K13" s="19"/>
      <c r="L13" s="19"/>
      <c r="M13" s="19"/>
      <c r="N13" s="19"/>
      <c r="O13" s="19"/>
      <c r="P13" s="19"/>
      <c r="Q13" s="19"/>
      <c r="R13" s="19">
        <f>1140</f>
        <v>1140</v>
      </c>
      <c r="S13" s="19"/>
      <c r="T13" s="19"/>
      <c r="U13" s="19">
        <f>235</f>
        <v>235</v>
      </c>
      <c r="V13" s="19"/>
      <c r="W13" s="19">
        <f>2690+1420</f>
        <v>4110</v>
      </c>
      <c r="X13" s="19"/>
      <c r="Y13" s="19"/>
      <c r="Z13" s="19"/>
      <c r="AA13" s="20"/>
      <c r="AB13" s="15">
        <f t="shared" si="0"/>
        <v>10965.96</v>
      </c>
      <c r="AC13" s="168"/>
      <c r="AD13" s="192"/>
      <c r="AH13" s="193"/>
      <c r="AI13" s="193"/>
      <c r="AJ13" s="193"/>
      <c r="AK13" s="193"/>
      <c r="AL13" s="193"/>
    </row>
    <row r="14" spans="1:52" ht="18">
      <c r="A14" s="11">
        <v>14</v>
      </c>
      <c r="B14" s="12" t="s">
        <v>47</v>
      </c>
      <c r="C14" s="13"/>
      <c r="D14" s="13"/>
      <c r="E14" s="13"/>
      <c r="F14" s="13">
        <f>836</f>
        <v>836</v>
      </c>
      <c r="G14" s="13">
        <f>488</f>
        <v>488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>
        <f>290.53</f>
        <v>290.52999999999997</v>
      </c>
      <c r="W14" s="13"/>
      <c r="X14" s="13"/>
      <c r="Y14" s="13"/>
      <c r="Z14" s="13"/>
      <c r="AA14" s="14"/>
      <c r="AB14" s="15">
        <f t="shared" si="0"/>
        <v>1614.53</v>
      </c>
      <c r="AC14" s="168"/>
      <c r="AD14" s="192"/>
      <c r="AH14" s="189" t="s">
        <v>62</v>
      </c>
      <c r="AI14" s="189"/>
      <c r="AJ14" s="189"/>
      <c r="AK14" s="189"/>
      <c r="AL14" s="22">
        <f>AC4+AC19+AC23+AC10</f>
        <v>287751.42</v>
      </c>
    </row>
    <row r="15" spans="1:52" ht="18">
      <c r="A15" s="17">
        <v>15</v>
      </c>
      <c r="B15" s="18" t="s">
        <v>48</v>
      </c>
      <c r="C15" s="19"/>
      <c r="D15" s="19"/>
      <c r="E15" s="19"/>
      <c r="F15" s="19"/>
      <c r="G15" s="19"/>
      <c r="H15" s="19"/>
      <c r="I15" s="19">
        <f>1200</f>
        <v>1200</v>
      </c>
      <c r="J15" s="19">
        <f>1378</f>
        <v>1378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>
        <f>383</f>
        <v>383</v>
      </c>
      <c r="V15" s="19">
        <f>1999.82</f>
        <v>1999.82</v>
      </c>
      <c r="W15" s="19">
        <f>2000</f>
        <v>2000</v>
      </c>
      <c r="X15" s="19"/>
      <c r="Y15" s="19"/>
      <c r="Z15" s="19"/>
      <c r="AA15" s="20"/>
      <c r="AB15" s="15">
        <f t="shared" si="0"/>
        <v>6960.82</v>
      </c>
      <c r="AC15" s="166"/>
      <c r="AD15" s="192"/>
      <c r="AH15" s="189" t="s">
        <v>2</v>
      </c>
      <c r="AI15" s="189"/>
      <c r="AJ15" s="189"/>
      <c r="AK15" s="189"/>
      <c r="AL15" s="22">
        <f>AC20</f>
        <v>1000</v>
      </c>
    </row>
    <row r="16" spans="1:52" ht="18">
      <c r="A16" s="11">
        <v>16</v>
      </c>
      <c r="B16" s="12" t="s">
        <v>49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>
        <f>700</f>
        <v>700</v>
      </c>
      <c r="O16" s="13"/>
      <c r="P16" s="13"/>
      <c r="Q16" s="13"/>
      <c r="R16" s="13"/>
      <c r="S16" s="13"/>
      <c r="T16" s="13"/>
      <c r="U16" s="13"/>
      <c r="V16" s="13">
        <f>281.97</f>
        <v>281.97000000000003</v>
      </c>
      <c r="W16" s="13">
        <f>2500</f>
        <v>2500</v>
      </c>
      <c r="X16" s="13"/>
      <c r="Y16" s="13"/>
      <c r="Z16" s="13"/>
      <c r="AA16" s="14"/>
      <c r="AB16" s="15">
        <f t="shared" si="0"/>
        <v>3481.97</v>
      </c>
      <c r="AC16" s="170">
        <v>5000</v>
      </c>
      <c r="AD16" s="192"/>
      <c r="AH16" s="189" t="s">
        <v>63</v>
      </c>
      <c r="AI16" s="189"/>
      <c r="AJ16" s="189"/>
      <c r="AK16" s="189"/>
      <c r="AL16" s="22">
        <f>AC16+AC28+AC34+AC35</f>
        <v>60000</v>
      </c>
    </row>
    <row r="17" spans="1:38" ht="18">
      <c r="A17" s="17">
        <v>17</v>
      </c>
      <c r="B17" s="18" t="s">
        <v>43</v>
      </c>
      <c r="C17" s="19"/>
      <c r="D17" s="19"/>
      <c r="E17" s="19"/>
      <c r="F17" s="19"/>
      <c r="G17" s="19"/>
      <c r="H17" s="19">
        <f>1586</f>
        <v>1586</v>
      </c>
      <c r="I17" s="19"/>
      <c r="J17" s="19"/>
      <c r="K17" s="19"/>
      <c r="L17" s="19"/>
      <c r="M17" s="19">
        <f>1417</f>
        <v>1417</v>
      </c>
      <c r="N17" s="19">
        <f>499</f>
        <v>499</v>
      </c>
      <c r="O17" s="19"/>
      <c r="P17" s="19"/>
      <c r="Q17" s="19">
        <f>500</f>
        <v>500</v>
      </c>
      <c r="R17" s="19"/>
      <c r="S17" s="19"/>
      <c r="T17" s="19"/>
      <c r="U17" s="19"/>
      <c r="V17" s="19"/>
      <c r="W17" s="19">
        <f>1000</f>
        <v>1000</v>
      </c>
      <c r="X17" s="19"/>
      <c r="Y17" s="19"/>
      <c r="Z17" s="19"/>
      <c r="AA17" s="20"/>
      <c r="AB17" s="15">
        <f>SUM(C17:AA17)</f>
        <v>5002</v>
      </c>
      <c r="AC17" s="166"/>
      <c r="AD17" s="192"/>
      <c r="AH17" s="201" t="s">
        <v>67</v>
      </c>
      <c r="AI17" s="202"/>
      <c r="AJ17" s="202"/>
      <c r="AK17" s="203"/>
      <c r="AL17" s="22">
        <f>SUM(C37:K37)</f>
        <v>121331.08</v>
      </c>
    </row>
    <row r="18" spans="1:38" ht="19.5" customHeight="1">
      <c r="A18" s="205" t="s">
        <v>54</v>
      </c>
      <c r="B18" s="205"/>
      <c r="C18" s="23">
        <f>SUM(C4:C17)</f>
        <v>129.99</v>
      </c>
      <c r="D18" s="23">
        <f t="shared" ref="D18:K18" si="1">SUM(D4:D17)</f>
        <v>1163.98</v>
      </c>
      <c r="E18" s="23">
        <f t="shared" si="1"/>
        <v>500.98</v>
      </c>
      <c r="F18" s="23">
        <f t="shared" si="1"/>
        <v>7935</v>
      </c>
      <c r="G18" s="23">
        <f t="shared" si="1"/>
        <v>2233</v>
      </c>
      <c r="H18" s="23">
        <f t="shared" si="1"/>
        <v>4626</v>
      </c>
      <c r="I18" s="23">
        <f t="shared" si="1"/>
        <v>4855</v>
      </c>
      <c r="J18" s="23">
        <f t="shared" si="1"/>
        <v>5722.98</v>
      </c>
      <c r="K18" s="23">
        <f t="shared" si="1"/>
        <v>9000</v>
      </c>
      <c r="L18" s="24">
        <f t="shared" ref="L18:Q18" si="2">SUM(L5:L17)</f>
        <v>0</v>
      </c>
      <c r="M18" s="24">
        <f t="shared" si="2"/>
        <v>3316</v>
      </c>
      <c r="N18" s="24">
        <f t="shared" si="2"/>
        <v>2398</v>
      </c>
      <c r="O18" s="24">
        <f t="shared" si="2"/>
        <v>500</v>
      </c>
      <c r="P18" s="24">
        <f t="shared" si="2"/>
        <v>0</v>
      </c>
      <c r="Q18" s="24">
        <f t="shared" si="2"/>
        <v>20500</v>
      </c>
      <c r="R18" s="25">
        <f>SUM(R4:R17)</f>
        <v>1140</v>
      </c>
      <c r="S18" s="25">
        <f t="shared" ref="S18:AC18" si="3">SUM(S4:S17)</f>
        <v>0</v>
      </c>
      <c r="T18" s="25">
        <f t="shared" si="3"/>
        <v>19390</v>
      </c>
      <c r="U18" s="25">
        <f t="shared" si="3"/>
        <v>2370</v>
      </c>
      <c r="V18" s="25">
        <f t="shared" si="3"/>
        <v>3059.73</v>
      </c>
      <c r="W18" s="25">
        <f t="shared" si="3"/>
        <v>20259</v>
      </c>
      <c r="X18" s="25">
        <f t="shared" si="3"/>
        <v>4539</v>
      </c>
      <c r="Y18" s="25">
        <f t="shared" si="3"/>
        <v>859.98</v>
      </c>
      <c r="Z18" s="25">
        <f t="shared" si="3"/>
        <v>5022</v>
      </c>
      <c r="AA18" s="25">
        <f t="shared" si="3"/>
        <v>0</v>
      </c>
      <c r="AB18" s="26">
        <f>SUM(AB4:AB17)</f>
        <v>119520.64000000001</v>
      </c>
      <c r="AC18" s="27">
        <f t="shared" si="3"/>
        <v>118619.97</v>
      </c>
      <c r="AD18" s="167">
        <f>AC18-AB18</f>
        <v>-900.67000000001281</v>
      </c>
      <c r="AH18" s="189" t="s">
        <v>84</v>
      </c>
      <c r="AI18" s="189"/>
      <c r="AJ18" s="189"/>
      <c r="AK18" s="189"/>
      <c r="AL18" s="22">
        <f>SUM(L37:Q37)</f>
        <v>35695</v>
      </c>
    </row>
    <row r="19" spans="1:38" ht="18">
      <c r="A19" s="11">
        <v>18</v>
      </c>
      <c r="B19" s="12" t="s">
        <v>44</v>
      </c>
      <c r="C19" s="13"/>
      <c r="D19" s="13"/>
      <c r="E19" s="13"/>
      <c r="F19" s="13"/>
      <c r="G19" s="13"/>
      <c r="H19" s="13"/>
      <c r="I19" s="13">
        <f>3390+300</f>
        <v>3690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>
        <f>275+307</f>
        <v>582</v>
      </c>
      <c r="V19" s="13"/>
      <c r="W19" s="13"/>
      <c r="X19" s="13">
        <f>999</f>
        <v>999</v>
      </c>
      <c r="Y19" s="13"/>
      <c r="Z19" s="13"/>
      <c r="AA19" s="14"/>
      <c r="AB19" s="15">
        <f>SUM(C19:AA19)</f>
        <v>5271</v>
      </c>
      <c r="AC19" s="16">
        <v>38575.449999999997</v>
      </c>
      <c r="AD19" s="192"/>
      <c r="AH19" s="189" t="s">
        <v>85</v>
      </c>
      <c r="AI19" s="189"/>
      <c r="AJ19" s="189"/>
      <c r="AK19" s="189"/>
      <c r="AL19" s="22">
        <f>W37</f>
        <v>38934</v>
      </c>
    </row>
    <row r="20" spans="1:38" ht="18">
      <c r="A20" s="17">
        <v>19</v>
      </c>
      <c r="B20" s="18" t="s">
        <v>45</v>
      </c>
      <c r="C20" s="19"/>
      <c r="D20" s="19"/>
      <c r="E20" s="19"/>
      <c r="F20" s="19">
        <f>3104.71</f>
        <v>3104.71</v>
      </c>
      <c r="G20" s="19"/>
      <c r="H20" s="19"/>
      <c r="I20" s="19">
        <f>1600+220+2320</f>
        <v>4140</v>
      </c>
      <c r="J20" s="19"/>
      <c r="K20" s="19"/>
      <c r="L20" s="19"/>
      <c r="M20" s="19">
        <f>2000</f>
        <v>2000</v>
      </c>
      <c r="N20" s="19"/>
      <c r="O20" s="19"/>
      <c r="P20" s="19"/>
      <c r="Q20" s="19"/>
      <c r="R20" s="19"/>
      <c r="S20" s="19"/>
      <c r="T20" s="19"/>
      <c r="U20" s="19"/>
      <c r="V20" s="19"/>
      <c r="W20" s="19">
        <f>1010</f>
        <v>1010</v>
      </c>
      <c r="X20" s="19"/>
      <c r="Y20" s="19"/>
      <c r="Z20" s="19"/>
      <c r="AA20" s="20"/>
      <c r="AB20" s="15">
        <f>SUM(C20:AA20)</f>
        <v>10254.709999999999</v>
      </c>
      <c r="AC20" s="21">
        <v>1000</v>
      </c>
      <c r="AD20" s="192"/>
      <c r="AF20" s="29"/>
      <c r="AH20" s="189" t="s">
        <v>86</v>
      </c>
      <c r="AI20" s="189"/>
      <c r="AJ20" s="189"/>
      <c r="AK20" s="189"/>
      <c r="AL20" s="22">
        <f>SUM(U37:V37)</f>
        <v>15264.08</v>
      </c>
    </row>
    <row r="21" spans="1:38" ht="18">
      <c r="A21" s="11">
        <v>20</v>
      </c>
      <c r="B21" s="12" t="s">
        <v>46</v>
      </c>
      <c r="C21" s="13"/>
      <c r="D21" s="13"/>
      <c r="E21" s="13"/>
      <c r="F21" s="13"/>
      <c r="G21" s="13"/>
      <c r="H21" s="13"/>
      <c r="I21" s="13">
        <f>1980</f>
        <v>1980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  <c r="AB21" s="15">
        <f t="shared" ref="AB21:AB30" si="4">SUM(C21:AA21)</f>
        <v>1980</v>
      </c>
      <c r="AC21" s="21"/>
      <c r="AD21" s="192"/>
      <c r="AH21" s="207" t="s">
        <v>32</v>
      </c>
      <c r="AI21" s="207"/>
      <c r="AJ21" s="207"/>
      <c r="AK21" s="207"/>
      <c r="AL21" s="208">
        <f>T37</f>
        <v>31093</v>
      </c>
    </row>
    <row r="22" spans="1:38" ht="18">
      <c r="A22" s="17">
        <v>21</v>
      </c>
      <c r="B22" s="18" t="s">
        <v>47</v>
      </c>
      <c r="C22" s="19"/>
      <c r="D22" s="19"/>
      <c r="E22" s="19"/>
      <c r="F22" s="19"/>
      <c r="G22" s="19">
        <f>552</f>
        <v>552</v>
      </c>
      <c r="H22" s="19"/>
      <c r="I22" s="19"/>
      <c r="J22" s="19">
        <f>1197</f>
        <v>1197</v>
      </c>
      <c r="K22" s="19">
        <f>1670</f>
        <v>1670</v>
      </c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>
        <f>291.54</f>
        <v>291.54000000000002</v>
      </c>
      <c r="W22" s="19"/>
      <c r="X22" s="19"/>
      <c r="Y22" s="19"/>
      <c r="Z22" s="19"/>
      <c r="AA22" s="20"/>
      <c r="AB22" s="15">
        <f t="shared" si="4"/>
        <v>3710.54</v>
      </c>
      <c r="AC22" s="21"/>
      <c r="AD22" s="192"/>
      <c r="AH22" s="209"/>
      <c r="AI22" s="209"/>
      <c r="AJ22" s="209"/>
      <c r="AK22" s="209"/>
      <c r="AL22" s="210"/>
    </row>
    <row r="23" spans="1:38" ht="15.75">
      <c r="A23" s="11">
        <v>22</v>
      </c>
      <c r="B23" s="12" t="s">
        <v>48</v>
      </c>
      <c r="C23" s="13"/>
      <c r="D23" s="13"/>
      <c r="E23" s="13"/>
      <c r="F23" s="13"/>
      <c r="G23" s="13">
        <v>374</v>
      </c>
      <c r="H23" s="13"/>
      <c r="I23" s="13">
        <f>1800+220</f>
        <v>2020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>
        <v>5000</v>
      </c>
      <c r="X23" s="13"/>
      <c r="Y23" s="13"/>
      <c r="Z23" s="13"/>
      <c r="AA23" s="14">
        <v>56000</v>
      </c>
      <c r="AB23" s="15">
        <f t="shared" si="4"/>
        <v>63394</v>
      </c>
      <c r="AC23" s="21">
        <f>21986+70637+42933</f>
        <v>135556</v>
      </c>
      <c r="AD23" s="192"/>
    </row>
    <row r="24" spans="1:38" ht="15.75">
      <c r="A24" s="17">
        <v>23</v>
      </c>
      <c r="B24" s="18" t="s">
        <v>49</v>
      </c>
      <c r="C24" s="19"/>
      <c r="D24" s="19"/>
      <c r="E24" s="19"/>
      <c r="F24" s="19">
        <f>394</f>
        <v>394</v>
      </c>
      <c r="G24" s="19"/>
      <c r="H24" s="19"/>
      <c r="I24" s="19"/>
      <c r="J24" s="19">
        <f>1079</f>
        <v>1079</v>
      </c>
      <c r="K24" s="19"/>
      <c r="L24" s="19"/>
      <c r="M24" s="19">
        <f>702</f>
        <v>702</v>
      </c>
      <c r="N24" s="19"/>
      <c r="O24" s="19"/>
      <c r="P24" s="19"/>
      <c r="Q24" s="19"/>
      <c r="R24" s="19"/>
      <c r="S24" s="19"/>
      <c r="T24" s="19"/>
      <c r="U24" s="19">
        <f>644</f>
        <v>644</v>
      </c>
      <c r="V24" s="19">
        <f>2049+108.26+148.04+283.99</f>
        <v>2589.29</v>
      </c>
      <c r="W24" s="19"/>
      <c r="X24" s="19">
        <f>2444+831</f>
        <v>3275</v>
      </c>
      <c r="Y24" s="19"/>
      <c r="Z24" s="19"/>
      <c r="AA24" s="20">
        <f>8796.64+8813.48</f>
        <v>17610.12</v>
      </c>
      <c r="AB24" s="15">
        <f t="shared" si="4"/>
        <v>26293.41</v>
      </c>
      <c r="AC24" s="21"/>
      <c r="AD24" s="192"/>
    </row>
    <row r="25" spans="1:38" ht="15.75">
      <c r="A25" s="11">
        <v>24</v>
      </c>
      <c r="B25" s="12" t="s">
        <v>43</v>
      </c>
      <c r="C25" s="13"/>
      <c r="D25" s="13"/>
      <c r="E25" s="13"/>
      <c r="F25" s="13">
        <f>185</f>
        <v>185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>
        <f>357</f>
        <v>357</v>
      </c>
      <c r="V25" s="13"/>
      <c r="W25" s="13"/>
      <c r="X25" s="13"/>
      <c r="Y25" s="13"/>
      <c r="Z25" s="13"/>
      <c r="AA25" s="14"/>
      <c r="AB25" s="15">
        <f t="shared" si="4"/>
        <v>542</v>
      </c>
      <c r="AC25" s="16"/>
      <c r="AD25" s="192"/>
    </row>
    <row r="26" spans="1:38" ht="15.75">
      <c r="A26" s="17">
        <v>25</v>
      </c>
      <c r="B26" s="18" t="s">
        <v>44</v>
      </c>
      <c r="C26" s="19"/>
      <c r="D26" s="19">
        <f>815.85</f>
        <v>815.85</v>
      </c>
      <c r="E26" s="19"/>
      <c r="F26" s="19">
        <f>411</f>
        <v>411</v>
      </c>
      <c r="G26" s="19"/>
      <c r="H26" s="19"/>
      <c r="I26" s="19"/>
      <c r="J26" s="19">
        <f>660</f>
        <v>660</v>
      </c>
      <c r="K26" s="19">
        <f>2170</f>
        <v>2170</v>
      </c>
      <c r="L26" s="19"/>
      <c r="M26" s="19"/>
      <c r="N26" s="19">
        <f>249</f>
        <v>249</v>
      </c>
      <c r="O26" s="19"/>
      <c r="P26" s="19"/>
      <c r="Q26" s="19"/>
      <c r="R26" s="19">
        <f>1300.98</f>
        <v>1300.98</v>
      </c>
      <c r="S26" s="19"/>
      <c r="T26" s="19"/>
      <c r="U26" s="19"/>
      <c r="V26" s="19">
        <f>249.24</f>
        <v>249.24</v>
      </c>
      <c r="W26" s="19"/>
      <c r="X26" s="19"/>
      <c r="Y26" s="19"/>
      <c r="Z26" s="19"/>
      <c r="AA26" s="20"/>
      <c r="AB26" s="15">
        <f t="shared" si="4"/>
        <v>5856.07</v>
      </c>
      <c r="AC26" s="21"/>
      <c r="AD26" s="192"/>
    </row>
    <row r="27" spans="1:38" ht="15.75">
      <c r="A27" s="11">
        <v>26</v>
      </c>
      <c r="B27" s="12" t="s">
        <v>45</v>
      </c>
      <c r="C27" s="13">
        <f>222.97+157.22</f>
        <v>380.19</v>
      </c>
      <c r="D27" s="13"/>
      <c r="E27" s="13">
        <f>1135.08+ 2134.94+279.99</f>
        <v>3550.01</v>
      </c>
      <c r="F27" s="13"/>
      <c r="G27" s="13"/>
      <c r="H27" s="13"/>
      <c r="I27" s="13"/>
      <c r="J27" s="13"/>
      <c r="K27" s="13"/>
      <c r="L27" s="13"/>
      <c r="M27" s="13">
        <f>2643</f>
        <v>2643</v>
      </c>
      <c r="N27" s="13"/>
      <c r="O27" s="13"/>
      <c r="P27" s="13"/>
      <c r="Q27" s="13"/>
      <c r="R27" s="13"/>
      <c r="S27" s="13"/>
      <c r="T27" s="13">
        <f>6110</f>
        <v>6110</v>
      </c>
      <c r="U27" s="13"/>
      <c r="V27" s="13"/>
      <c r="W27" s="13">
        <f>1398</f>
        <v>1398</v>
      </c>
      <c r="X27" s="13"/>
      <c r="Y27" s="13"/>
      <c r="Z27" s="13"/>
      <c r="AA27" s="14"/>
      <c r="AB27" s="15">
        <f t="shared" si="4"/>
        <v>14081.2</v>
      </c>
      <c r="AC27" s="21"/>
      <c r="AD27" s="192"/>
    </row>
    <row r="28" spans="1:38" ht="15.75">
      <c r="A28" s="17">
        <v>27</v>
      </c>
      <c r="B28" s="18" t="s">
        <v>46</v>
      </c>
      <c r="C28" s="19">
        <f>912.9</f>
        <v>912.9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20"/>
      <c r="AB28" s="15">
        <f t="shared" si="4"/>
        <v>912.9</v>
      </c>
      <c r="AC28" s="21">
        <v>20000</v>
      </c>
      <c r="AD28" s="192"/>
    </row>
    <row r="29" spans="1:38" ht="15.75">
      <c r="A29" s="11">
        <v>28</v>
      </c>
      <c r="B29" s="12" t="s">
        <v>47</v>
      </c>
      <c r="C29" s="13"/>
      <c r="D29" s="13">
        <v>1239.95</v>
      </c>
      <c r="E29" s="13"/>
      <c r="F29" s="13">
        <v>438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>
        <f>341.89</f>
        <v>341.89</v>
      </c>
      <c r="W29" s="13">
        <f>2000</f>
        <v>2000</v>
      </c>
      <c r="X29" s="13"/>
      <c r="Y29" s="13"/>
      <c r="Z29" s="13"/>
      <c r="AA29" s="14"/>
      <c r="AB29" s="15">
        <f t="shared" si="4"/>
        <v>4019.84</v>
      </c>
      <c r="AC29" s="21"/>
      <c r="AD29" s="192"/>
    </row>
    <row r="30" spans="1:38" ht="15.75">
      <c r="A30" s="17">
        <v>29</v>
      </c>
      <c r="B30" s="18" t="s">
        <v>48</v>
      </c>
      <c r="C30" s="19"/>
      <c r="D30" s="19"/>
      <c r="E30" s="19"/>
      <c r="F30" s="19">
        <f>162</f>
        <v>162</v>
      </c>
      <c r="G30" s="19"/>
      <c r="H30" s="19"/>
      <c r="I30" s="19"/>
      <c r="J30" s="19">
        <f>1326</f>
        <v>1326</v>
      </c>
      <c r="K30" s="19"/>
      <c r="L30" s="19"/>
      <c r="M30" s="19"/>
      <c r="N30" s="19">
        <f>799</f>
        <v>799</v>
      </c>
      <c r="O30" s="19"/>
      <c r="P30" s="19"/>
      <c r="Q30" s="19"/>
      <c r="R30" s="19"/>
      <c r="S30" s="19"/>
      <c r="T30" s="19"/>
      <c r="U30" s="19"/>
      <c r="V30" s="19">
        <f>341.39</f>
        <v>341.39</v>
      </c>
      <c r="W30" s="19"/>
      <c r="X30" s="19"/>
      <c r="Y30" s="19"/>
      <c r="Z30" s="19"/>
      <c r="AA30" s="20"/>
      <c r="AB30" s="15">
        <f t="shared" si="4"/>
        <v>2628.39</v>
      </c>
      <c r="AC30" s="21"/>
      <c r="AD30" s="192"/>
    </row>
    <row r="31" spans="1:38" ht="16.5" thickBot="1">
      <c r="A31" s="142">
        <v>30</v>
      </c>
      <c r="B31" s="143" t="s">
        <v>49</v>
      </c>
      <c r="C31" s="144"/>
      <c r="D31" s="144"/>
      <c r="E31" s="144"/>
      <c r="F31" s="144">
        <f>586</f>
        <v>586</v>
      </c>
      <c r="G31" s="144"/>
      <c r="H31" s="144"/>
      <c r="I31" s="144"/>
      <c r="J31" s="144"/>
      <c r="K31" s="144"/>
      <c r="L31" s="144"/>
      <c r="M31" s="144"/>
      <c r="N31" s="144"/>
      <c r="O31" s="144">
        <v>1200</v>
      </c>
      <c r="P31" s="144">
        <f>389</f>
        <v>389</v>
      </c>
      <c r="Q31" s="144"/>
      <c r="R31" s="144"/>
      <c r="S31" s="144"/>
      <c r="T31" s="144">
        <f>5593</f>
        <v>5593</v>
      </c>
      <c r="U31" s="144"/>
      <c r="V31" s="144">
        <f>2124</f>
        <v>2124</v>
      </c>
      <c r="W31" s="144">
        <f>1515+934+248</f>
        <v>2697</v>
      </c>
      <c r="X31" s="144"/>
      <c r="Y31" s="144"/>
      <c r="Z31" s="144"/>
      <c r="AA31" s="145"/>
      <c r="AB31" s="15">
        <f>SUM(C31:AA31)</f>
        <v>12589</v>
      </c>
      <c r="AC31" s="21"/>
      <c r="AD31" s="192"/>
    </row>
    <row r="32" spans="1:38" ht="15.75">
      <c r="A32" s="150">
        <v>1</v>
      </c>
      <c r="B32" s="151" t="s">
        <v>43</v>
      </c>
      <c r="C32" s="152"/>
      <c r="D32" s="152"/>
      <c r="E32" s="152"/>
      <c r="F32" s="152">
        <v>2323.1</v>
      </c>
      <c r="G32" s="152"/>
      <c r="H32" s="152"/>
      <c r="I32" s="152">
        <f>4290+463.32</f>
        <v>4753.32</v>
      </c>
      <c r="J32" s="152">
        <f>1360</f>
        <v>1360</v>
      </c>
      <c r="K32" s="152">
        <f>980</f>
        <v>980</v>
      </c>
      <c r="L32" s="152"/>
      <c r="M32" s="152"/>
      <c r="N32" s="152"/>
      <c r="O32" s="152">
        <f>300</f>
        <v>300</v>
      </c>
      <c r="P32" s="152"/>
      <c r="Q32" s="152"/>
      <c r="R32" s="152"/>
      <c r="S32" s="152"/>
      <c r="T32" s="152"/>
      <c r="U32" s="152">
        <f>337</f>
        <v>337</v>
      </c>
      <c r="V32" s="152"/>
      <c r="W32" s="152">
        <f>1289+1202</f>
        <v>2491</v>
      </c>
      <c r="X32" s="152"/>
      <c r="Y32" s="152"/>
      <c r="Z32" s="152">
        <f>6000</f>
        <v>6000</v>
      </c>
      <c r="AA32" s="153"/>
      <c r="AB32" s="15">
        <f t="shared" ref="AB32:AB35" si="5">SUM(C32:AA32)</f>
        <v>18544.419999999998</v>
      </c>
      <c r="AC32" s="21"/>
      <c r="AD32" s="192"/>
    </row>
    <row r="33" spans="1:34" ht="15.75">
      <c r="A33" s="157">
        <v>2</v>
      </c>
      <c r="B33" s="158" t="s">
        <v>44</v>
      </c>
      <c r="C33" s="159"/>
      <c r="D33" s="159"/>
      <c r="E33" s="159"/>
      <c r="F33" s="159"/>
      <c r="G33" s="159"/>
      <c r="H33" s="159"/>
      <c r="I33" s="159">
        <f>2839+4140+447.12</f>
        <v>7426.12</v>
      </c>
      <c r="J33" s="159"/>
      <c r="K33" s="159"/>
      <c r="L33" s="159"/>
      <c r="M33" s="159"/>
      <c r="N33" s="159">
        <f>399</f>
        <v>399</v>
      </c>
      <c r="O33" s="159"/>
      <c r="P33" s="159"/>
      <c r="Q33" s="159"/>
      <c r="R33" s="159">
        <f>1510.97</f>
        <v>1510.97</v>
      </c>
      <c r="S33" s="159"/>
      <c r="T33" s="159"/>
      <c r="U33" s="159">
        <f>95+95</f>
        <v>190</v>
      </c>
      <c r="V33" s="159"/>
      <c r="W33" s="159"/>
      <c r="X33" s="159"/>
      <c r="Y33" s="159"/>
      <c r="Z33" s="159"/>
      <c r="AA33" s="160"/>
      <c r="AB33" s="15">
        <f t="shared" si="5"/>
        <v>9526.09</v>
      </c>
      <c r="AC33" s="21"/>
      <c r="AD33" s="192"/>
    </row>
    <row r="34" spans="1:34" ht="15.75">
      <c r="A34" s="154">
        <v>3</v>
      </c>
      <c r="B34" s="155" t="s">
        <v>45</v>
      </c>
      <c r="C34" s="50"/>
      <c r="D34" s="50"/>
      <c r="E34" s="50"/>
      <c r="F34" s="50"/>
      <c r="G34" s="50"/>
      <c r="H34" s="50">
        <f>1564+7651</f>
        <v>9215</v>
      </c>
      <c r="I34" s="50">
        <f>3010+300</f>
        <v>3310</v>
      </c>
      <c r="J34" s="50">
        <f>820</f>
        <v>820</v>
      </c>
      <c r="K34" s="50"/>
      <c r="L34" s="50"/>
      <c r="M34" s="50"/>
      <c r="N34" s="50"/>
      <c r="O34" s="50"/>
      <c r="P34" s="50"/>
      <c r="Q34" s="50"/>
      <c r="R34" s="50">
        <f>3528</f>
        <v>3528</v>
      </c>
      <c r="S34" s="50"/>
      <c r="T34" s="50"/>
      <c r="U34" s="50"/>
      <c r="V34" s="50"/>
      <c r="W34" s="50">
        <f>4079</f>
        <v>4079</v>
      </c>
      <c r="X34" s="50">
        <f>300</f>
        <v>300</v>
      </c>
      <c r="Y34" s="50"/>
      <c r="Z34" s="50">
        <f>1700</f>
        <v>1700</v>
      </c>
      <c r="AA34" s="156"/>
      <c r="AB34" s="15">
        <f t="shared" si="5"/>
        <v>22952</v>
      </c>
      <c r="AC34" s="37">
        <v>20000</v>
      </c>
      <c r="AD34" s="192"/>
    </row>
    <row r="35" spans="1:34" ht="16.5" thickBot="1">
      <c r="A35" s="161">
        <v>4</v>
      </c>
      <c r="B35" s="162" t="s">
        <v>46</v>
      </c>
      <c r="C35" s="163"/>
      <c r="D35" s="163"/>
      <c r="E35" s="163"/>
      <c r="F35" s="163"/>
      <c r="G35" s="163"/>
      <c r="H35" s="163"/>
      <c r="I35" s="163">
        <f>5900+651+13880+1508</f>
        <v>21939</v>
      </c>
      <c r="J35" s="163"/>
      <c r="K35" s="163"/>
      <c r="L35" s="163"/>
      <c r="M35" s="163"/>
      <c r="N35" s="163">
        <f>300</f>
        <v>300</v>
      </c>
      <c r="O35" s="163"/>
      <c r="P35" s="163"/>
      <c r="Q35" s="163"/>
      <c r="R35" s="163"/>
      <c r="S35" s="163"/>
      <c r="T35" s="163"/>
      <c r="U35" s="163">
        <f>423+526+838</f>
        <v>1787</v>
      </c>
      <c r="V35" s="163"/>
      <c r="W35" s="163"/>
      <c r="X35" s="163">
        <f>375</f>
        <v>375</v>
      </c>
      <c r="Y35" s="163"/>
      <c r="Z35" s="163">
        <f>1400</f>
        <v>1400</v>
      </c>
      <c r="AA35" s="164"/>
      <c r="AB35" s="15">
        <f t="shared" si="5"/>
        <v>25801</v>
      </c>
      <c r="AC35" s="37">
        <v>15000</v>
      </c>
      <c r="AD35" s="192"/>
    </row>
    <row r="36" spans="1:34" ht="24" customHeight="1">
      <c r="A36" s="204" t="s">
        <v>55</v>
      </c>
      <c r="B36" s="204"/>
      <c r="C36" s="146">
        <f t="shared" ref="C36:AC36" si="6">SUM(C19:C35)</f>
        <v>1293.0899999999999</v>
      </c>
      <c r="D36" s="146">
        <f t="shared" si="6"/>
        <v>2055.8000000000002</v>
      </c>
      <c r="E36" s="146">
        <f t="shared" si="6"/>
        <v>3550.01</v>
      </c>
      <c r="F36" s="146">
        <f t="shared" si="6"/>
        <v>7603.8099999999995</v>
      </c>
      <c r="G36" s="146">
        <f t="shared" si="6"/>
        <v>926</v>
      </c>
      <c r="H36" s="146">
        <f t="shared" si="6"/>
        <v>9215</v>
      </c>
      <c r="I36" s="146">
        <f t="shared" si="6"/>
        <v>49258.44</v>
      </c>
      <c r="J36" s="146">
        <f t="shared" si="6"/>
        <v>6442</v>
      </c>
      <c r="K36" s="146">
        <f t="shared" si="6"/>
        <v>4820</v>
      </c>
      <c r="L36" s="147">
        <f t="shared" si="6"/>
        <v>0</v>
      </c>
      <c r="M36" s="147">
        <f t="shared" si="6"/>
        <v>5345</v>
      </c>
      <c r="N36" s="147">
        <f t="shared" si="6"/>
        <v>1747</v>
      </c>
      <c r="O36" s="147">
        <f t="shared" si="6"/>
        <v>1500</v>
      </c>
      <c r="P36" s="147">
        <f t="shared" si="6"/>
        <v>389</v>
      </c>
      <c r="Q36" s="147">
        <f t="shared" si="6"/>
        <v>0</v>
      </c>
      <c r="R36" s="148">
        <f t="shared" si="6"/>
        <v>6339.95</v>
      </c>
      <c r="S36" s="148">
        <f t="shared" si="6"/>
        <v>0</v>
      </c>
      <c r="T36" s="148">
        <f t="shared" si="6"/>
        <v>11703</v>
      </c>
      <c r="U36" s="148">
        <f t="shared" si="6"/>
        <v>3897</v>
      </c>
      <c r="V36" s="148">
        <f t="shared" si="6"/>
        <v>5937.3499999999995</v>
      </c>
      <c r="W36" s="148">
        <f t="shared" si="6"/>
        <v>18675</v>
      </c>
      <c r="X36" s="148">
        <f t="shared" si="6"/>
        <v>4949</v>
      </c>
      <c r="Y36" s="148">
        <f t="shared" si="6"/>
        <v>0</v>
      </c>
      <c r="Z36" s="148">
        <f t="shared" si="6"/>
        <v>9100</v>
      </c>
      <c r="AA36" s="149">
        <f t="shared" si="6"/>
        <v>73610.12</v>
      </c>
      <c r="AB36" s="26">
        <f>SUM(AB19:AB35)</f>
        <v>228356.57000000004</v>
      </c>
      <c r="AC36" s="27">
        <f t="shared" si="6"/>
        <v>230131.45</v>
      </c>
      <c r="AD36" s="28">
        <f>AC36-AB36</f>
        <v>1774.8799999999756</v>
      </c>
      <c r="AH36" s="165"/>
    </row>
    <row r="37" spans="1:34" ht="31.5" customHeight="1">
      <c r="A37" s="191" t="s">
        <v>56</v>
      </c>
      <c r="B37" s="191"/>
      <c r="C37" s="31">
        <f t="shared" ref="C37:R37" si="7">SUM(C18,C36)</f>
        <v>1423.08</v>
      </c>
      <c r="D37" s="31">
        <f t="shared" si="7"/>
        <v>3219.78</v>
      </c>
      <c r="E37" s="31">
        <f t="shared" si="7"/>
        <v>4050.9900000000002</v>
      </c>
      <c r="F37" s="31">
        <f t="shared" si="7"/>
        <v>15538.81</v>
      </c>
      <c r="G37" s="31">
        <f t="shared" si="7"/>
        <v>3159</v>
      </c>
      <c r="H37" s="31">
        <f t="shared" si="7"/>
        <v>13841</v>
      </c>
      <c r="I37" s="31">
        <f t="shared" si="7"/>
        <v>54113.440000000002</v>
      </c>
      <c r="J37" s="31">
        <f t="shared" si="7"/>
        <v>12164.98</v>
      </c>
      <c r="K37" s="31">
        <f t="shared" si="7"/>
        <v>13820</v>
      </c>
      <c r="L37" s="31">
        <f t="shared" si="7"/>
        <v>0</v>
      </c>
      <c r="M37" s="31">
        <f t="shared" si="7"/>
        <v>8661</v>
      </c>
      <c r="N37" s="31">
        <f t="shared" si="7"/>
        <v>4145</v>
      </c>
      <c r="O37" s="31">
        <f t="shared" si="7"/>
        <v>2000</v>
      </c>
      <c r="P37" s="31">
        <f t="shared" si="7"/>
        <v>389</v>
      </c>
      <c r="Q37" s="31">
        <f t="shared" si="7"/>
        <v>20500</v>
      </c>
      <c r="R37" s="31">
        <f t="shared" si="7"/>
        <v>7479.95</v>
      </c>
      <c r="S37" s="31"/>
      <c r="T37" s="31">
        <f t="shared" ref="T37:AC37" si="8">SUM(T18,T36)</f>
        <v>31093</v>
      </c>
      <c r="U37" s="31">
        <f t="shared" si="8"/>
        <v>6267</v>
      </c>
      <c r="V37" s="31">
        <f t="shared" si="8"/>
        <v>8997.08</v>
      </c>
      <c r="W37" s="31">
        <f t="shared" si="8"/>
        <v>38934</v>
      </c>
      <c r="X37" s="31">
        <f t="shared" si="8"/>
        <v>9488</v>
      </c>
      <c r="Y37" s="31">
        <f t="shared" si="8"/>
        <v>859.98</v>
      </c>
      <c r="Z37" s="31">
        <f t="shared" si="8"/>
        <v>14122</v>
      </c>
      <c r="AA37" s="32">
        <f t="shared" si="8"/>
        <v>73610.12</v>
      </c>
      <c r="AB37" s="33">
        <f t="shared" si="8"/>
        <v>347877.21000000008</v>
      </c>
      <c r="AC37" s="34">
        <f t="shared" si="8"/>
        <v>348751.42000000004</v>
      </c>
      <c r="AD37" s="169">
        <f>SUM(AD18,AD36)</f>
        <v>874.20999999996275</v>
      </c>
    </row>
    <row r="41" spans="1:34"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</row>
  </sheetData>
  <mergeCells count="21">
    <mergeCell ref="A1:AD1"/>
    <mergeCell ref="A2:B2"/>
    <mergeCell ref="C2:K2"/>
    <mergeCell ref="L2:Q2"/>
    <mergeCell ref="R2:AA2"/>
    <mergeCell ref="AB2:AD2"/>
    <mergeCell ref="A37:B37"/>
    <mergeCell ref="AD19:AD35"/>
    <mergeCell ref="AH11:AL13"/>
    <mergeCell ref="AH17:AK17"/>
    <mergeCell ref="AD4:AD17"/>
    <mergeCell ref="AH19:AK19"/>
    <mergeCell ref="AH20:AK20"/>
    <mergeCell ref="AH21:AK21"/>
    <mergeCell ref="AH22:AK22"/>
    <mergeCell ref="A36:B36"/>
    <mergeCell ref="AH14:AK14"/>
    <mergeCell ref="AH15:AK15"/>
    <mergeCell ref="AH16:AK16"/>
    <mergeCell ref="A18:B18"/>
    <mergeCell ref="AH18:AK18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41"/>
  <sheetViews>
    <sheetView tabSelected="1" zoomScale="70" zoomScaleNormal="70" workbookViewId="0">
      <pane xSplit="2" ySplit="37" topLeftCell="C53" activePane="bottomRight" state="frozen"/>
      <selection pane="topRight"/>
      <selection pane="bottomLeft"/>
      <selection pane="bottomRight" activeCell="F11" sqref="F11"/>
    </sheetView>
  </sheetViews>
  <sheetFormatPr defaultColWidth="9.140625" defaultRowHeight="15"/>
  <cols>
    <col min="1" max="25" width="20.7109375" style="1" customWidth="1"/>
    <col min="26" max="26" width="23.140625" style="1" customWidth="1"/>
    <col min="27" max="30" width="20.7109375" style="1" customWidth="1"/>
    <col min="31" max="37" width="12.7109375" style="1" customWidth="1"/>
    <col min="38" max="38" width="19" style="1" customWidth="1"/>
    <col min="39" max="42" width="12.7109375" style="1" customWidth="1"/>
    <col min="43" max="16384" width="9.140625" style="1"/>
  </cols>
  <sheetData>
    <row r="1" spans="1:52" ht="34.5" customHeight="1">
      <c r="A1" s="194" t="s">
        <v>91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</row>
    <row r="2" spans="1:52" ht="26.25">
      <c r="A2" s="195"/>
      <c r="B2" s="196"/>
      <c r="C2" s="197" t="s">
        <v>67</v>
      </c>
      <c r="D2" s="197"/>
      <c r="E2" s="197"/>
      <c r="F2" s="197"/>
      <c r="G2" s="197"/>
      <c r="H2" s="197"/>
      <c r="I2" s="197"/>
      <c r="J2" s="197"/>
      <c r="K2" s="197"/>
      <c r="L2" s="198" t="s">
        <v>68</v>
      </c>
      <c r="M2" s="198"/>
      <c r="N2" s="198"/>
      <c r="O2" s="198"/>
      <c r="P2" s="198"/>
      <c r="Q2" s="198"/>
      <c r="R2" s="199" t="s">
        <v>69</v>
      </c>
      <c r="S2" s="199"/>
      <c r="T2" s="199"/>
      <c r="U2" s="199"/>
      <c r="V2" s="199"/>
      <c r="W2" s="199"/>
      <c r="X2" s="199"/>
      <c r="Y2" s="199"/>
      <c r="Z2" s="199"/>
      <c r="AA2" s="199"/>
      <c r="AB2" s="200" t="s">
        <v>70</v>
      </c>
      <c r="AC2" s="200"/>
      <c r="AD2" s="200"/>
    </row>
    <row r="3" spans="1:52" ht="45" customHeight="1" thickBot="1">
      <c r="A3" s="221" t="s">
        <v>21</v>
      </c>
      <c r="B3" s="221" t="s">
        <v>22</v>
      </c>
      <c r="C3" s="222" t="s">
        <v>71</v>
      </c>
      <c r="D3" s="222" t="s">
        <v>89</v>
      </c>
      <c r="E3" s="222" t="s">
        <v>90</v>
      </c>
      <c r="F3" s="222" t="s">
        <v>25</v>
      </c>
      <c r="G3" s="222" t="s">
        <v>74</v>
      </c>
      <c r="H3" s="222" t="s">
        <v>75</v>
      </c>
      <c r="I3" s="222" t="s">
        <v>76</v>
      </c>
      <c r="J3" s="222" t="s">
        <v>77</v>
      </c>
      <c r="K3" s="222" t="s">
        <v>78</v>
      </c>
      <c r="L3" s="223" t="s">
        <v>30</v>
      </c>
      <c r="M3" s="223" t="s">
        <v>33</v>
      </c>
      <c r="N3" s="223" t="s">
        <v>79</v>
      </c>
      <c r="O3" s="223" t="s">
        <v>39</v>
      </c>
      <c r="P3" s="223" t="s">
        <v>39</v>
      </c>
      <c r="Q3" s="223" t="s">
        <v>80</v>
      </c>
      <c r="R3" s="224" t="s">
        <v>28</v>
      </c>
      <c r="S3" s="224" t="s">
        <v>31</v>
      </c>
      <c r="T3" s="224" t="s">
        <v>32</v>
      </c>
      <c r="U3" s="224" t="s">
        <v>34</v>
      </c>
      <c r="V3" s="224" t="s">
        <v>35</v>
      </c>
      <c r="W3" s="224" t="s">
        <v>36</v>
      </c>
      <c r="X3" s="224" t="s">
        <v>81</v>
      </c>
      <c r="Y3" s="224" t="s">
        <v>81</v>
      </c>
      <c r="Z3" s="224" t="s">
        <v>82</v>
      </c>
      <c r="AA3" s="225" t="s">
        <v>40</v>
      </c>
      <c r="AB3" s="7" t="s">
        <v>41</v>
      </c>
      <c r="AC3" s="8" t="s">
        <v>42</v>
      </c>
      <c r="AD3" s="206" t="s">
        <v>5</v>
      </c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</row>
    <row r="4" spans="1:52" ht="15.75">
      <c r="A4" s="150">
        <v>5</v>
      </c>
      <c r="B4" s="151" t="s">
        <v>47</v>
      </c>
      <c r="C4" s="230"/>
      <c r="D4" s="230"/>
      <c r="E4" s="230">
        <v>300.95999999999998</v>
      </c>
      <c r="F4" s="230"/>
      <c r="G4" s="230"/>
      <c r="H4" s="230"/>
      <c r="I4" s="230">
        <f>5000+415.8</f>
        <v>5415.8</v>
      </c>
      <c r="J4" s="230"/>
      <c r="K4" s="230"/>
      <c r="L4" s="230"/>
      <c r="M4" s="230"/>
      <c r="N4" s="230">
        <v>199</v>
      </c>
      <c r="O4" s="230"/>
      <c r="P4" s="230"/>
      <c r="Q4" s="230"/>
      <c r="R4" s="230"/>
      <c r="S4" s="230"/>
      <c r="T4" s="230"/>
      <c r="U4" s="230">
        <f>190+190</f>
        <v>380</v>
      </c>
      <c r="V4" s="230"/>
      <c r="W4" s="230">
        <f>1000+3865</f>
        <v>4865</v>
      </c>
      <c r="X4" s="230">
        <v>20000</v>
      </c>
      <c r="Y4" s="230"/>
      <c r="Z4" s="230"/>
      <c r="AA4" s="231"/>
      <c r="AB4" s="211">
        <f>SUM(C4:AA4)</f>
        <v>31160.760000000002</v>
      </c>
      <c r="AC4" s="166">
        <v>142200.85999999999</v>
      </c>
      <c r="AD4" s="192"/>
    </row>
    <row r="5" spans="1:52" ht="15.75">
      <c r="A5" s="236">
        <v>6</v>
      </c>
      <c r="B5" s="212" t="s">
        <v>48</v>
      </c>
      <c r="C5" s="237"/>
      <c r="D5" s="237"/>
      <c r="E5" s="237"/>
      <c r="F5" s="237"/>
      <c r="G5" s="237"/>
      <c r="H5" s="237"/>
      <c r="I5" s="237">
        <f>5020+655+6960+1134</f>
        <v>13769</v>
      </c>
      <c r="J5" s="237"/>
      <c r="K5" s="237"/>
      <c r="L5" s="237"/>
      <c r="M5" s="237"/>
      <c r="N5" s="237"/>
      <c r="O5" s="237">
        <f>1930+3470</f>
        <v>5400</v>
      </c>
      <c r="P5" s="237">
        <v>11093</v>
      </c>
      <c r="Q5" s="237"/>
      <c r="R5" s="237"/>
      <c r="S5" s="237"/>
      <c r="T5" s="237"/>
      <c r="U5" s="237">
        <f>190+190</f>
        <v>380</v>
      </c>
      <c r="V5" s="237"/>
      <c r="W5" s="237">
        <f>4500+11525</f>
        <v>16025</v>
      </c>
      <c r="X5" s="237"/>
      <c r="Y5" s="237"/>
      <c r="Z5" s="237">
        <f>1000</f>
        <v>1000</v>
      </c>
      <c r="AA5" s="238"/>
      <c r="AB5" s="211">
        <f>SUM(C5:AA5)</f>
        <v>47667</v>
      </c>
      <c r="AC5" s="168"/>
      <c r="AD5" s="192"/>
    </row>
    <row r="6" spans="1:52" ht="16.5" thickBot="1">
      <c r="A6" s="234">
        <v>7</v>
      </c>
      <c r="B6" s="235" t="s">
        <v>49</v>
      </c>
      <c r="C6" s="232"/>
      <c r="D6" s="232"/>
      <c r="E6" s="232"/>
      <c r="F6" s="232"/>
      <c r="G6" s="232"/>
      <c r="H6" s="232"/>
      <c r="I6" s="232">
        <f>4210+461</f>
        <v>4671</v>
      </c>
      <c r="J6" s="232">
        <f>290</f>
        <v>290</v>
      </c>
      <c r="K6" s="232"/>
      <c r="L6" s="232"/>
      <c r="M6" s="232"/>
      <c r="N6" s="232"/>
      <c r="O6" s="232"/>
      <c r="P6" s="232"/>
      <c r="Q6" s="232">
        <f>300</f>
        <v>300</v>
      </c>
      <c r="R6" s="232"/>
      <c r="S6" s="232"/>
      <c r="T6" s="232"/>
      <c r="U6" s="232">
        <f>391</f>
        <v>391</v>
      </c>
      <c r="V6" s="232"/>
      <c r="W6" s="232"/>
      <c r="X6" s="232">
        <f>3807</f>
        <v>3807</v>
      </c>
      <c r="Y6" s="232"/>
      <c r="Z6" s="232"/>
      <c r="AA6" s="233"/>
      <c r="AB6" s="211">
        <f t="shared" ref="AB6:AB16" si="0">SUM(C6:AA6)</f>
        <v>9459</v>
      </c>
      <c r="AC6" s="168"/>
      <c r="AD6" s="192"/>
    </row>
    <row r="7" spans="1:52" ht="15.75">
      <c r="A7" s="226">
        <v>8</v>
      </c>
      <c r="B7" s="227" t="s">
        <v>43</v>
      </c>
      <c r="C7" s="228">
        <f>273.98</f>
        <v>273.98</v>
      </c>
      <c r="D7" s="228">
        <f>556.94</f>
        <v>556.94000000000005</v>
      </c>
      <c r="E7" s="228"/>
      <c r="F7" s="228"/>
      <c r="G7" s="228"/>
      <c r="H7" s="228"/>
      <c r="I7" s="228"/>
      <c r="J7" s="228"/>
      <c r="K7" s="228"/>
      <c r="L7" s="228"/>
      <c r="M7" s="228">
        <f>2001+69</f>
        <v>2070</v>
      </c>
      <c r="N7" s="228"/>
      <c r="O7" s="228"/>
      <c r="P7" s="228"/>
      <c r="Q7" s="228"/>
      <c r="R7" s="228"/>
      <c r="S7" s="228"/>
      <c r="T7" s="228"/>
      <c r="U7" s="228">
        <f>182</f>
        <v>182</v>
      </c>
      <c r="V7" s="228"/>
      <c r="W7" s="228"/>
      <c r="X7" s="228"/>
      <c r="Y7" s="228"/>
      <c r="Z7" s="228"/>
      <c r="AA7" s="229"/>
      <c r="AB7" s="15">
        <f t="shared" si="0"/>
        <v>3082.92</v>
      </c>
      <c r="AC7" s="168">
        <v>2000</v>
      </c>
      <c r="AD7" s="192"/>
    </row>
    <row r="8" spans="1:52" ht="15" customHeight="1">
      <c r="A8" s="11">
        <v>9</v>
      </c>
      <c r="B8" s="12" t="s">
        <v>44</v>
      </c>
      <c r="C8" s="213"/>
      <c r="D8" s="213"/>
      <c r="E8" s="213"/>
      <c r="F8" s="213">
        <f>2946.51</f>
        <v>2946.51</v>
      </c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4"/>
      <c r="AB8" s="15">
        <f t="shared" si="0"/>
        <v>2946.51</v>
      </c>
      <c r="AC8" s="168"/>
      <c r="AD8" s="192"/>
    </row>
    <row r="9" spans="1:52" ht="15.75">
      <c r="A9" s="17">
        <v>10</v>
      </c>
      <c r="B9" s="18" t="s">
        <v>45</v>
      </c>
      <c r="C9" s="215">
        <f>1177.84</f>
        <v>1177.8399999999999</v>
      </c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>
        <f>500</f>
        <v>500</v>
      </c>
      <c r="Y9" s="215"/>
      <c r="Z9" s="215"/>
      <c r="AA9" s="216"/>
      <c r="AB9" s="15">
        <f t="shared" si="0"/>
        <v>1677.84</v>
      </c>
      <c r="AC9" s="168"/>
      <c r="AD9" s="192"/>
    </row>
    <row r="10" spans="1:52" ht="15.75">
      <c r="A10" s="11">
        <v>11</v>
      </c>
      <c r="B10" s="12" t="s">
        <v>46</v>
      </c>
      <c r="C10" s="213"/>
      <c r="D10" s="213"/>
      <c r="E10" s="213"/>
      <c r="F10" s="213">
        <f>1640</f>
        <v>1640</v>
      </c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  <c r="AA10" s="214"/>
      <c r="AB10" s="15">
        <f t="shared" si="0"/>
        <v>1640</v>
      </c>
      <c r="AC10" s="168"/>
      <c r="AD10" s="192"/>
    </row>
    <row r="11" spans="1:52" ht="15.75">
      <c r="A11" s="17">
        <v>12</v>
      </c>
      <c r="B11" s="18" t="s">
        <v>47</v>
      </c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  <c r="X11" s="215"/>
      <c r="Y11" s="215"/>
      <c r="Z11" s="215"/>
      <c r="AA11" s="216"/>
      <c r="AB11" s="15">
        <f t="shared" si="0"/>
        <v>0</v>
      </c>
      <c r="AC11" s="168"/>
      <c r="AD11" s="192"/>
      <c r="AH11" s="193" t="s">
        <v>83</v>
      </c>
      <c r="AI11" s="193"/>
      <c r="AJ11" s="193"/>
      <c r="AK11" s="193"/>
      <c r="AL11" s="193"/>
    </row>
    <row r="12" spans="1:52" ht="15.75">
      <c r="A12" s="11">
        <v>13</v>
      </c>
      <c r="B12" s="12" t="s">
        <v>48</v>
      </c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  <c r="AA12" s="214"/>
      <c r="AB12" s="15">
        <f t="shared" si="0"/>
        <v>0</v>
      </c>
      <c r="AC12" s="168"/>
      <c r="AD12" s="192"/>
      <c r="AH12" s="193"/>
      <c r="AI12" s="193"/>
      <c r="AJ12" s="193"/>
      <c r="AK12" s="193"/>
      <c r="AL12" s="193"/>
    </row>
    <row r="13" spans="1:52" ht="15.75">
      <c r="A13" s="17">
        <v>14</v>
      </c>
      <c r="B13" s="18" t="s">
        <v>49</v>
      </c>
      <c r="C13" s="215"/>
      <c r="D13" s="215"/>
      <c r="E13" s="215"/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  <c r="AA13" s="216"/>
      <c r="AB13" s="15">
        <f t="shared" si="0"/>
        <v>0</v>
      </c>
      <c r="AC13" s="168"/>
      <c r="AD13" s="192"/>
      <c r="AH13" s="193"/>
      <c r="AI13" s="193"/>
      <c r="AJ13" s="193"/>
      <c r="AK13" s="193"/>
      <c r="AL13" s="193"/>
    </row>
    <row r="14" spans="1:52" ht="18">
      <c r="A14" s="11">
        <v>15</v>
      </c>
      <c r="B14" s="12" t="s">
        <v>43</v>
      </c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3"/>
      <c r="U14" s="213"/>
      <c r="V14" s="213"/>
      <c r="W14" s="213"/>
      <c r="X14" s="213"/>
      <c r="Y14" s="213"/>
      <c r="Z14" s="213"/>
      <c r="AA14" s="214"/>
      <c r="AB14" s="15">
        <f t="shared" si="0"/>
        <v>0</v>
      </c>
      <c r="AC14" s="168"/>
      <c r="AD14" s="192"/>
      <c r="AH14" s="189" t="s">
        <v>62</v>
      </c>
      <c r="AI14" s="189"/>
      <c r="AJ14" s="189"/>
      <c r="AK14" s="189"/>
      <c r="AL14" s="22">
        <f>AC4+AC20+AC24+AC10</f>
        <v>142200.85999999999</v>
      </c>
    </row>
    <row r="15" spans="1:52" ht="18">
      <c r="A15" s="17">
        <v>16</v>
      </c>
      <c r="B15" s="18" t="s">
        <v>44</v>
      </c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6"/>
      <c r="AB15" s="15">
        <f t="shared" si="0"/>
        <v>0</v>
      </c>
      <c r="AC15" s="166"/>
      <c r="AD15" s="192"/>
      <c r="AH15" s="189" t="s">
        <v>2</v>
      </c>
      <c r="AI15" s="189"/>
      <c r="AJ15" s="189"/>
      <c r="AK15" s="189"/>
      <c r="AL15" s="22">
        <f>AC21</f>
        <v>0</v>
      </c>
    </row>
    <row r="16" spans="1:52" ht="18">
      <c r="A16" s="11">
        <v>17</v>
      </c>
      <c r="B16" s="12" t="s">
        <v>45</v>
      </c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3"/>
      <c r="AA16" s="214"/>
      <c r="AB16" s="15">
        <f t="shared" si="0"/>
        <v>0</v>
      </c>
      <c r="AC16" s="166"/>
      <c r="AD16" s="192"/>
      <c r="AH16" s="189" t="s">
        <v>63</v>
      </c>
      <c r="AI16" s="189"/>
      <c r="AJ16" s="189"/>
      <c r="AK16" s="189"/>
      <c r="AL16" s="22" t="e">
        <f>AC16+AC29+AC35+#REF!</f>
        <v>#REF!</v>
      </c>
    </row>
    <row r="17" spans="1:38" ht="18">
      <c r="A17" s="17">
        <v>18</v>
      </c>
      <c r="B17" s="18" t="s">
        <v>46</v>
      </c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15"/>
      <c r="AA17" s="216"/>
      <c r="AB17" s="15">
        <f>SUM(C17:AA17)</f>
        <v>0</v>
      </c>
      <c r="AC17" s="166"/>
      <c r="AD17" s="192"/>
      <c r="AH17" s="201" t="s">
        <v>67</v>
      </c>
      <c r="AI17" s="202"/>
      <c r="AJ17" s="202"/>
      <c r="AK17" s="203"/>
      <c r="AL17" s="22">
        <f>SUM(C37:K37)</f>
        <v>31042.03</v>
      </c>
    </row>
    <row r="18" spans="1:38" ht="18">
      <c r="A18" s="11">
        <v>19</v>
      </c>
      <c r="B18" s="12" t="s">
        <v>47</v>
      </c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4"/>
      <c r="AB18" s="15">
        <f>SUM(C18:AA18)</f>
        <v>0</v>
      </c>
      <c r="AC18" s="166"/>
      <c r="AD18" s="192"/>
      <c r="AH18" s="139"/>
      <c r="AI18" s="140"/>
      <c r="AJ18" s="140"/>
      <c r="AK18" s="141"/>
      <c r="AL18" s="22"/>
    </row>
    <row r="19" spans="1:38" ht="19.5" customHeight="1">
      <c r="A19" s="205" t="s">
        <v>54</v>
      </c>
      <c r="B19" s="205"/>
      <c r="C19" s="23">
        <f>SUM(C4:C18)</f>
        <v>1451.82</v>
      </c>
      <c r="D19" s="23">
        <f t="shared" ref="D19:K19" si="1">SUM(D4:D18)</f>
        <v>556.94000000000005</v>
      </c>
      <c r="E19" s="23">
        <f t="shared" si="1"/>
        <v>300.95999999999998</v>
      </c>
      <c r="F19" s="23">
        <f t="shared" si="1"/>
        <v>4586.51</v>
      </c>
      <c r="G19" s="23">
        <f t="shared" si="1"/>
        <v>0</v>
      </c>
      <c r="H19" s="23">
        <f t="shared" si="1"/>
        <v>0</v>
      </c>
      <c r="I19" s="23">
        <f t="shared" si="1"/>
        <v>23855.8</v>
      </c>
      <c r="J19" s="23">
        <f t="shared" si="1"/>
        <v>290</v>
      </c>
      <c r="K19" s="23">
        <f t="shared" si="1"/>
        <v>0</v>
      </c>
      <c r="L19" s="24">
        <f>SUM(L5:L18)</f>
        <v>0</v>
      </c>
      <c r="M19" s="24">
        <f t="shared" ref="M19:Q19" si="2">SUM(M5:M18)</f>
        <v>2070</v>
      </c>
      <c r="N19" s="24">
        <f t="shared" si="2"/>
        <v>0</v>
      </c>
      <c r="O19" s="24">
        <f t="shared" si="2"/>
        <v>5400</v>
      </c>
      <c r="P19" s="24">
        <f t="shared" si="2"/>
        <v>11093</v>
      </c>
      <c r="Q19" s="24">
        <f t="shared" si="2"/>
        <v>300</v>
      </c>
      <c r="R19" s="25">
        <f>SUM(R4:R18)</f>
        <v>0</v>
      </c>
      <c r="S19" s="25">
        <f t="shared" ref="S19:AA19" si="3">SUM(S4:S18)</f>
        <v>0</v>
      </c>
      <c r="T19" s="25">
        <f t="shared" si="3"/>
        <v>0</v>
      </c>
      <c r="U19" s="25">
        <f t="shared" si="3"/>
        <v>1333</v>
      </c>
      <c r="V19" s="25">
        <f t="shared" si="3"/>
        <v>0</v>
      </c>
      <c r="W19" s="25">
        <f t="shared" si="3"/>
        <v>20890</v>
      </c>
      <c r="X19" s="25">
        <f t="shared" si="3"/>
        <v>24307</v>
      </c>
      <c r="Y19" s="25">
        <f t="shared" si="3"/>
        <v>0</v>
      </c>
      <c r="Z19" s="25">
        <f t="shared" si="3"/>
        <v>1000</v>
      </c>
      <c r="AA19" s="25">
        <f t="shared" si="3"/>
        <v>0</v>
      </c>
      <c r="AB19" s="26">
        <f>SUM(AB4:AB18)</f>
        <v>97634.03</v>
      </c>
      <c r="AC19" s="27">
        <f t="shared" ref="AC19" si="4">SUM(AC4:AC17)</f>
        <v>144200.85999999999</v>
      </c>
      <c r="AD19" s="167">
        <f>AC19-AB19</f>
        <v>46566.829999999987</v>
      </c>
      <c r="AH19" s="189" t="s">
        <v>84</v>
      </c>
      <c r="AI19" s="189"/>
      <c r="AJ19" s="189"/>
      <c r="AK19" s="189"/>
      <c r="AL19" s="22">
        <f>SUM(L37:Q37)</f>
        <v>18863</v>
      </c>
    </row>
    <row r="20" spans="1:38" ht="18">
      <c r="A20" s="11">
        <v>20</v>
      </c>
      <c r="B20" s="12" t="s">
        <v>48</v>
      </c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3"/>
      <c r="U20" s="213"/>
      <c r="V20" s="213"/>
      <c r="W20" s="213"/>
      <c r="X20" s="213"/>
      <c r="Y20" s="213"/>
      <c r="Z20" s="213"/>
      <c r="AA20" s="214"/>
      <c r="AB20" s="15">
        <f>SUM(C20:AA20)</f>
        <v>0</v>
      </c>
      <c r="AC20" s="16"/>
      <c r="AD20" s="192"/>
      <c r="AH20" s="189" t="s">
        <v>85</v>
      </c>
      <c r="AI20" s="189"/>
      <c r="AJ20" s="189"/>
      <c r="AK20" s="189"/>
      <c r="AL20" s="22">
        <f>W37</f>
        <v>20890</v>
      </c>
    </row>
    <row r="21" spans="1:38" ht="18">
      <c r="A21" s="17">
        <v>21</v>
      </c>
      <c r="B21" s="18" t="s">
        <v>49</v>
      </c>
      <c r="C21" s="215"/>
      <c r="D21" s="215"/>
      <c r="E21" s="215"/>
      <c r="F21" s="215"/>
      <c r="G21" s="215"/>
      <c r="H21" s="215"/>
      <c r="I21" s="215"/>
      <c r="J21" s="215"/>
      <c r="K21" s="215"/>
      <c r="L21" s="215"/>
      <c r="M21" s="215"/>
      <c r="N21" s="215"/>
      <c r="O21" s="215"/>
      <c r="P21" s="215"/>
      <c r="Q21" s="215"/>
      <c r="R21" s="215"/>
      <c r="S21" s="215"/>
      <c r="T21" s="215"/>
      <c r="U21" s="215"/>
      <c r="V21" s="215"/>
      <c r="W21" s="215"/>
      <c r="X21" s="215"/>
      <c r="Y21" s="215"/>
      <c r="Z21" s="215"/>
      <c r="AA21" s="216"/>
      <c r="AB21" s="15">
        <f>SUM(C21:AA21)</f>
        <v>0</v>
      </c>
      <c r="AC21" s="21"/>
      <c r="AD21" s="192"/>
      <c r="AF21" s="29"/>
      <c r="AH21" s="189" t="s">
        <v>86</v>
      </c>
      <c r="AI21" s="189"/>
      <c r="AJ21" s="189"/>
      <c r="AK21" s="189"/>
      <c r="AL21" s="22">
        <f>SUM(U37:V37)</f>
        <v>1333</v>
      </c>
    </row>
    <row r="22" spans="1:38" ht="18">
      <c r="A22" s="11">
        <v>22</v>
      </c>
      <c r="B22" s="12" t="s">
        <v>43</v>
      </c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4"/>
      <c r="AB22" s="15">
        <f t="shared" ref="AB22:AB31" si="5">SUM(C22:AA22)</f>
        <v>0</v>
      </c>
      <c r="AC22" s="21"/>
      <c r="AD22" s="192"/>
      <c r="AH22" s="207" t="s">
        <v>32</v>
      </c>
      <c r="AI22" s="207"/>
      <c r="AJ22" s="207"/>
      <c r="AK22" s="207"/>
      <c r="AL22" s="208">
        <f>T37</f>
        <v>0</v>
      </c>
    </row>
    <row r="23" spans="1:38" ht="18">
      <c r="A23" s="17">
        <v>23</v>
      </c>
      <c r="B23" s="18" t="s">
        <v>44</v>
      </c>
      <c r="C23" s="215"/>
      <c r="D23" s="215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15"/>
      <c r="AA23" s="216"/>
      <c r="AB23" s="15">
        <f t="shared" si="5"/>
        <v>0</v>
      </c>
      <c r="AC23" s="21"/>
      <c r="AD23" s="192"/>
      <c r="AH23" s="209"/>
      <c r="AI23" s="209"/>
      <c r="AJ23" s="209"/>
      <c r="AK23" s="209"/>
      <c r="AL23" s="210"/>
    </row>
    <row r="24" spans="1:38" ht="15.75">
      <c r="A24" s="11">
        <v>24</v>
      </c>
      <c r="B24" s="12" t="s">
        <v>45</v>
      </c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13"/>
      <c r="Z24" s="213"/>
      <c r="AA24" s="214"/>
      <c r="AB24" s="15">
        <f t="shared" si="5"/>
        <v>0</v>
      </c>
      <c r="AC24" s="21"/>
      <c r="AD24" s="192"/>
    </row>
    <row r="25" spans="1:38" ht="15.75">
      <c r="A25" s="17">
        <v>25</v>
      </c>
      <c r="B25" s="18" t="s">
        <v>46</v>
      </c>
      <c r="C25" s="215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  <c r="AA25" s="216"/>
      <c r="AB25" s="15">
        <f t="shared" si="5"/>
        <v>0</v>
      </c>
      <c r="AC25" s="21"/>
      <c r="AD25" s="192"/>
    </row>
    <row r="26" spans="1:38" ht="15.75">
      <c r="A26" s="11">
        <v>26</v>
      </c>
      <c r="B26" s="12" t="s">
        <v>47</v>
      </c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4"/>
      <c r="AB26" s="15">
        <f t="shared" si="5"/>
        <v>0</v>
      </c>
      <c r="AC26" s="16"/>
      <c r="AD26" s="192"/>
    </row>
    <row r="27" spans="1:38" ht="15.75">
      <c r="A27" s="17">
        <v>27</v>
      </c>
      <c r="B27" s="18" t="s">
        <v>48</v>
      </c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  <c r="V27" s="215"/>
      <c r="W27" s="215"/>
      <c r="X27" s="215"/>
      <c r="Y27" s="215"/>
      <c r="Z27" s="215"/>
      <c r="AA27" s="216"/>
      <c r="AB27" s="15">
        <f t="shared" si="5"/>
        <v>0</v>
      </c>
      <c r="AC27" s="21"/>
      <c r="AD27" s="192"/>
    </row>
    <row r="28" spans="1:38" ht="15.75">
      <c r="A28" s="11">
        <v>28</v>
      </c>
      <c r="B28" s="12" t="s">
        <v>49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4"/>
      <c r="AB28" s="15">
        <f t="shared" si="5"/>
        <v>0</v>
      </c>
      <c r="AC28" s="21"/>
      <c r="AD28" s="192"/>
    </row>
    <row r="29" spans="1:38" ht="15.75">
      <c r="A29" s="17">
        <v>29</v>
      </c>
      <c r="B29" s="18" t="s">
        <v>43</v>
      </c>
      <c r="C29" s="215"/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5"/>
      <c r="U29" s="215"/>
      <c r="V29" s="215"/>
      <c r="W29" s="215"/>
      <c r="X29" s="215"/>
      <c r="Y29" s="215"/>
      <c r="Z29" s="215"/>
      <c r="AA29" s="216"/>
      <c r="AB29" s="15">
        <f t="shared" si="5"/>
        <v>0</v>
      </c>
      <c r="AC29" s="21"/>
      <c r="AD29" s="192"/>
    </row>
    <row r="30" spans="1:38" ht="15.75">
      <c r="A30" s="11">
        <v>30</v>
      </c>
      <c r="B30" s="12" t="s">
        <v>44</v>
      </c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4"/>
      <c r="AB30" s="15">
        <f t="shared" si="5"/>
        <v>0</v>
      </c>
      <c r="AC30" s="21"/>
      <c r="AD30" s="192"/>
    </row>
    <row r="31" spans="1:38" ht="15.75">
      <c r="A31" s="17">
        <v>31</v>
      </c>
      <c r="B31" s="18" t="s">
        <v>45</v>
      </c>
      <c r="C31" s="215"/>
      <c r="D31" s="215"/>
      <c r="E31" s="215"/>
      <c r="F31" s="215"/>
      <c r="G31" s="215"/>
      <c r="H31" s="215"/>
      <c r="I31" s="215"/>
      <c r="J31" s="215"/>
      <c r="K31" s="215"/>
      <c r="L31" s="215"/>
      <c r="M31" s="215"/>
      <c r="N31" s="215"/>
      <c r="O31" s="215"/>
      <c r="P31" s="215"/>
      <c r="Q31" s="215"/>
      <c r="R31" s="215"/>
      <c r="S31" s="215"/>
      <c r="T31" s="215"/>
      <c r="U31" s="215"/>
      <c r="V31" s="215"/>
      <c r="W31" s="215"/>
      <c r="X31" s="215"/>
      <c r="Y31" s="215"/>
      <c r="Z31" s="215"/>
      <c r="AA31" s="216"/>
      <c r="AB31" s="15">
        <f t="shared" si="5"/>
        <v>0</v>
      </c>
      <c r="AC31" s="21"/>
      <c r="AD31" s="192"/>
    </row>
    <row r="32" spans="1:38" ht="15.75">
      <c r="A32" s="11">
        <v>1</v>
      </c>
      <c r="B32" s="12" t="s">
        <v>46</v>
      </c>
      <c r="C32" s="217"/>
      <c r="D32" s="217"/>
      <c r="E32" s="217"/>
      <c r="F32" s="217"/>
      <c r="G32" s="217"/>
      <c r="H32" s="217"/>
      <c r="I32" s="217"/>
      <c r="J32" s="217"/>
      <c r="K32" s="217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18"/>
      <c r="AB32" s="15">
        <f>SUM(C32:AA32)</f>
        <v>0</v>
      </c>
      <c r="AC32" s="21"/>
      <c r="AD32" s="192"/>
    </row>
    <row r="33" spans="1:34" ht="15.75">
      <c r="A33" s="17">
        <v>2</v>
      </c>
      <c r="B33" s="18" t="s">
        <v>47</v>
      </c>
      <c r="C33" s="219"/>
      <c r="D33" s="219"/>
      <c r="E33" s="219"/>
      <c r="F33" s="219"/>
      <c r="G33" s="219"/>
      <c r="H33" s="2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  <c r="AA33" s="219"/>
      <c r="AB33" s="211">
        <f t="shared" ref="AB33:AB35" si="6">SUM(C33:AA33)</f>
        <v>0</v>
      </c>
      <c r="AC33" s="21"/>
      <c r="AD33" s="192"/>
    </row>
    <row r="34" spans="1:34" ht="15.75">
      <c r="A34" s="11">
        <v>3</v>
      </c>
      <c r="B34" s="12" t="s">
        <v>48</v>
      </c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11">
        <f t="shared" si="6"/>
        <v>0</v>
      </c>
      <c r="AC34" s="21"/>
      <c r="AD34" s="192"/>
    </row>
    <row r="35" spans="1:34" ht="15.75">
      <c r="A35" s="17">
        <v>4</v>
      </c>
      <c r="B35" s="18" t="s">
        <v>49</v>
      </c>
      <c r="C35" s="219"/>
      <c r="D35" s="219"/>
      <c r="E35" s="219"/>
      <c r="F35" s="219"/>
      <c r="G35" s="219"/>
      <c r="H35" s="2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  <c r="AA35" s="219"/>
      <c r="AB35" s="211">
        <f t="shared" si="6"/>
        <v>0</v>
      </c>
      <c r="AC35" s="21"/>
      <c r="AD35" s="192"/>
    </row>
    <row r="36" spans="1:34" ht="24" customHeight="1">
      <c r="A36" s="204" t="s">
        <v>55</v>
      </c>
      <c r="B36" s="204"/>
      <c r="C36" s="146">
        <f>SUM(C20:C35)</f>
        <v>0</v>
      </c>
      <c r="D36" s="146">
        <f>SUM(D20:D35)</f>
        <v>0</v>
      </c>
      <c r="E36" s="146">
        <f>SUM(E20:E35)</f>
        <v>0</v>
      </c>
      <c r="F36" s="146">
        <f>SUM(F20:F35)</f>
        <v>0</v>
      </c>
      <c r="G36" s="146">
        <f>SUM(G20:G35)</f>
        <v>0</v>
      </c>
      <c r="H36" s="146">
        <f>SUM(H20:H35)</f>
        <v>0</v>
      </c>
      <c r="I36" s="146">
        <f>SUM(I20:I35)</f>
        <v>0</v>
      </c>
      <c r="J36" s="146">
        <f>SUM(J20:J35)</f>
        <v>0</v>
      </c>
      <c r="K36" s="146">
        <f>SUM(K20:K35)</f>
        <v>0</v>
      </c>
      <c r="L36" s="147">
        <f>SUM(L20:L35)</f>
        <v>0</v>
      </c>
      <c r="M36" s="147">
        <f>SUM(M20:M35)</f>
        <v>0</v>
      </c>
      <c r="N36" s="147">
        <f>SUM(N20:N35)</f>
        <v>0</v>
      </c>
      <c r="O36" s="147">
        <f>SUM(O20:O35)</f>
        <v>0</v>
      </c>
      <c r="P36" s="147">
        <f>SUM(P20:P35)</f>
        <v>0</v>
      </c>
      <c r="Q36" s="147">
        <f>SUM(Q20:Q35)</f>
        <v>0</v>
      </c>
      <c r="R36" s="148">
        <f>SUM(R20:R35)</f>
        <v>0</v>
      </c>
      <c r="S36" s="148">
        <f>SUM(S20:S35)</f>
        <v>0</v>
      </c>
      <c r="T36" s="148">
        <f>SUM(T20:T35)</f>
        <v>0</v>
      </c>
      <c r="U36" s="148">
        <f>SUM(U20:U35)</f>
        <v>0</v>
      </c>
      <c r="V36" s="148">
        <f>SUM(V20:V35)</f>
        <v>0</v>
      </c>
      <c r="W36" s="148">
        <f>SUM(W20:W35)</f>
        <v>0</v>
      </c>
      <c r="X36" s="148">
        <f>SUM(X20:X35)</f>
        <v>0</v>
      </c>
      <c r="Y36" s="148">
        <f>SUM(Y20:Y35)</f>
        <v>0</v>
      </c>
      <c r="Z36" s="148">
        <f>SUM(Z20:Z35)</f>
        <v>0</v>
      </c>
      <c r="AA36" s="149">
        <f>SUM(AA20:AA35)</f>
        <v>0</v>
      </c>
      <c r="AB36" s="26">
        <f>SUM(AB20:AB35)</f>
        <v>0</v>
      </c>
      <c r="AC36" s="27">
        <f>SUM(AC20:AC35)</f>
        <v>0</v>
      </c>
      <c r="AD36" s="28">
        <f>AC36-AB36</f>
        <v>0</v>
      </c>
      <c r="AH36" s="165"/>
    </row>
    <row r="37" spans="1:34" ht="31.5" customHeight="1">
      <c r="A37" s="191" t="s">
        <v>56</v>
      </c>
      <c r="B37" s="191"/>
      <c r="C37" s="31">
        <f>SUM(C19,C36)</f>
        <v>1451.82</v>
      </c>
      <c r="D37" s="31">
        <f>SUM(D19,D36)</f>
        <v>556.94000000000005</v>
      </c>
      <c r="E37" s="31">
        <f>SUM(E19,E36)</f>
        <v>300.95999999999998</v>
      </c>
      <c r="F37" s="31">
        <f>SUM(F19,F36)</f>
        <v>4586.51</v>
      </c>
      <c r="G37" s="31">
        <f>SUM(G19,G36)</f>
        <v>0</v>
      </c>
      <c r="H37" s="31">
        <f>SUM(H19,H36)</f>
        <v>0</v>
      </c>
      <c r="I37" s="31">
        <f>SUM(I19,I36)</f>
        <v>23855.8</v>
      </c>
      <c r="J37" s="31">
        <f>SUM(J19,J36)</f>
        <v>290</v>
      </c>
      <c r="K37" s="31">
        <f>SUM(K19,K36)</f>
        <v>0</v>
      </c>
      <c r="L37" s="31">
        <f>SUM(L19,L36)</f>
        <v>0</v>
      </c>
      <c r="M37" s="31">
        <f>SUM(M19,M36)</f>
        <v>2070</v>
      </c>
      <c r="N37" s="31">
        <f>SUM(N19,N36)</f>
        <v>0</v>
      </c>
      <c r="O37" s="31">
        <f>SUM(O19,O36)</f>
        <v>5400</v>
      </c>
      <c r="P37" s="31">
        <f>SUM(P19,P36)</f>
        <v>11093</v>
      </c>
      <c r="Q37" s="31">
        <f>SUM(Q19,Q36)</f>
        <v>300</v>
      </c>
      <c r="R37" s="31">
        <f>SUM(R19,R36)</f>
        <v>0</v>
      </c>
      <c r="S37" s="31"/>
      <c r="T37" s="31">
        <f>SUM(T19,T36)</f>
        <v>0</v>
      </c>
      <c r="U37" s="31">
        <f>SUM(U19,U36)</f>
        <v>1333</v>
      </c>
      <c r="V37" s="31">
        <f>SUM(V19,V36)</f>
        <v>0</v>
      </c>
      <c r="W37" s="31">
        <f>SUM(W19,W36)</f>
        <v>20890</v>
      </c>
      <c r="X37" s="31">
        <f>SUM(X19,X36)</f>
        <v>24307</v>
      </c>
      <c r="Y37" s="31">
        <f>SUM(Y19,Y36)</f>
        <v>0</v>
      </c>
      <c r="Z37" s="31">
        <f>SUM(Z19,Z36)</f>
        <v>1000</v>
      </c>
      <c r="AA37" s="32">
        <f>SUM(AA19,AA36)</f>
        <v>0</v>
      </c>
      <c r="AB37" s="33">
        <f>SUM(AB19,AB36)</f>
        <v>97634.03</v>
      </c>
      <c r="AC37" s="34">
        <f>SUM(AC19,AC36)</f>
        <v>144200.85999999999</v>
      </c>
      <c r="AD37" s="169">
        <f>SUM(AD19,AD36)</f>
        <v>46566.829999999987</v>
      </c>
    </row>
    <row r="41" spans="1:34"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</row>
  </sheetData>
  <mergeCells count="21">
    <mergeCell ref="A36:B36"/>
    <mergeCell ref="A37:B37"/>
    <mergeCell ref="AD4:AD18"/>
    <mergeCell ref="A19:B19"/>
    <mergeCell ref="AH19:AK19"/>
    <mergeCell ref="AD20:AD35"/>
    <mergeCell ref="AH20:AK20"/>
    <mergeCell ref="AH21:AK21"/>
    <mergeCell ref="AH22:AK22"/>
    <mergeCell ref="AH23:AK23"/>
    <mergeCell ref="AH11:AL13"/>
    <mergeCell ref="AH14:AK14"/>
    <mergeCell ref="AH15:AK15"/>
    <mergeCell ref="AH16:AK16"/>
    <mergeCell ref="AH17:AK17"/>
    <mergeCell ref="A1:AD1"/>
    <mergeCell ref="A2:B2"/>
    <mergeCell ref="C2:K2"/>
    <mergeCell ref="L2:Q2"/>
    <mergeCell ref="R2:AA2"/>
    <mergeCell ref="AB2:AD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Сводная</vt:lpstr>
      <vt:lpstr>Февраль 2026</vt:lpstr>
      <vt:lpstr>Март 2026</vt:lpstr>
      <vt:lpstr>Апрель 2026</vt:lpstr>
      <vt:lpstr>Май 2026</vt:lpstr>
      <vt:lpstr> Июнь 2026</vt:lpstr>
      <vt:lpstr>Июль 2026</vt:lpstr>
      <vt:lpstr>Август 2026</vt:lpstr>
      <vt:lpstr>Сентябрь 2026</vt:lpstr>
      <vt:lpstr>Октябрь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SABEN_MUSIC</cp:lastModifiedBy>
  <dcterms:created xsi:type="dcterms:W3CDTF">2015-06-05T18:19:00Z</dcterms:created>
  <dcterms:modified xsi:type="dcterms:W3CDTF">2026-10-11T07:03:11Z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2A9C1B23E46B4891BAC8C204A11C42E3_12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