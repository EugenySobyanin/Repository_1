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omments7.xml" ContentType="application/vnd.openxmlformats-officedocument.spreadsheetml.comment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7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20" i="8"/>
  <c r="Q30"/>
  <c r="W30" s="1"/>
  <c r="F35"/>
  <c r="W35" s="1"/>
  <c r="N9" i="9"/>
  <c r="N19" s="1"/>
  <c r="W8"/>
  <c r="AB8" s="1"/>
  <c r="I7"/>
  <c r="AB7" s="1"/>
  <c r="L5"/>
  <c r="AB5" s="1"/>
  <c r="I4"/>
  <c r="AB4" s="1"/>
  <c r="AC4"/>
  <c r="AC19" s="1"/>
  <c r="AB22"/>
  <c r="AB23"/>
  <c r="AB24"/>
  <c r="AB25"/>
  <c r="AB26"/>
  <c r="AB27"/>
  <c r="AB28"/>
  <c r="AB29"/>
  <c r="AB30"/>
  <c r="AB31"/>
  <c r="AB32"/>
  <c r="AB33"/>
  <c r="AB34"/>
  <c r="AB35"/>
  <c r="AB21"/>
  <c r="AB20"/>
  <c r="S36"/>
  <c r="T36"/>
  <c r="U36"/>
  <c r="V36"/>
  <c r="W36"/>
  <c r="X36"/>
  <c r="Y36"/>
  <c r="Z36"/>
  <c r="AA36"/>
  <c r="R36"/>
  <c r="M36"/>
  <c r="N36"/>
  <c r="O36"/>
  <c r="P36"/>
  <c r="Q36"/>
  <c r="L36"/>
  <c r="D36"/>
  <c r="E36"/>
  <c r="F36"/>
  <c r="G36"/>
  <c r="H36"/>
  <c r="I36"/>
  <c r="J36"/>
  <c r="K36"/>
  <c r="C36"/>
  <c r="AB6"/>
  <c r="AB9"/>
  <c r="AB10"/>
  <c r="AB11"/>
  <c r="AB12"/>
  <c r="AB13"/>
  <c r="AB14"/>
  <c r="AB15"/>
  <c r="AB16"/>
  <c r="AB17"/>
  <c r="AB18"/>
  <c r="D19"/>
  <c r="E19"/>
  <c r="F19"/>
  <c r="G19"/>
  <c r="H19"/>
  <c r="J19"/>
  <c r="K19"/>
  <c r="M19"/>
  <c r="O19"/>
  <c r="P19"/>
  <c r="Q19"/>
  <c r="R19"/>
  <c r="S19"/>
  <c r="T19"/>
  <c r="U19"/>
  <c r="V19"/>
  <c r="X19"/>
  <c r="Y19"/>
  <c r="Z19"/>
  <c r="AA19"/>
  <c r="C19"/>
  <c r="R37"/>
  <c r="H37"/>
  <c r="AG13" i="8"/>
  <c r="AG12"/>
  <c r="AG11"/>
  <c r="Y37"/>
  <c r="X37"/>
  <c r="W20"/>
  <c r="X20"/>
  <c r="X38" s="1"/>
  <c r="Y20"/>
  <c r="W22"/>
  <c r="W23"/>
  <c r="W24"/>
  <c r="W25"/>
  <c r="W26"/>
  <c r="W27"/>
  <c r="W28"/>
  <c r="W29"/>
  <c r="W31"/>
  <c r="W32"/>
  <c r="W33"/>
  <c r="W34"/>
  <c r="W36"/>
  <c r="W21"/>
  <c r="W3"/>
  <c r="Y3"/>
  <c r="O17"/>
  <c r="U17"/>
  <c r="C17"/>
  <c r="AC36" i="9"/>
  <c r="C22" i="8"/>
  <c r="O24"/>
  <c r="D25"/>
  <c r="T28"/>
  <c r="W37" l="1"/>
  <c r="Z37" s="1"/>
  <c r="Z38" s="1"/>
  <c r="W19" i="9"/>
  <c r="W37" s="1"/>
  <c r="V37"/>
  <c r="L19"/>
  <c r="L37" s="1"/>
  <c r="I19"/>
  <c r="I37" s="1"/>
  <c r="AB36"/>
  <c r="AD36" s="1"/>
  <c r="U37"/>
  <c r="T37"/>
  <c r="M37"/>
  <c r="K37"/>
  <c r="F37"/>
  <c r="X37"/>
  <c r="Y37"/>
  <c r="J37"/>
  <c r="Z37"/>
  <c r="AA37"/>
  <c r="N37"/>
  <c r="AB19"/>
  <c r="AC37"/>
  <c r="C37"/>
  <c r="V19" i="8"/>
  <c r="Q15"/>
  <c r="C14"/>
  <c r="AD19" i="9" l="1"/>
  <c r="AD37" s="1"/>
  <c r="AB37"/>
  <c r="C3" i="8"/>
  <c r="L3"/>
  <c r="Q3"/>
  <c r="O4"/>
  <c r="H4"/>
  <c r="D4"/>
  <c r="C5"/>
  <c r="W5" s="1"/>
  <c r="C7"/>
  <c r="W7" s="1"/>
  <c r="Q8"/>
  <c r="W8" s="1"/>
  <c r="O10"/>
  <c r="W10" s="1"/>
  <c r="C11"/>
  <c r="W11" s="1"/>
  <c r="W6"/>
  <c r="W9"/>
  <c r="W12"/>
  <c r="W13"/>
  <c r="W14"/>
  <c r="W15"/>
  <c r="W16"/>
  <c r="W17"/>
  <c r="W18"/>
  <c r="W19"/>
  <c r="W4" l="1"/>
  <c r="V37"/>
  <c r="U37"/>
  <c r="T37"/>
  <c r="S37"/>
  <c r="R37"/>
  <c r="Q37"/>
  <c r="P37"/>
  <c r="O37"/>
  <c r="N37"/>
  <c r="M37"/>
  <c r="L37"/>
  <c r="K37"/>
  <c r="J37"/>
  <c r="I37"/>
  <c r="H37"/>
  <c r="G37"/>
  <c r="F37"/>
  <c r="E37"/>
  <c r="D37"/>
  <c r="C37"/>
  <c r="U20"/>
  <c r="T20"/>
  <c r="R20"/>
  <c r="Q20"/>
  <c r="O20"/>
  <c r="N20"/>
  <c r="M20"/>
  <c r="L20"/>
  <c r="K20"/>
  <c r="J20"/>
  <c r="I20"/>
  <c r="H20"/>
  <c r="G20"/>
  <c r="G38" s="1"/>
  <c r="E20"/>
  <c r="F20"/>
  <c r="D20"/>
  <c r="V20"/>
  <c r="S20"/>
  <c r="S38" s="1"/>
  <c r="C20"/>
  <c r="F38" l="1"/>
  <c r="T38"/>
  <c r="E38"/>
  <c r="N38"/>
  <c r="M38"/>
  <c r="Q38"/>
  <c r="U38"/>
  <c r="O38"/>
  <c r="D38"/>
  <c r="C38"/>
  <c r="V38"/>
  <c r="L38"/>
  <c r="Y38"/>
  <c r="K38"/>
  <c r="I38"/>
  <c r="H38"/>
  <c r="J38"/>
  <c r="R38"/>
  <c r="P20"/>
  <c r="P38" s="1"/>
  <c r="C6" i="7"/>
  <c r="W6" s="1"/>
  <c r="F6"/>
  <c r="F18" s="1"/>
  <c r="C5"/>
  <c r="W5" s="1"/>
  <c r="D4"/>
  <c r="D18" s="1"/>
  <c r="C3"/>
  <c r="C18" s="1"/>
  <c r="H3"/>
  <c r="H18" s="1"/>
  <c r="H36" s="1"/>
  <c r="P7"/>
  <c r="W7" s="1"/>
  <c r="F8"/>
  <c r="N8"/>
  <c r="O9"/>
  <c r="C11"/>
  <c r="W11" s="1"/>
  <c r="P17"/>
  <c r="O24" i="6"/>
  <c r="C24"/>
  <c r="V25"/>
  <c r="O25"/>
  <c r="C25"/>
  <c r="O27"/>
  <c r="S27"/>
  <c r="L28"/>
  <c r="H28"/>
  <c r="V28"/>
  <c r="C29"/>
  <c r="W29" s="1"/>
  <c r="C30"/>
  <c r="W30" s="1"/>
  <c r="N31"/>
  <c r="S31"/>
  <c r="V3" i="7"/>
  <c r="V18" s="1"/>
  <c r="S3"/>
  <c r="S18" s="1"/>
  <c r="X3"/>
  <c r="X18" s="1"/>
  <c r="X35"/>
  <c r="V35"/>
  <c r="U35"/>
  <c r="T35"/>
  <c r="S35"/>
  <c r="R35"/>
  <c r="Q35"/>
  <c r="P35"/>
  <c r="N35"/>
  <c r="M35"/>
  <c r="L35"/>
  <c r="K35"/>
  <c r="J35"/>
  <c r="G35"/>
  <c r="F35"/>
  <c r="E35"/>
  <c r="C35"/>
  <c r="W34"/>
  <c r="W33"/>
  <c r="W32"/>
  <c r="W31"/>
  <c r="W30"/>
  <c r="W29"/>
  <c r="W28"/>
  <c r="W27"/>
  <c r="W26"/>
  <c r="W25"/>
  <c r="W24"/>
  <c r="W23"/>
  <c r="W22"/>
  <c r="W21"/>
  <c r="I35"/>
  <c r="H35"/>
  <c r="W20"/>
  <c r="O35"/>
  <c r="D35"/>
  <c r="W19"/>
  <c r="U18"/>
  <c r="T18"/>
  <c r="R18"/>
  <c r="Q18"/>
  <c r="P18"/>
  <c r="N18"/>
  <c r="M18"/>
  <c r="L18"/>
  <c r="K18"/>
  <c r="J18"/>
  <c r="I18"/>
  <c r="G18"/>
  <c r="E18"/>
  <c r="W17"/>
  <c r="W16"/>
  <c r="W15"/>
  <c r="W14"/>
  <c r="W13"/>
  <c r="W12"/>
  <c r="W10"/>
  <c r="W9"/>
  <c r="W8"/>
  <c r="O18"/>
  <c r="T9" i="6"/>
  <c r="D9"/>
  <c r="C9"/>
  <c r="Q10"/>
  <c r="H11"/>
  <c r="C14"/>
  <c r="W22"/>
  <c r="W26"/>
  <c r="W32"/>
  <c r="W33"/>
  <c r="W34"/>
  <c r="W19"/>
  <c r="C23"/>
  <c r="W23" s="1"/>
  <c r="I21"/>
  <c r="H21"/>
  <c r="W21" s="1"/>
  <c r="O20"/>
  <c r="D20"/>
  <c r="W20" s="1"/>
  <c r="AG15" i="8" l="1"/>
  <c r="W4" i="7"/>
  <c r="J36"/>
  <c r="K36"/>
  <c r="U36"/>
  <c r="N36"/>
  <c r="W24" i="6"/>
  <c r="W25"/>
  <c r="W27"/>
  <c r="W28"/>
  <c r="W31"/>
  <c r="V36" i="7"/>
  <c r="W3"/>
  <c r="W18" s="1"/>
  <c r="W35"/>
  <c r="Y35" s="1"/>
  <c r="E36"/>
  <c r="G36"/>
  <c r="P36"/>
  <c r="T36"/>
  <c r="S36"/>
  <c r="R36"/>
  <c r="Q36"/>
  <c r="F36"/>
  <c r="C36"/>
  <c r="M36"/>
  <c r="I36"/>
  <c r="L36"/>
  <c r="O36"/>
  <c r="D36"/>
  <c r="X36"/>
  <c r="O6" i="6"/>
  <c r="O18" s="1"/>
  <c r="C5"/>
  <c r="W5" s="1"/>
  <c r="F5"/>
  <c r="F18" s="1"/>
  <c r="O4"/>
  <c r="H4"/>
  <c r="H18" s="1"/>
  <c r="P3"/>
  <c r="W7"/>
  <c r="W8"/>
  <c r="W9"/>
  <c r="W10"/>
  <c r="W11"/>
  <c r="W12"/>
  <c r="W13"/>
  <c r="W14"/>
  <c r="W15"/>
  <c r="W16"/>
  <c r="W17"/>
  <c r="S3"/>
  <c r="S18" s="1"/>
  <c r="S21" i="4"/>
  <c r="S36" s="1"/>
  <c r="D3" i="6"/>
  <c r="D18" s="1"/>
  <c r="H8" i="5"/>
  <c r="X35" i="6"/>
  <c r="V35"/>
  <c r="U35"/>
  <c r="T35"/>
  <c r="R35"/>
  <c r="Q35"/>
  <c r="P35"/>
  <c r="N35"/>
  <c r="M35"/>
  <c r="L35"/>
  <c r="K35"/>
  <c r="J35"/>
  <c r="I35"/>
  <c r="G35"/>
  <c r="F35"/>
  <c r="E35"/>
  <c r="D35"/>
  <c r="S35"/>
  <c r="X18"/>
  <c r="V18"/>
  <c r="U18"/>
  <c r="T18"/>
  <c r="R18"/>
  <c r="M18"/>
  <c r="L18"/>
  <c r="K18"/>
  <c r="J18"/>
  <c r="I18"/>
  <c r="G18"/>
  <c r="E18"/>
  <c r="N18"/>
  <c r="Q18"/>
  <c r="H31" i="4"/>
  <c r="H36" s="1"/>
  <c r="C31"/>
  <c r="C32"/>
  <c r="C33"/>
  <c r="C35"/>
  <c r="W35" s="1"/>
  <c r="H7" i="5"/>
  <c r="H6"/>
  <c r="O28" i="4"/>
  <c r="O29"/>
  <c r="X36"/>
  <c r="D36"/>
  <c r="E36"/>
  <c r="F36"/>
  <c r="G36"/>
  <c r="I36"/>
  <c r="J36"/>
  <c r="K36"/>
  <c r="L36"/>
  <c r="M36"/>
  <c r="N36"/>
  <c r="P36"/>
  <c r="Q36"/>
  <c r="R36"/>
  <c r="T36"/>
  <c r="U36"/>
  <c r="V36"/>
  <c r="X20"/>
  <c r="D20"/>
  <c r="E20"/>
  <c r="F20"/>
  <c r="G20"/>
  <c r="I20"/>
  <c r="J20"/>
  <c r="J37" s="1"/>
  <c r="K20"/>
  <c r="L20"/>
  <c r="L37" s="1"/>
  <c r="M20"/>
  <c r="R20"/>
  <c r="T20"/>
  <c r="U20"/>
  <c r="C18"/>
  <c r="C16"/>
  <c r="P6"/>
  <c r="P20" s="1"/>
  <c r="P7"/>
  <c r="C11"/>
  <c r="O11"/>
  <c r="O20" s="1"/>
  <c r="N11"/>
  <c r="N20" s="1"/>
  <c r="C12"/>
  <c r="W6" i="6" l="1"/>
  <c r="W38" i="8"/>
  <c r="AG14" s="1"/>
  <c r="E37" i="4"/>
  <c r="M37"/>
  <c r="W4" i="6"/>
  <c r="W36" i="7"/>
  <c r="Y18"/>
  <c r="Y36" s="1"/>
  <c r="X36" i="6"/>
  <c r="W3"/>
  <c r="D37" i="4"/>
  <c r="X37"/>
  <c r="M36" i="6"/>
  <c r="Q36"/>
  <c r="L36"/>
  <c r="E36"/>
  <c r="D36"/>
  <c r="N36"/>
  <c r="R36"/>
  <c r="J36"/>
  <c r="I36"/>
  <c r="G36"/>
  <c r="F36"/>
  <c r="K36"/>
  <c r="C35"/>
  <c r="H35"/>
  <c r="H36" s="1"/>
  <c r="P18"/>
  <c r="P36" s="1"/>
  <c r="V36"/>
  <c r="C18"/>
  <c r="U36"/>
  <c r="T36"/>
  <c r="S36"/>
  <c r="O35"/>
  <c r="O36" s="1"/>
  <c r="C36" i="4"/>
  <c r="R37"/>
  <c r="T37"/>
  <c r="P37"/>
  <c r="U37"/>
  <c r="G37"/>
  <c r="N37"/>
  <c r="F37"/>
  <c r="K37"/>
  <c r="I37"/>
  <c r="O36"/>
  <c r="O37" s="1"/>
  <c r="C5"/>
  <c r="C4"/>
  <c r="C20" s="1"/>
  <c r="H4"/>
  <c r="H20" s="1"/>
  <c r="H37" s="1"/>
  <c r="C37" l="1"/>
  <c r="W18" i="6"/>
  <c r="W35"/>
  <c r="Y35" s="1"/>
  <c r="C36"/>
  <c r="V4" i="4"/>
  <c r="V20" s="1"/>
  <c r="V37" s="1"/>
  <c r="Q3"/>
  <c r="Q20" s="1"/>
  <c r="Q37" s="1"/>
  <c r="S3"/>
  <c r="S20" s="1"/>
  <c r="S37" s="1"/>
  <c r="W36" i="6" l="1"/>
  <c r="Y18"/>
  <c r="Y36" s="1"/>
  <c r="W33" i="4"/>
  <c r="W34"/>
  <c r="W32"/>
  <c r="W31"/>
  <c r="W30"/>
  <c r="W29"/>
  <c r="W28"/>
  <c r="W27"/>
  <c r="W26"/>
  <c r="W25"/>
  <c r="W24"/>
  <c r="W23"/>
  <c r="W22"/>
  <c r="W21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W20" i="4" l="1"/>
  <c r="Y20" s="1"/>
  <c r="W36"/>
  <c r="F32" i="1"/>
  <c r="R5"/>
  <c r="R32" s="1"/>
  <c r="G5"/>
  <c r="W37" i="4" l="1"/>
  <c r="Y36"/>
  <c r="Y37" s="1"/>
  <c r="N4" i="1"/>
  <c r="N32" s="1"/>
  <c r="S4"/>
  <c r="C3"/>
  <c r="V3" s="1"/>
  <c r="H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P11"/>
  <c r="G11"/>
  <c r="G31" s="1"/>
  <c r="C11"/>
  <c r="N6"/>
  <c r="V6" s="1"/>
  <c r="N5"/>
  <c r="V5" s="1"/>
  <c r="N4"/>
  <c r="C3"/>
  <c r="V3" s="1"/>
  <c r="V12" l="1"/>
  <c r="P31"/>
  <c r="N31"/>
  <c r="C31"/>
  <c r="V11"/>
  <c r="V4"/>
  <c r="X30"/>
  <c r="V31" l="1"/>
  <c r="X31" s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M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M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color indexed="81"/>
            <rFont val="Tahoma"/>
            <family val="2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</t>
        </r>
      </text>
    </comment>
    <comment ref="S2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color indexed="81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color indexed="81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color indexed="81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color indexed="81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color indexed="81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color indexed="81"/>
            <rFont val="Tahoma"/>
            <family val="2"/>
            <charset val="204"/>
          </rPr>
          <t>Поход в Ла джорджию</t>
        </r>
      </text>
    </comment>
    <comment ref="O4" authorId="0">
      <text>
        <r>
          <rPr>
            <sz val="9"/>
            <color indexed="81"/>
            <rFont val="Tahoma"/>
            <family val="2"/>
            <charset val="204"/>
          </rPr>
          <t>t2</t>
        </r>
      </text>
    </comment>
    <comment ref="P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color indexed="81"/>
            <rFont val="Tahoma"/>
            <family val="2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color indexed="81"/>
            <rFont val="Tahoma"/>
            <family val="2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color indexed="81"/>
            <rFont val="Tahoma"/>
            <family val="2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color indexed="81"/>
            <rFont val="Tahoma"/>
            <family val="2"/>
            <charset val="204"/>
          </rPr>
          <t>Вьет Кук</t>
        </r>
      </text>
    </comment>
    <comment ref="J7" authorId="0">
      <text>
        <r>
          <rPr>
            <b/>
            <sz val="9"/>
            <color indexed="81"/>
            <rFont val="Tahoma"/>
            <family val="2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color indexed="81"/>
            <rFont val="Tahoma"/>
            <family val="2"/>
            <charset val="204"/>
          </rPr>
          <t xml:space="preserve">t2
</t>
        </r>
      </text>
    </comment>
    <comment ref="Z7" authorId="0">
      <text>
        <r>
          <rPr>
            <b/>
            <sz val="9"/>
            <color indexed="81"/>
            <rFont val="Tahoma"/>
            <family val="2"/>
            <charset val="204"/>
          </rPr>
          <t>Билеты в IMAX в химках</t>
        </r>
      </text>
    </comment>
    <comment ref="J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color indexed="81"/>
            <rFont val="Tahoma"/>
            <family val="2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color indexed="81"/>
            <rFont val="Tahoma"/>
            <family val="2"/>
            <charset val="204"/>
          </rPr>
          <t xml:space="preserve">t2 + впн
</t>
        </r>
      </text>
    </comment>
    <comment ref="P9" authorId="0">
      <text>
        <r>
          <rPr>
            <sz val="9"/>
            <color indexed="81"/>
            <rFont val="Tahoma"/>
            <family val="2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color indexed="81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color indexed="81"/>
            <rFont val="Tahoma"/>
            <charset val="1"/>
          </rPr>
          <t xml:space="preserve">Купил ей поке и бабл ти
</t>
        </r>
      </text>
    </comment>
  </commentList>
</comments>
</file>

<file path=xl/sharedStrings.xml><?xml version="1.0" encoding="utf-8"?>
<sst xmlns="http://schemas.openxmlformats.org/spreadsheetml/2006/main" count="452" uniqueCount="83">
  <si>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</si>
  <si>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</si>
  <si>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</si>
  <si>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</si>
  <si>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</si>
  <si>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</si>
  <si>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</si>
  <si>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</si>
  <si>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</si>
  <si>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</si>
  <si>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</si>
  <si>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</si>
  <si>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</si>
  <si>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</si>
  <si>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</si>
  <si>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</si>
  <si>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</si>
  <si>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</si>
  <si>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</si>
  <si>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</si>
  <si>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</si>
  <si>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</si>
  <si>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</si>
  <si>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</si>
  <si>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</si>
  <si>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</si>
  <si>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</si>
  <si>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</si>
  <si>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</si>
  <si>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</si>
  <si>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</si>
  <si>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</si>
  <si>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</si>
  <si>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</si>
  <si>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</si>
  <si>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</si>
  <si>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</si>
  <si>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</si>
  <si>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</si>
  <si>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</si>
  <si>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</si>
  <si>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</si>
  <si>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</si>
  <si>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</si>
  <si>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</si>
  <si>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</si>
  <si>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</si>
  <si>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</si>
  <si>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</si>
  <si>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</si>
  <si>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</si>
  <si>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</si>
  <si>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</si>
  <si>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</si>
  <si>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</si>
  <si>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</si>
  <si>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</si>
  <si>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</si>
  <si>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</si>
  <si>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</si>
  <si>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</si>
  <si>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</si>
  <si>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</si>
  <si>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</si>
  <si>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</si>
  <si>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Потратил на еду</t>
  </si>
  <si>
    <r>
      <t xml:space="preserve">Доходы - Расходы </t>
    </r>
    <r>
      <rPr>
        <b/>
        <sz val="20"/>
        <color theme="5" tint="-0.24994659260841701"/>
        <rFont val="Arial"/>
        <family val="2"/>
        <charset val="204"/>
      </rPr>
      <t>Август</t>
    </r>
    <r>
      <rPr>
        <b/>
        <sz val="20"/>
        <color theme="1" tint="4.9989318521683403E-2"/>
        <rFont val="Arial"/>
        <family val="2"/>
        <charset val="204"/>
      </rPr>
      <t xml:space="preserve"> 2026</t>
    </r>
  </si>
  <si>
    <t>ЕДА</t>
  </si>
  <si>
    <t>Ярче</t>
  </si>
  <si>
    <t>Магнит/Пятерочка</t>
  </si>
  <si>
    <t>Перекресток</t>
  </si>
  <si>
    <t>Доставка из ресторанов</t>
  </si>
  <si>
    <t>Поход в ресторан</t>
  </si>
  <si>
    <t>Поход в фаст фуд</t>
  </si>
  <si>
    <t>Обеды</t>
  </si>
  <si>
    <t>Базовые потребности (на которых не сэкономить)</t>
  </si>
  <si>
    <t>Ежемесячные платежи</t>
  </si>
  <si>
    <t>Дргое (форс-мажорное)</t>
  </si>
  <si>
    <t>Отдых, развлечение, быт и излишки (все на чем в теории можно сэкономить)</t>
  </si>
  <si>
    <t>Другое (покупки)</t>
  </si>
  <si>
    <t>Друггое (развлечения)</t>
  </si>
  <si>
    <t>ИТОГИ</t>
  </si>
  <si>
    <t>Яндекс Лавка / Самокат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</si>
</sst>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4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Franklin Gothic Demi"/>
      <family val="2"/>
      <charset val="204"/>
    </font>
    <font>
      <b/>
      <sz val="11"/>
      <name val="Calibri"/>
      <family val="2"/>
      <charset val="204"/>
      <scheme val="minor"/>
    </font>
    <font>
      <sz val="11"/>
      <color theme="0"/>
      <name val="Franklin Gothic Demi"/>
      <family val="2"/>
      <charset val="204"/>
    </font>
    <font>
      <sz val="12"/>
      <color theme="1"/>
      <name val="Bahnschrift"/>
      <family val="2"/>
      <charset val="204"/>
    </font>
    <font>
      <sz val="14"/>
      <color theme="1"/>
      <name val="Bahnschrift"/>
      <family val="2"/>
      <charset val="204"/>
    </font>
    <font>
      <sz val="11"/>
      <color theme="1" tint="4.9989318521683403E-2"/>
      <name val="Franklin Gothic Demi"/>
      <family val="2"/>
      <charset val="204"/>
    </font>
    <font>
      <b/>
      <sz val="20"/>
      <color theme="1" tint="4.9989318521683403E-2"/>
      <name val="Arial"/>
      <family val="2"/>
      <charset val="204"/>
    </font>
    <font>
      <b/>
      <sz val="20"/>
      <color theme="5" tint="-0.24994659260841701"/>
      <name val="Arial"/>
      <family val="2"/>
      <charset val="204"/>
    </font>
    <font>
      <b/>
      <sz val="16"/>
      <color theme="1" tint="4.9989318521683403E-2"/>
      <name val="Arial"/>
      <family val="2"/>
      <charset val="204"/>
    </font>
    <font>
      <sz val="11"/>
      <color theme="7" tint="-0.499984740745262"/>
      <name val="Franklin Gothic Demi"/>
      <family val="2"/>
      <charset val="204"/>
    </font>
    <font>
      <sz val="11"/>
      <color theme="9" tint="-0.499984740745262"/>
      <name val="Franklin Gothic Demi"/>
      <family val="2"/>
      <charset val="204"/>
    </font>
    <font>
      <b/>
      <sz val="16"/>
      <name val="Arial"/>
      <family val="2"/>
      <charset val="204"/>
    </font>
    <font>
      <b/>
      <sz val="16"/>
      <color theme="0"/>
      <name val="Arial"/>
      <family val="2"/>
      <charset val="204"/>
    </font>
    <font>
      <sz val="11"/>
      <name val="Franklin Gothic Demi"/>
      <family val="2"/>
      <charset val="204"/>
    </font>
  </fonts>
  <fills count="3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1" tint="0.34998626667073579"/>
      </left>
      <right/>
      <top/>
      <bottom style="thin">
        <color theme="1" tint="0.3499862666707357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164" fontId="23" fillId="19" borderId="7" xfId="0" applyNumberFormat="1" applyFont="1" applyFill="1" applyBorder="1" applyAlignment="1">
      <alignment horizontal="right" vertical="center"/>
    </xf>
    <xf numFmtId="164" fontId="23" fillId="7" borderId="15" xfId="0" applyNumberFormat="1" applyFont="1" applyFill="1" applyBorder="1" applyAlignment="1">
      <alignment horizontal="right" vertical="center"/>
    </xf>
    <xf numFmtId="164" fontId="23" fillId="17" borderId="15" xfId="0" applyNumberFormat="1" applyFont="1" applyFill="1" applyBorder="1" applyAlignment="1">
      <alignment horizontal="right" vertical="center"/>
    </xf>
    <xf numFmtId="0" fontId="26" fillId="6" borderId="1" xfId="0" applyFont="1" applyFill="1" applyBorder="1" applyAlignment="1">
      <alignment horizontal="center" vertical="center" wrapText="1"/>
    </xf>
    <xf numFmtId="0" fontId="26" fillId="5" borderId="16" xfId="0" applyFont="1" applyFill="1" applyBorder="1" applyAlignment="1">
      <alignment horizontal="center" vertical="center" wrapText="1"/>
    </xf>
    <xf numFmtId="164" fontId="27" fillId="6" borderId="15" xfId="0" applyNumberFormat="1" applyFont="1" applyFill="1" applyBorder="1" applyAlignment="1">
      <alignment horizontal="right" vertical="center"/>
    </xf>
    <xf numFmtId="164" fontId="29" fillId="6" borderId="15" xfId="0" applyNumberFormat="1" applyFont="1" applyFill="1" applyBorder="1" applyAlignment="1">
      <alignment horizontal="right" vertical="center"/>
    </xf>
    <xf numFmtId="0" fontId="26" fillId="24" borderId="7" xfId="0" applyFont="1" applyFill="1" applyBorder="1" applyAlignment="1">
      <alignment horizontal="center" vertical="center" wrapText="1"/>
    </xf>
    <xf numFmtId="164" fontId="23" fillId="14" borderId="7" xfId="0" applyNumberFormat="1" applyFont="1" applyFill="1" applyBorder="1" applyAlignment="1">
      <alignment horizontal="right" vertical="center"/>
    </xf>
    <xf numFmtId="164" fontId="23" fillId="25" borderId="7" xfId="0" applyNumberFormat="1" applyFont="1" applyFill="1" applyBorder="1" applyAlignment="1">
      <alignment horizontal="right" vertical="center"/>
    </xf>
    <xf numFmtId="0" fontId="32" fillId="22" borderId="7" xfId="0" applyFont="1" applyFill="1" applyBorder="1" applyAlignment="1">
      <alignment horizontal="center" vertical="center" wrapText="1"/>
    </xf>
    <xf numFmtId="0" fontId="26" fillId="20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 applyAlignment="1"/>
    <xf numFmtId="164" fontId="33" fillId="23" borderId="7" xfId="0" applyNumberFormat="1" applyFont="1" applyFill="1" applyBorder="1" applyAlignment="1">
      <alignment horizontal="right" vertical="center"/>
    </xf>
    <xf numFmtId="164" fontId="33" fillId="22" borderId="7" xfId="0" applyNumberFormat="1" applyFont="1" applyFill="1" applyBorder="1" applyAlignment="1">
      <alignment horizontal="right" vertical="center"/>
    </xf>
    <xf numFmtId="164" fontId="33" fillId="6" borderId="7" xfId="0" applyNumberFormat="1" applyFont="1" applyFill="1" applyBorder="1" applyAlignment="1">
      <alignment vertical="center"/>
    </xf>
    <xf numFmtId="164" fontId="29" fillId="6" borderId="7" xfId="0" applyNumberFormat="1" applyFont="1" applyFill="1" applyBorder="1" applyAlignment="1">
      <alignment vertical="center"/>
    </xf>
    <xf numFmtId="0" fontId="34" fillId="6" borderId="7" xfId="0" applyFont="1" applyFill="1" applyBorder="1" applyAlignment="1">
      <alignment horizontal="center" vertical="center" wrapText="1"/>
    </xf>
    <xf numFmtId="164" fontId="23" fillId="26" borderId="7" xfId="0" applyNumberFormat="1" applyFont="1" applyFill="1" applyBorder="1"/>
    <xf numFmtId="164" fontId="23" fillId="21" borderId="7" xfId="0" applyNumberFormat="1" applyFont="1" applyFill="1" applyBorder="1" applyAlignment="1"/>
    <xf numFmtId="164" fontId="33" fillId="11" borderId="7" xfId="0" applyNumberFormat="1" applyFont="1" applyFill="1" applyBorder="1"/>
    <xf numFmtId="164" fontId="33" fillId="11" borderId="7" xfId="0" applyNumberFormat="1" applyFont="1" applyFill="1" applyBorder="1" applyAlignment="1">
      <alignment horizontal="right" vertical="center"/>
    </xf>
    <xf numFmtId="164" fontId="23" fillId="27" borderId="7" xfId="0" applyNumberFormat="1" applyFont="1" applyFill="1" applyBorder="1"/>
    <xf numFmtId="164" fontId="35" fillId="28" borderId="7" xfId="0" applyNumberFormat="1" applyFont="1" applyFill="1" applyBorder="1"/>
    <xf numFmtId="0" fontId="22" fillId="29" borderId="7" xfId="0" applyFont="1" applyFill="1" applyBorder="1" applyAlignment="1">
      <alignment horizontal="center" vertical="center"/>
    </xf>
    <xf numFmtId="0" fontId="23" fillId="29" borderId="7" xfId="0" applyFont="1" applyFill="1" applyBorder="1" applyAlignment="1">
      <alignment horizontal="center" vertical="center"/>
    </xf>
    <xf numFmtId="164" fontId="23" fillId="29" borderId="7" xfId="0" applyNumberFormat="1" applyFont="1" applyFill="1" applyBorder="1" applyAlignment="1">
      <alignment horizontal="right" vertical="center"/>
    </xf>
    <xf numFmtId="164" fontId="23" fillId="29" borderId="15" xfId="0" applyNumberFormat="1" applyFont="1" applyFill="1" applyBorder="1" applyAlignment="1">
      <alignment horizontal="right" vertical="center"/>
    </xf>
    <xf numFmtId="0" fontId="22" fillId="17" borderId="13" xfId="0" applyFont="1" applyFill="1" applyBorder="1" applyAlignment="1">
      <alignment horizontal="center" vertical="center"/>
    </xf>
    <xf numFmtId="0" fontId="23" fillId="17" borderId="13" xfId="0" applyFont="1" applyFill="1" applyBorder="1" applyAlignment="1">
      <alignment horizontal="center" vertical="center"/>
    </xf>
    <xf numFmtId="164" fontId="23" fillId="17" borderId="13" xfId="0" applyNumberFormat="1" applyFont="1" applyFill="1" applyBorder="1" applyAlignment="1">
      <alignment horizontal="right" vertical="center"/>
    </xf>
    <xf numFmtId="164" fontId="23" fillId="17" borderId="17" xfId="0" applyNumberFormat="1" applyFont="1" applyFill="1" applyBorder="1" applyAlignment="1">
      <alignment horizontal="right" vertical="center"/>
    </xf>
    <xf numFmtId="164" fontId="33" fillId="30" borderId="7" xfId="0" applyNumberFormat="1" applyFont="1" applyFill="1" applyBorder="1" applyAlignment="1">
      <alignment horizontal="right" vertical="center"/>
    </xf>
    <xf numFmtId="164" fontId="33" fillId="31" borderId="7" xfId="0" applyNumberFormat="1" applyFont="1" applyFill="1" applyBorder="1" applyAlignment="1">
      <alignment horizontal="right" vertical="center"/>
    </xf>
    <xf numFmtId="164" fontId="27" fillId="34" borderId="7" xfId="0" applyNumberFormat="1" applyFont="1" applyFill="1" applyBorder="1" applyAlignment="1">
      <alignment horizontal="right" vertical="center"/>
    </xf>
    <xf numFmtId="164" fontId="33" fillId="33" borderId="7" xfId="0" applyNumberFormat="1" applyFont="1" applyFill="1" applyBorder="1" applyAlignment="1">
      <alignment horizontal="right" vertical="center"/>
    </xf>
    <xf numFmtId="164" fontId="23" fillId="13" borderId="14" xfId="0" applyNumberFormat="1" applyFont="1" applyFill="1" applyBorder="1" applyAlignment="1"/>
    <xf numFmtId="164" fontId="23" fillId="13" borderId="14" xfId="0" applyNumberFormat="1" applyFont="1" applyFill="1" applyBorder="1"/>
    <xf numFmtId="0" fontId="37" fillId="29" borderId="13" xfId="0" applyFont="1" applyFill="1" applyBorder="1" applyAlignment="1">
      <alignment horizontal="center" vertical="center" wrapText="1"/>
    </xf>
    <xf numFmtId="0" fontId="42" fillId="30" borderId="13" xfId="0" applyFont="1" applyFill="1" applyBorder="1" applyAlignment="1">
      <alignment horizontal="center" vertical="center" wrapText="1"/>
    </xf>
    <xf numFmtId="0" fontId="41" fillId="31" borderId="13" xfId="0" applyFont="1" applyFill="1" applyBorder="1" applyAlignment="1">
      <alignment horizontal="center" vertical="center" wrapText="1"/>
    </xf>
    <xf numFmtId="0" fontId="26" fillId="34" borderId="13" xfId="0" applyFont="1" applyFill="1" applyBorder="1" applyAlignment="1">
      <alignment horizontal="center" vertical="center" wrapText="1"/>
    </xf>
    <xf numFmtId="0" fontId="26" fillId="34" borderId="17" xfId="0" applyFont="1" applyFill="1" applyBorder="1" applyAlignment="1">
      <alignment horizontal="center" vertical="center" wrapText="1"/>
    </xf>
    <xf numFmtId="164" fontId="27" fillId="34" borderId="15" xfId="0" applyNumberFormat="1" applyFont="1" applyFill="1" applyBorder="1" applyAlignment="1">
      <alignment horizontal="right" vertical="center"/>
    </xf>
    <xf numFmtId="164" fontId="33" fillId="33" borderId="15" xfId="0" applyNumberFormat="1" applyFont="1" applyFill="1" applyBorder="1" applyAlignment="1">
      <alignment horizontal="right" vertical="center"/>
    </xf>
    <xf numFmtId="0" fontId="26" fillId="35" borderId="14" xfId="0" applyFont="1" applyFill="1" applyBorder="1" applyAlignment="1">
      <alignment horizontal="center" vertical="center" wrapText="1"/>
    </xf>
    <xf numFmtId="0" fontId="26" fillId="20" borderId="14" xfId="0" applyFont="1" applyFill="1" applyBorder="1" applyAlignment="1">
      <alignment horizontal="center" vertical="center" wrapText="1"/>
    </xf>
    <xf numFmtId="164" fontId="23" fillId="32" borderId="14" xfId="0" applyNumberFormat="1" applyFont="1" applyFill="1" applyBorder="1" applyAlignment="1">
      <alignment horizontal="right" vertical="center"/>
    </xf>
    <xf numFmtId="164" fontId="27" fillId="35" borderId="14" xfId="0" applyNumberFormat="1" applyFont="1" applyFill="1" applyBorder="1" applyAlignment="1">
      <alignment horizontal="right" vertical="center"/>
    </xf>
    <xf numFmtId="164" fontId="27" fillId="20" borderId="14" xfId="0" applyNumberFormat="1" applyFont="1" applyFill="1" applyBorder="1"/>
    <xf numFmtId="164" fontId="33" fillId="35" borderId="14" xfId="0" applyNumberFormat="1" applyFont="1" applyFill="1" applyBorder="1" applyAlignment="1">
      <alignment horizontal="right" vertical="center"/>
    </xf>
    <xf numFmtId="164" fontId="33" fillId="20" borderId="14" xfId="0" applyNumberFormat="1" applyFont="1" applyFill="1" applyBorder="1" applyAlignment="1">
      <alignment horizontal="right" vertical="center"/>
    </xf>
    <xf numFmtId="164" fontId="21" fillId="2" borderId="14" xfId="0" applyNumberFormat="1" applyFont="1" applyFill="1" applyBorder="1" applyAlignment="1">
      <alignment vertical="center"/>
    </xf>
    <xf numFmtId="164" fontId="20" fillId="2" borderId="14" xfId="0" applyNumberFormat="1" applyFont="1" applyFill="1" applyBorder="1" applyAlignment="1">
      <alignment horizontal="right" vertical="center"/>
    </xf>
    <xf numFmtId="0" fontId="45" fillId="2" borderId="14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35" fillId="28" borderId="7" xfId="0" applyFont="1" applyFill="1" applyBorder="1" applyAlignment="1">
      <alignment horizontal="center"/>
    </xf>
    <xf numFmtId="0" fontId="36" fillId="17" borderId="7" xfId="0" applyFont="1" applyFill="1" applyBorder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164" fontId="23" fillId="2" borderId="7" xfId="0" applyNumberFormat="1" applyFont="1" applyFill="1" applyBorder="1" applyAlignment="1">
      <alignment horizontal="center" vertical="center"/>
    </xf>
    <xf numFmtId="0" fontId="33" fillId="33" borderId="7" xfId="0" applyFont="1" applyFill="1" applyBorder="1" applyAlignment="1">
      <alignment horizontal="right" vertical="center"/>
    </xf>
    <xf numFmtId="0" fontId="38" fillId="28" borderId="0" xfId="0" applyFont="1" applyFill="1" applyAlignment="1">
      <alignment horizontal="center" vertical="center"/>
    </xf>
    <xf numFmtId="164" fontId="23" fillId="2" borderId="14" xfId="0" applyNumberFormat="1" applyFont="1" applyFill="1" applyBorder="1" applyAlignment="1">
      <alignment horizontal="center" vertical="center"/>
    </xf>
    <xf numFmtId="0" fontId="33" fillId="29" borderId="7" xfId="0" applyFont="1" applyFill="1" applyBorder="1" applyAlignment="1">
      <alignment horizontal="right" vertical="center"/>
    </xf>
    <xf numFmtId="0" fontId="40" fillId="30" borderId="14" xfId="0" applyFont="1" applyFill="1" applyBorder="1" applyAlignment="1">
      <alignment horizontal="center" vertical="center"/>
    </xf>
    <xf numFmtId="0" fontId="43" fillId="31" borderId="14" xfId="0" applyFont="1" applyFill="1" applyBorder="1" applyAlignment="1">
      <alignment horizontal="center" vertical="center"/>
    </xf>
    <xf numFmtId="0" fontId="44" fillId="34" borderId="14" xfId="0" applyFont="1" applyFill="1" applyBorder="1" applyAlignment="1">
      <alignment horizontal="center" vertical="center"/>
    </xf>
    <xf numFmtId="0" fontId="38" fillId="33" borderId="14" xfId="0" applyFont="1" applyFill="1" applyBorder="1" applyAlignment="1">
      <alignment horizontal="center" vertical="center"/>
    </xf>
    <xf numFmtId="0" fontId="38" fillId="28" borderId="18" xfId="0" applyFont="1" applyFill="1" applyBorder="1" applyAlignment="1">
      <alignment horizontal="center" vertical="center"/>
    </xf>
    <xf numFmtId="0" fontId="38" fillId="28" borderId="19" xfId="0" applyFont="1" applyFill="1" applyBorder="1" applyAlignment="1">
      <alignment horizontal="center" vertical="center"/>
    </xf>
    <xf numFmtId="164" fontId="23" fillId="20" borderId="7" xfId="0" applyNumberFormat="1" applyFont="1" applyFill="1" applyBorder="1" applyAlignment="1"/>
  </cellXfs>
  <cellStyles count="1">
    <cellStyle name="Обычный" xfId="0" builtinId="0"/>
  </cellStyles>
  <dxfs count="12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FA8A8A"/>
      <color rgb="FFFDD7D7"/>
      <color rgb="FFDDF0C8"/>
      <color rgb="FF273C18"/>
      <color rgb="FFC09200"/>
      <color rgb="FF2E471D"/>
      <color rgb="FFEC1606"/>
      <color rgb="FF062D4E"/>
      <color rgb="FFD5DA08"/>
      <color rgb="FF57B4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6.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6.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6.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6.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6.5">
      <c r="C9" s="52" t="s">
        <v>47</v>
      </c>
      <c r="D9" s="51"/>
      <c r="E9" s="51"/>
      <c r="F9" s="51"/>
      <c r="G9" s="51"/>
      <c r="H9" s="51"/>
    </row>
    <row r="10" spans="3:8" ht="16.5">
      <c r="C10" s="52" t="s">
        <v>48</v>
      </c>
      <c r="D10" s="51"/>
      <c r="E10" s="51"/>
      <c r="F10" s="51"/>
      <c r="G10" s="51"/>
      <c r="H10" s="51"/>
    </row>
    <row r="11" spans="3:8" ht="16.5">
      <c r="C11" s="52" t="s">
        <v>49</v>
      </c>
      <c r="D11" s="51"/>
      <c r="E11" s="51"/>
      <c r="F11" s="51"/>
      <c r="G11" s="51"/>
      <c r="H11" s="51"/>
    </row>
    <row r="12" spans="3:8" ht="16.5">
      <c r="C12" s="52" t="s">
        <v>50</v>
      </c>
      <c r="D12" s="51"/>
      <c r="E12" s="51"/>
      <c r="F12" s="51"/>
      <c r="G12" s="51"/>
      <c r="H12" s="51"/>
    </row>
    <row r="13" spans="3:8" ht="16.5">
      <c r="C13" s="52" t="s">
        <v>51</v>
      </c>
      <c r="D13" s="51"/>
      <c r="E13" s="51"/>
      <c r="F13" s="51"/>
      <c r="G13" s="51"/>
      <c r="H13" s="51"/>
    </row>
    <row r="14" spans="3:8" ht="16.5">
      <c r="C14" s="52" t="s">
        <v>52</v>
      </c>
      <c r="D14" s="51"/>
      <c r="E14" s="51"/>
      <c r="F14" s="51"/>
      <c r="G14" s="51"/>
      <c r="H14" s="51"/>
    </row>
    <row r="15" spans="3:8" ht="16.5">
      <c r="C15" s="52" t="s">
        <v>53</v>
      </c>
      <c r="D15" s="51"/>
      <c r="E15" s="51"/>
      <c r="F15" s="51"/>
      <c r="G15" s="51"/>
      <c r="H15" s="51"/>
    </row>
    <row r="16" spans="3:8" ht="17.25" thickBot="1">
      <c r="C16" s="53" t="s">
        <v>54</v>
      </c>
      <c r="D16" s="54"/>
      <c r="E16" s="54"/>
      <c r="F16" s="54"/>
      <c r="G16" s="54"/>
      <c r="H16" s="54"/>
    </row>
    <row r="17" spans="3:8" ht="17.2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11" priority="3">
      <formula>H5&lt;0</formula>
    </cfRule>
    <cfRule type="expression" dxfId="10" priority="4">
      <formula>H5&gt;0</formula>
    </cfRule>
  </conditionalFormatting>
  <conditionalFormatting sqref="H17">
    <cfRule type="expression" dxfId="9" priority="1">
      <formula>H17&lt;0</formula>
    </cfRule>
    <cfRule type="expression" dxfId="8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36" t="s">
        <v>27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137" t="s">
        <v>20</v>
      </c>
      <c r="B31" s="137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139" t="s">
        <v>32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138" t="s">
        <v>20</v>
      </c>
      <c r="B32" s="138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39" t="s">
        <v>38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141" t="s">
        <v>35</v>
      </c>
      <c r="B20" s="142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141" t="s">
        <v>36</v>
      </c>
      <c r="B36" s="142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140" t="s">
        <v>37</v>
      </c>
      <c r="B37" s="140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3" t="s">
        <v>57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144" t="s">
        <v>35</v>
      </c>
      <c r="B18" s="144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144" t="s">
        <v>36</v>
      </c>
      <c r="B35" s="144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145" t="s">
        <v>37</v>
      </c>
      <c r="B36" s="145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7" priority="1">
      <formula>Y18&lt;0</formula>
    </cfRule>
    <cfRule type="expression" dxfId="6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46" t="s">
        <v>58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147" t="s">
        <v>35</v>
      </c>
      <c r="B18" s="147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147" t="s">
        <v>36</v>
      </c>
      <c r="B35" s="147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48" t="s">
        <v>37</v>
      </c>
      <c r="B36" s="148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dimension ref="A1:AV42"/>
  <sheetViews>
    <sheetView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Y37" sqref="Y37"/>
    </sheetView>
  </sheetViews>
  <sheetFormatPr defaultRowHeight="15"/>
  <cols>
    <col min="1" max="26" width="20.7109375" style="2" customWidth="1"/>
    <col min="27" max="32" width="12.7109375" style="2" customWidth="1"/>
    <col min="33" max="33" width="16.140625" style="2" customWidth="1"/>
    <col min="34" max="38" width="12.7109375" style="2" customWidth="1"/>
    <col min="39" max="16384" width="9.140625" style="2"/>
  </cols>
  <sheetData>
    <row r="1" spans="1:48" ht="60.75" customHeight="1">
      <c r="A1" s="151" t="s">
        <v>59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spans="1:48" ht="45" customHeight="1">
      <c r="A2" s="76" t="s">
        <v>0</v>
      </c>
      <c r="B2" s="76" t="s">
        <v>1</v>
      </c>
      <c r="C2" s="84" t="s">
        <v>9</v>
      </c>
      <c r="D2" s="84" t="s">
        <v>29</v>
      </c>
      <c r="E2" s="84" t="s">
        <v>10</v>
      </c>
      <c r="F2" s="84" t="s">
        <v>33</v>
      </c>
      <c r="G2" s="84" t="s">
        <v>34</v>
      </c>
      <c r="H2" s="84" t="s">
        <v>11</v>
      </c>
      <c r="I2" s="84" t="s">
        <v>30</v>
      </c>
      <c r="J2" s="84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85" t="s">
        <v>26</v>
      </c>
      <c r="W2" s="88" t="s">
        <v>22</v>
      </c>
      <c r="X2" s="91" t="s">
        <v>60</v>
      </c>
      <c r="Y2" s="92" t="s">
        <v>19</v>
      </c>
      <c r="Z2" s="98" t="s">
        <v>21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82"/>
      <c r="W3" s="89">
        <f>SUM(C3:V3)</f>
        <v>14049</v>
      </c>
      <c r="X3" s="90">
        <v>72082.179999999993</v>
      </c>
      <c r="Y3" s="99">
        <f>(94085+57723.67)</f>
        <v>151808.66999999998</v>
      </c>
      <c r="Z3" s="153"/>
    </row>
    <row r="4" spans="1:48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83"/>
      <c r="W4" s="89">
        <f>SUM(C4:V4)</f>
        <v>10533.31</v>
      </c>
      <c r="X4" s="90"/>
      <c r="Y4" s="93"/>
      <c r="Z4" s="153"/>
    </row>
    <row r="5" spans="1:48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82"/>
      <c r="W5" s="89">
        <f t="shared" ref="W5:W19" si="0">SUM(C5:V5)</f>
        <v>1455</v>
      </c>
      <c r="X5" s="90"/>
      <c r="Y5" s="93"/>
      <c r="Z5" s="153"/>
    </row>
    <row r="6" spans="1:48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83">
        <v>950</v>
      </c>
      <c r="W6" s="89">
        <f t="shared" si="0"/>
        <v>1803.8400000000001</v>
      </c>
      <c r="X6" s="90"/>
      <c r="Y6" s="93"/>
      <c r="Z6" s="153"/>
    </row>
    <row r="7" spans="1:48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82"/>
      <c r="W7" s="89">
        <f t="shared" si="0"/>
        <v>3302.61</v>
      </c>
      <c r="X7" s="90"/>
      <c r="Y7" s="93"/>
      <c r="Z7" s="153"/>
    </row>
    <row r="8" spans="1:48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83"/>
      <c r="W8" s="89">
        <f t="shared" si="0"/>
        <v>2255</v>
      </c>
      <c r="X8" s="90"/>
      <c r="Y8" s="93"/>
      <c r="Z8" s="153"/>
      <c r="AC8" s="150" t="s">
        <v>61</v>
      </c>
      <c r="AD8" s="150"/>
      <c r="AE8" s="150"/>
      <c r="AF8" s="150"/>
      <c r="AG8" s="150"/>
    </row>
    <row r="9" spans="1:48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82"/>
      <c r="W9" s="89">
        <f t="shared" si="0"/>
        <v>1095</v>
      </c>
      <c r="X9" s="90"/>
      <c r="Y9" s="93"/>
      <c r="Z9" s="153"/>
      <c r="AC9" s="150"/>
      <c r="AD9" s="150"/>
      <c r="AE9" s="150"/>
      <c r="AF9" s="150"/>
      <c r="AG9" s="150"/>
    </row>
    <row r="10" spans="1:48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83"/>
      <c r="W10" s="89">
        <f t="shared" si="0"/>
        <v>4914</v>
      </c>
      <c r="X10" s="90"/>
      <c r="Y10" s="93"/>
      <c r="Z10" s="153"/>
      <c r="AC10" s="150"/>
      <c r="AD10" s="150"/>
      <c r="AE10" s="150"/>
      <c r="AF10" s="150"/>
      <c r="AG10" s="150"/>
    </row>
    <row r="11" spans="1:48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82"/>
      <c r="W11" s="89">
        <f t="shared" si="0"/>
        <v>4632.68</v>
      </c>
      <c r="X11" s="90"/>
      <c r="Y11" s="93"/>
      <c r="Z11" s="153"/>
      <c r="AC11" s="149" t="s">
        <v>62</v>
      </c>
      <c r="AD11" s="149"/>
      <c r="AE11" s="149"/>
      <c r="AF11" s="149"/>
      <c r="AG11" s="104">
        <f>Y3+Y14+Y21</f>
        <v>226341.31</v>
      </c>
    </row>
    <row r="12" spans="1:48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83"/>
      <c r="W12" s="89">
        <f t="shared" si="0"/>
        <v>4475</v>
      </c>
      <c r="X12" s="90"/>
      <c r="Y12" s="93"/>
      <c r="Z12" s="153"/>
      <c r="AC12" s="149" t="s">
        <v>55</v>
      </c>
      <c r="AD12" s="149"/>
      <c r="AE12" s="149"/>
      <c r="AF12" s="149"/>
      <c r="AG12" s="104">
        <f>Y27</f>
        <v>20000</v>
      </c>
    </row>
    <row r="13" spans="1:48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82"/>
      <c r="W13" s="89">
        <f t="shared" si="0"/>
        <v>4015.63</v>
      </c>
      <c r="X13" s="90"/>
      <c r="Y13" s="93"/>
      <c r="Z13" s="153"/>
      <c r="AC13" s="149" t="s">
        <v>63</v>
      </c>
      <c r="AD13" s="149"/>
      <c r="AE13" s="149"/>
      <c r="AF13" s="149"/>
      <c r="AG13" s="104">
        <f>Y17+Y19</f>
        <v>25000</v>
      </c>
    </row>
    <row r="14" spans="1:48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83"/>
      <c r="W14" s="89">
        <f t="shared" si="0"/>
        <v>2273.7800000000002</v>
      </c>
      <c r="X14" s="90">
        <v>14878.51</v>
      </c>
      <c r="Y14" s="99">
        <v>37634</v>
      </c>
      <c r="Z14" s="153"/>
      <c r="AC14" s="149" t="s">
        <v>64</v>
      </c>
      <c r="AD14" s="149"/>
      <c r="AE14" s="149"/>
      <c r="AF14" s="149"/>
      <c r="AG14" s="104">
        <f>W38</f>
        <v>177971.36</v>
      </c>
    </row>
    <row r="15" spans="1:48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82"/>
      <c r="W15" s="89">
        <f t="shared" si="0"/>
        <v>4096.9799999999996</v>
      </c>
      <c r="X15" s="90"/>
      <c r="Y15" s="93"/>
      <c r="Z15" s="153"/>
      <c r="AC15" s="149" t="s">
        <v>65</v>
      </c>
      <c r="AD15" s="149"/>
      <c r="AE15" s="149"/>
      <c r="AF15" s="149"/>
      <c r="AG15" s="104">
        <f>SUM(C38:H38)</f>
        <v>55416.04</v>
      </c>
    </row>
    <row r="16" spans="1:48" ht="15.75">
      <c r="A16" s="66">
        <v>16</v>
      </c>
      <c r="B16" s="67" t="s">
        <v>3</v>
      </c>
      <c r="C16" s="72"/>
      <c r="D16" s="72"/>
      <c r="E16" s="72">
        <v>2850</v>
      </c>
      <c r="F16" s="72">
        <v>1080</v>
      </c>
      <c r="G16" s="72"/>
      <c r="H16" s="72"/>
      <c r="I16" s="72"/>
      <c r="J16" s="72"/>
      <c r="K16" s="72"/>
      <c r="L16" s="72"/>
      <c r="M16" s="72">
        <v>598</v>
      </c>
      <c r="N16" s="72"/>
      <c r="O16" s="72">
        <v>413</v>
      </c>
      <c r="P16" s="72"/>
      <c r="Q16" s="72"/>
      <c r="R16" s="72"/>
      <c r="S16" s="72"/>
      <c r="T16" s="72">
        <v>1200</v>
      </c>
      <c r="U16" s="81"/>
      <c r="V16" s="83"/>
      <c r="W16" s="89">
        <f t="shared" si="0"/>
        <v>6141</v>
      </c>
      <c r="X16" s="90"/>
      <c r="Y16" s="93"/>
      <c r="Z16" s="153"/>
    </row>
    <row r="17" spans="1:28" ht="15.75">
      <c r="A17" s="62">
        <v>17</v>
      </c>
      <c r="B17" s="63" t="s">
        <v>4</v>
      </c>
      <c r="C17" s="71">
        <f>700</f>
        <v>700</v>
      </c>
      <c r="D17" s="71"/>
      <c r="E17" s="71"/>
      <c r="F17" s="71"/>
      <c r="G17" s="71"/>
      <c r="H17" s="71"/>
      <c r="I17" s="71"/>
      <c r="J17" s="71"/>
      <c r="K17" s="71"/>
      <c r="L17" s="71"/>
      <c r="M17" s="71">
        <v>7899</v>
      </c>
      <c r="N17" s="71"/>
      <c r="O17" s="71">
        <f>220</f>
        <v>220</v>
      </c>
      <c r="P17" s="71"/>
      <c r="Q17" s="71"/>
      <c r="R17" s="71"/>
      <c r="S17" s="71">
        <v>700</v>
      </c>
      <c r="T17" s="71">
        <v>800</v>
      </c>
      <c r="U17" s="71">
        <f>1825+2217+2419</f>
        <v>6461</v>
      </c>
      <c r="V17" s="82"/>
      <c r="W17" s="89">
        <f t="shared" si="0"/>
        <v>16780</v>
      </c>
      <c r="X17" s="90"/>
      <c r="Y17" s="100">
        <v>15000</v>
      </c>
      <c r="Z17" s="153"/>
    </row>
    <row r="18" spans="1:28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81"/>
      <c r="U18" s="72">
        <v>8000</v>
      </c>
      <c r="V18" s="83"/>
      <c r="W18" s="89">
        <f t="shared" si="0"/>
        <v>10517.8</v>
      </c>
      <c r="X18" s="90"/>
      <c r="Y18" s="93"/>
      <c r="Z18" s="153"/>
    </row>
    <row r="19" spans="1:28" ht="15.75">
      <c r="A19" s="62">
        <v>19</v>
      </c>
      <c r="B19" s="63" t="s">
        <v>6</v>
      </c>
      <c r="C19" s="71"/>
      <c r="D19" s="71">
        <v>2376.09</v>
      </c>
      <c r="E19" s="71">
        <v>3600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82">
        <f>83+760+400+6869+83+83+1800+850+1033.84+1423+1349+694+83+6000+1800+305</f>
        <v>23615.84</v>
      </c>
      <c r="W19" s="89">
        <f t="shared" si="0"/>
        <v>29591.93</v>
      </c>
      <c r="X19" s="90"/>
      <c r="Y19" s="100">
        <v>10000</v>
      </c>
      <c r="Z19" s="153"/>
    </row>
    <row r="20" spans="1:28" ht="14.25" customHeight="1">
      <c r="A20" s="147" t="s">
        <v>35</v>
      </c>
      <c r="B20" s="147"/>
      <c r="C20" s="79">
        <f t="shared" ref="C20:V20" si="1">SUM(C3:C17)</f>
        <v>10942.99</v>
      </c>
      <c r="D20" s="79">
        <f t="shared" si="1"/>
        <v>5525.25</v>
      </c>
      <c r="E20" s="79">
        <f t="shared" si="1"/>
        <v>5350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8497</v>
      </c>
      <c r="N20" s="79">
        <f t="shared" si="1"/>
        <v>0</v>
      </c>
      <c r="O20" s="79">
        <f t="shared" si="1"/>
        <v>3219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3188</v>
      </c>
      <c r="U20" s="79">
        <f t="shared" si="1"/>
        <v>6461</v>
      </c>
      <c r="V20" s="86">
        <f t="shared" si="1"/>
        <v>950</v>
      </c>
      <c r="W20" s="94">
        <f>SUM(W3:W19)</f>
        <v>121932.56</v>
      </c>
      <c r="X20" s="95">
        <f>SUM(X3:X19)</f>
        <v>86960.689999999988</v>
      </c>
      <c r="Y20" s="101">
        <f>SUM(Y3:Y19)</f>
        <v>214442.66999999998</v>
      </c>
      <c r="Z20" s="96">
        <f>Y20-W20-X20</f>
        <v>5549.4199999999983</v>
      </c>
    </row>
    <row r="21" spans="1:28" ht="15.75">
      <c r="A21" s="62">
        <v>20</v>
      </c>
      <c r="B21" s="63" t="s">
        <v>7</v>
      </c>
      <c r="C21" s="71">
        <v>44</v>
      </c>
      <c r="D21" s="71"/>
      <c r="E21" s="71"/>
      <c r="F21" s="71">
        <v>1770</v>
      </c>
      <c r="G21" s="71"/>
      <c r="H21" s="71"/>
      <c r="I21" s="71"/>
      <c r="J21" s="71"/>
      <c r="K21" s="71"/>
      <c r="L21" s="71"/>
      <c r="M21" s="71"/>
      <c r="N21" s="71"/>
      <c r="O21" s="71">
        <v>572</v>
      </c>
      <c r="P21" s="71"/>
      <c r="Q21" s="71">
        <v>3400</v>
      </c>
      <c r="R21" s="71"/>
      <c r="S21" s="71"/>
      <c r="T21" s="71">
        <v>856</v>
      </c>
      <c r="U21" s="71"/>
      <c r="V21" s="82"/>
      <c r="W21" s="89">
        <f>SUM(C21:V21)</f>
        <v>6642</v>
      </c>
      <c r="X21" s="90"/>
      <c r="Y21" s="99">
        <v>36898.639999999999</v>
      </c>
      <c r="Z21" s="153"/>
    </row>
    <row r="22" spans="1:28" ht="15.75">
      <c r="A22" s="66">
        <v>21</v>
      </c>
      <c r="B22" s="67" t="s">
        <v>8</v>
      </c>
      <c r="C22" s="72">
        <f>80</f>
        <v>80</v>
      </c>
      <c r="D22" s="72">
        <v>883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334</v>
      </c>
      <c r="P22" s="72"/>
      <c r="Q22" s="72"/>
      <c r="R22" s="72"/>
      <c r="S22" s="72"/>
      <c r="T22" s="72">
        <v>79</v>
      </c>
      <c r="U22" s="72"/>
      <c r="V22" s="83"/>
      <c r="W22" s="89">
        <f t="shared" ref="W22:W36" si="2">SUM(C22:V22)</f>
        <v>1376</v>
      </c>
      <c r="X22" s="90">
        <v>23662.84</v>
      </c>
      <c r="Y22" s="93"/>
      <c r="Z22" s="153"/>
      <c r="AB22" s="44"/>
    </row>
    <row r="23" spans="1:28" ht="15.75">
      <c r="A23" s="62">
        <v>22</v>
      </c>
      <c r="B23" s="63" t="s">
        <v>2</v>
      </c>
      <c r="C23" s="71"/>
      <c r="D23" s="71">
        <v>162</v>
      </c>
      <c r="E23" s="71"/>
      <c r="F23" s="71">
        <v>690</v>
      </c>
      <c r="G23" s="71"/>
      <c r="H23" s="71"/>
      <c r="I23" s="71"/>
      <c r="J23" s="71"/>
      <c r="K23" s="71"/>
      <c r="L23" s="71"/>
      <c r="M23" s="71"/>
      <c r="N23" s="71"/>
      <c r="O23" s="71">
        <v>325</v>
      </c>
      <c r="P23" s="71"/>
      <c r="Q23" s="71"/>
      <c r="R23" s="71"/>
      <c r="S23" s="71">
        <v>843</v>
      </c>
      <c r="T23" s="71"/>
      <c r="U23" s="71"/>
      <c r="V23" s="82"/>
      <c r="W23" s="89">
        <f t="shared" si="2"/>
        <v>2020</v>
      </c>
      <c r="X23" s="90"/>
      <c r="Y23" s="93"/>
      <c r="Z23" s="153"/>
    </row>
    <row r="24" spans="1:28" ht="15.75">
      <c r="A24" s="66">
        <v>23</v>
      </c>
      <c r="B24" s="67" t="s">
        <v>3</v>
      </c>
      <c r="C24" s="72"/>
      <c r="D24" s="72">
        <v>192</v>
      </c>
      <c r="E24" s="72"/>
      <c r="F24" s="72">
        <v>1960</v>
      </c>
      <c r="G24" s="72"/>
      <c r="H24" s="72"/>
      <c r="I24" s="72"/>
      <c r="J24" s="72"/>
      <c r="K24" s="72"/>
      <c r="L24" s="72"/>
      <c r="M24" s="72"/>
      <c r="N24" s="72"/>
      <c r="O24" s="72">
        <f>537+185</f>
        <v>722</v>
      </c>
      <c r="P24" s="72"/>
      <c r="Q24" s="72">
        <v>1000</v>
      </c>
      <c r="R24" s="72"/>
      <c r="S24" s="72"/>
      <c r="T24" s="72"/>
      <c r="U24" s="72"/>
      <c r="V24" s="83"/>
      <c r="W24" s="89">
        <f t="shared" si="2"/>
        <v>3874</v>
      </c>
      <c r="X24" s="90"/>
      <c r="Y24" s="93"/>
      <c r="Z24" s="153"/>
    </row>
    <row r="25" spans="1:28" ht="15.75">
      <c r="A25" s="62">
        <v>24</v>
      </c>
      <c r="B25" s="63" t="s">
        <v>4</v>
      </c>
      <c r="C25" s="71"/>
      <c r="D25" s="71">
        <f>1377+2099.31-149</f>
        <v>3327.31</v>
      </c>
      <c r="E25" s="71"/>
      <c r="F25" s="71"/>
      <c r="G25" s="71"/>
      <c r="H25" s="71">
        <v>2414</v>
      </c>
      <c r="I25" s="71"/>
      <c r="J25" s="71"/>
      <c r="K25" s="71"/>
      <c r="L25" s="71"/>
      <c r="M25" s="71"/>
      <c r="N25" s="71"/>
      <c r="O25" s="71"/>
      <c r="P25" s="71">
        <v>152</v>
      </c>
      <c r="Q25" s="71"/>
      <c r="R25" s="71"/>
      <c r="S25" s="71"/>
      <c r="T25" s="71"/>
      <c r="U25" s="71"/>
      <c r="V25" s="82">
        <v>2000</v>
      </c>
      <c r="W25" s="89">
        <f t="shared" si="2"/>
        <v>7893.3099999999995</v>
      </c>
      <c r="X25" s="90"/>
      <c r="Y25" s="93"/>
      <c r="Z25" s="153"/>
    </row>
    <row r="26" spans="1:28" ht="15.75">
      <c r="A26" s="66">
        <v>25</v>
      </c>
      <c r="B26" s="67" t="s">
        <v>5</v>
      </c>
      <c r="C26" s="72">
        <v>3084</v>
      </c>
      <c r="D26" s="72">
        <v>245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83"/>
      <c r="W26" s="89">
        <f t="shared" si="2"/>
        <v>3329</v>
      </c>
      <c r="X26" s="90"/>
      <c r="Y26" s="93"/>
      <c r="Z26" s="153"/>
    </row>
    <row r="27" spans="1:28" ht="15.75">
      <c r="A27" s="62">
        <v>26</v>
      </c>
      <c r="B27" s="63" t="s">
        <v>6</v>
      </c>
      <c r="C27" s="71">
        <v>185</v>
      </c>
      <c r="D27" s="71">
        <v>1332</v>
      </c>
      <c r="E27" s="71">
        <v>3180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82">
        <v>2800</v>
      </c>
      <c r="W27" s="89">
        <f t="shared" si="2"/>
        <v>7497</v>
      </c>
      <c r="X27" s="90"/>
      <c r="Y27" s="103">
        <v>20000</v>
      </c>
      <c r="Z27" s="153"/>
    </row>
    <row r="28" spans="1:28" ht="15.75">
      <c r="A28" s="66">
        <v>27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>
        <v>338</v>
      </c>
      <c r="Q28" s="72"/>
      <c r="R28" s="72"/>
      <c r="S28" s="72">
        <v>249</v>
      </c>
      <c r="T28" s="72">
        <f>3790+3780+3004</f>
        <v>10574</v>
      </c>
      <c r="U28" s="72"/>
      <c r="V28" s="83"/>
      <c r="W28" s="89">
        <f t="shared" si="2"/>
        <v>11161</v>
      </c>
      <c r="X28" s="90"/>
      <c r="Y28" s="93"/>
      <c r="Z28" s="153"/>
    </row>
    <row r="29" spans="1:28" ht="15.75">
      <c r="A29" s="62">
        <v>28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>
        <v>307</v>
      </c>
      <c r="Q29" s="71">
        <v>1223</v>
      </c>
      <c r="R29" s="71"/>
      <c r="S29" s="71"/>
      <c r="T29" s="71"/>
      <c r="U29" s="71"/>
      <c r="V29" s="82"/>
      <c r="W29" s="89">
        <f t="shared" si="2"/>
        <v>1530</v>
      </c>
      <c r="X29" s="90"/>
      <c r="Y29" s="93"/>
      <c r="Z29" s="153"/>
    </row>
    <row r="30" spans="1:28" ht="15.75">
      <c r="A30" s="66">
        <v>29</v>
      </c>
      <c r="B30" s="67" t="s">
        <v>2</v>
      </c>
      <c r="C30" s="72"/>
      <c r="D30" s="72"/>
      <c r="E30" s="72"/>
      <c r="F30" s="72">
        <v>1080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f>400+300</f>
        <v>700</v>
      </c>
      <c r="R30" s="72"/>
      <c r="S30" s="72"/>
      <c r="T30" s="72"/>
      <c r="U30" s="72"/>
      <c r="V30" s="83"/>
      <c r="W30" s="89">
        <f t="shared" si="2"/>
        <v>1780</v>
      </c>
      <c r="X30" s="90"/>
      <c r="Y30" s="93"/>
      <c r="Z30" s="153"/>
    </row>
    <row r="31" spans="1:28" ht="15.75">
      <c r="A31" s="62">
        <v>30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82"/>
      <c r="W31" s="89">
        <f t="shared" si="2"/>
        <v>0</v>
      </c>
      <c r="X31" s="90"/>
      <c r="Y31" s="93"/>
      <c r="Z31" s="153"/>
    </row>
    <row r="32" spans="1:28" ht="15.75">
      <c r="A32" s="66">
        <v>31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83"/>
      <c r="W32" s="89">
        <f t="shared" si="2"/>
        <v>0</v>
      </c>
      <c r="X32" s="90"/>
      <c r="Y32" s="93"/>
      <c r="Z32" s="153"/>
    </row>
    <row r="33" spans="1:26" ht="15.75">
      <c r="A33" s="62">
        <v>1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82"/>
      <c r="W33" s="89">
        <f t="shared" si="2"/>
        <v>0</v>
      </c>
      <c r="X33" s="90"/>
      <c r="Y33" s="164">
        <v>10000</v>
      </c>
      <c r="Z33" s="153"/>
    </row>
    <row r="34" spans="1:26" ht="15.75">
      <c r="A34" s="66">
        <v>2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>
        <v>799</v>
      </c>
      <c r="T34" s="72">
        <v>100</v>
      </c>
      <c r="U34" s="72"/>
      <c r="V34" s="83"/>
      <c r="W34" s="89">
        <f t="shared" si="2"/>
        <v>899</v>
      </c>
      <c r="X34" s="90"/>
      <c r="Y34" s="93"/>
      <c r="Z34" s="153"/>
    </row>
    <row r="35" spans="1:26" ht="15.75">
      <c r="A35" s="62">
        <v>3</v>
      </c>
      <c r="B35" s="63" t="s">
        <v>7</v>
      </c>
      <c r="C35" s="71"/>
      <c r="D35" s="71"/>
      <c r="E35" s="71">
        <v>2327</v>
      </c>
      <c r="F35" s="71">
        <f>1610+175.49</f>
        <v>1785.49</v>
      </c>
      <c r="G35" s="71"/>
      <c r="H35" s="71"/>
      <c r="I35" s="71"/>
      <c r="J35" s="71"/>
      <c r="K35" s="71"/>
      <c r="L35" s="71"/>
      <c r="M35" s="71"/>
      <c r="N35" s="71"/>
      <c r="O35" s="71">
        <v>270</v>
      </c>
      <c r="P35" s="71"/>
      <c r="Q35" s="71"/>
      <c r="R35" s="71"/>
      <c r="S35" s="71">
        <v>399</v>
      </c>
      <c r="T35" s="71"/>
      <c r="U35" s="71"/>
      <c r="V35" s="82"/>
      <c r="W35" s="89">
        <f t="shared" si="2"/>
        <v>4781.49</v>
      </c>
      <c r="X35" s="90"/>
      <c r="Y35" s="93"/>
      <c r="Z35" s="153"/>
    </row>
    <row r="36" spans="1:26" ht="15.75">
      <c r="A36" s="66">
        <v>4</v>
      </c>
      <c r="B36" s="67" t="s">
        <v>8</v>
      </c>
      <c r="C36" s="72"/>
      <c r="D36" s="72">
        <v>327</v>
      </c>
      <c r="E36" s="72"/>
      <c r="F36" s="72"/>
      <c r="G36" s="72"/>
      <c r="H36" s="72">
        <v>2730</v>
      </c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>
        <v>199</v>
      </c>
      <c r="T36" s="72"/>
      <c r="U36" s="72"/>
      <c r="V36" s="83"/>
      <c r="W36" s="89">
        <f t="shared" si="2"/>
        <v>3256</v>
      </c>
      <c r="X36" s="90"/>
      <c r="Y36" s="93"/>
      <c r="Z36" s="153"/>
    </row>
    <row r="37" spans="1:26">
      <c r="A37" s="147" t="s">
        <v>36</v>
      </c>
      <c r="B37" s="147"/>
      <c r="C37" s="79">
        <f>SUM(C21:C36)</f>
        <v>3393</v>
      </c>
      <c r="D37" s="79">
        <f t="shared" ref="D37:V37" si="3">SUM(D21:D36)</f>
        <v>6468.3099999999995</v>
      </c>
      <c r="E37" s="79">
        <f t="shared" si="3"/>
        <v>5507</v>
      </c>
      <c r="F37" s="79">
        <f t="shared" si="3"/>
        <v>7285.49</v>
      </c>
      <c r="G37" s="79">
        <f t="shared" si="3"/>
        <v>0</v>
      </c>
      <c r="H37" s="79">
        <f t="shared" si="3"/>
        <v>5144</v>
      </c>
      <c r="I37" s="79">
        <f t="shared" si="3"/>
        <v>0</v>
      </c>
      <c r="J37" s="79">
        <f t="shared" si="3"/>
        <v>0</v>
      </c>
      <c r="K37" s="79">
        <f t="shared" si="3"/>
        <v>0</v>
      </c>
      <c r="L37" s="79">
        <f t="shared" si="3"/>
        <v>0</v>
      </c>
      <c r="M37" s="79">
        <f t="shared" si="3"/>
        <v>0</v>
      </c>
      <c r="N37" s="79">
        <f t="shared" si="3"/>
        <v>0</v>
      </c>
      <c r="O37" s="79">
        <f t="shared" si="3"/>
        <v>2223</v>
      </c>
      <c r="P37" s="79">
        <f t="shared" si="3"/>
        <v>797</v>
      </c>
      <c r="Q37" s="79">
        <f t="shared" si="3"/>
        <v>6323</v>
      </c>
      <c r="R37" s="79">
        <f t="shared" si="3"/>
        <v>0</v>
      </c>
      <c r="S37" s="79">
        <f t="shared" si="3"/>
        <v>2489</v>
      </c>
      <c r="T37" s="79">
        <f>SUM(T21:T36)</f>
        <v>11609</v>
      </c>
      <c r="U37" s="79">
        <f t="shared" si="3"/>
        <v>0</v>
      </c>
      <c r="V37" s="86">
        <f t="shared" si="3"/>
        <v>4800</v>
      </c>
      <c r="W37" s="94">
        <f>SUM(W21:W36)</f>
        <v>56038.799999999996</v>
      </c>
      <c r="X37" s="95">
        <f>SUM(X21:X36)</f>
        <v>23662.84</v>
      </c>
      <c r="Y37" s="101">
        <f>SUM(Y21:Y36)</f>
        <v>66898.64</v>
      </c>
      <c r="Z37" s="97">
        <f>Y37-W37-X37</f>
        <v>-12802.999999999996</v>
      </c>
    </row>
    <row r="38" spans="1:26" ht="31.5" customHeight="1">
      <c r="A38" s="152" t="s">
        <v>37</v>
      </c>
      <c r="B38" s="152"/>
      <c r="C38" s="78">
        <f>SUM(C20,C37)</f>
        <v>14335.99</v>
      </c>
      <c r="D38" s="78">
        <f t="shared" ref="D38:W38" si="4">SUM(D20,D37)</f>
        <v>11993.56</v>
      </c>
      <c r="E38" s="78">
        <f t="shared" si="4"/>
        <v>10857</v>
      </c>
      <c r="F38" s="78">
        <f t="shared" si="4"/>
        <v>9325.49</v>
      </c>
      <c r="G38" s="78">
        <f t="shared" si="4"/>
        <v>0</v>
      </c>
      <c r="H38" s="78">
        <f t="shared" si="4"/>
        <v>8904</v>
      </c>
      <c r="I38" s="78">
        <f t="shared" si="4"/>
        <v>2320.98</v>
      </c>
      <c r="J38" s="78">
        <f t="shared" si="4"/>
        <v>0</v>
      </c>
      <c r="K38" s="78">
        <f t="shared" si="4"/>
        <v>0</v>
      </c>
      <c r="L38" s="78">
        <f t="shared" si="4"/>
        <v>3150</v>
      </c>
      <c r="M38" s="78">
        <f t="shared" si="4"/>
        <v>8497</v>
      </c>
      <c r="N38" s="78">
        <f t="shared" si="4"/>
        <v>0</v>
      </c>
      <c r="O38" s="78">
        <f t="shared" si="4"/>
        <v>5442</v>
      </c>
      <c r="P38" s="78">
        <f t="shared" si="4"/>
        <v>797</v>
      </c>
      <c r="Q38" s="78">
        <f t="shared" si="4"/>
        <v>27468.98</v>
      </c>
      <c r="R38" s="78">
        <f t="shared" si="4"/>
        <v>0</v>
      </c>
      <c r="S38" s="78">
        <f>SUM(S20,S37)</f>
        <v>7761.63</v>
      </c>
      <c r="T38" s="78">
        <f t="shared" si="4"/>
        <v>14797</v>
      </c>
      <c r="U38" s="78">
        <f t="shared" si="4"/>
        <v>6461</v>
      </c>
      <c r="V38" s="87">
        <f t="shared" si="4"/>
        <v>5750</v>
      </c>
      <c r="W38" s="94">
        <f t="shared" si="4"/>
        <v>177971.36</v>
      </c>
      <c r="X38" s="95">
        <f>SUM(X20,X37)</f>
        <v>110623.52999999998</v>
      </c>
      <c r="Y38" s="102">
        <f>SUM(Y20,Y37)</f>
        <v>281341.31</v>
      </c>
      <c r="Z38" s="70">
        <f>SUM(Z20,Z37)</f>
        <v>-7253.5799999999981</v>
      </c>
    </row>
    <row r="42" spans="1:26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12">
    <mergeCell ref="A1:Z1"/>
    <mergeCell ref="A20:B20"/>
    <mergeCell ref="A37:B37"/>
    <mergeCell ref="A38:B38"/>
    <mergeCell ref="Z3:Z19"/>
    <mergeCell ref="Z21:Z36"/>
    <mergeCell ref="AC14:AF14"/>
    <mergeCell ref="AC15:AF15"/>
    <mergeCell ref="AC8:AG10"/>
    <mergeCell ref="AC11:AF11"/>
    <mergeCell ref="AC12:AF12"/>
    <mergeCell ref="AC13:AF13"/>
  </mergeCells>
  <conditionalFormatting sqref="Z20:Z21 Z37:Z38">
    <cfRule type="expression" dxfId="1" priority="1">
      <formula>Z20&lt;0</formula>
    </cfRule>
    <cfRule type="expression" dxfId="0" priority="2">
      <formula>Z20&gt;0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41"/>
  <sheetViews>
    <sheetView tabSelected="1"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W19" sqref="W19"/>
    </sheetView>
  </sheetViews>
  <sheetFormatPr defaultRowHeight="15"/>
  <cols>
    <col min="1" max="30" width="20.7109375" style="2" customWidth="1"/>
    <col min="31" max="42" width="12.7109375" style="2" customWidth="1"/>
    <col min="43" max="16384" width="9.140625" style="2"/>
  </cols>
  <sheetData>
    <row r="1" spans="1:52" ht="34.5" customHeight="1">
      <c r="A1" s="155" t="s">
        <v>66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</row>
    <row r="2" spans="1:52" ht="26.25">
      <c r="A2" s="162"/>
      <c r="B2" s="163"/>
      <c r="C2" s="158" t="s">
        <v>67</v>
      </c>
      <c r="D2" s="158"/>
      <c r="E2" s="158"/>
      <c r="F2" s="158"/>
      <c r="G2" s="158"/>
      <c r="H2" s="158"/>
      <c r="I2" s="158"/>
      <c r="J2" s="158"/>
      <c r="K2" s="158"/>
      <c r="L2" s="159" t="s">
        <v>75</v>
      </c>
      <c r="M2" s="159"/>
      <c r="N2" s="159"/>
      <c r="O2" s="159"/>
      <c r="P2" s="159"/>
      <c r="Q2" s="159"/>
      <c r="R2" s="160" t="s">
        <v>78</v>
      </c>
      <c r="S2" s="160"/>
      <c r="T2" s="160"/>
      <c r="U2" s="160"/>
      <c r="V2" s="160"/>
      <c r="W2" s="160"/>
      <c r="X2" s="160"/>
      <c r="Y2" s="160"/>
      <c r="Z2" s="160"/>
      <c r="AA2" s="160"/>
      <c r="AB2" s="161" t="s">
        <v>81</v>
      </c>
      <c r="AC2" s="161"/>
      <c r="AD2" s="161"/>
    </row>
    <row r="3" spans="1:52" ht="45" customHeight="1">
      <c r="A3" s="119" t="s">
        <v>0</v>
      </c>
      <c r="B3" s="119" t="s">
        <v>1</v>
      </c>
      <c r="C3" s="120" t="s">
        <v>68</v>
      </c>
      <c r="D3" s="120" t="s">
        <v>69</v>
      </c>
      <c r="E3" s="120" t="s">
        <v>70</v>
      </c>
      <c r="F3" s="120" t="s">
        <v>29</v>
      </c>
      <c r="G3" s="120" t="s">
        <v>82</v>
      </c>
      <c r="H3" s="120" t="s">
        <v>71</v>
      </c>
      <c r="I3" s="120" t="s">
        <v>72</v>
      </c>
      <c r="J3" s="120" t="s">
        <v>73</v>
      </c>
      <c r="K3" s="120" t="s">
        <v>74</v>
      </c>
      <c r="L3" s="121" t="s">
        <v>24</v>
      </c>
      <c r="M3" s="121" t="s">
        <v>14</v>
      </c>
      <c r="N3" s="121" t="s">
        <v>76</v>
      </c>
      <c r="O3" s="121" t="s">
        <v>25</v>
      </c>
      <c r="P3" s="121" t="s">
        <v>25</v>
      </c>
      <c r="Q3" s="121" t="s">
        <v>77</v>
      </c>
      <c r="R3" s="122" t="s">
        <v>30</v>
      </c>
      <c r="S3" s="122" t="s">
        <v>23</v>
      </c>
      <c r="T3" s="122" t="s">
        <v>13</v>
      </c>
      <c r="U3" s="122" t="s">
        <v>15</v>
      </c>
      <c r="V3" s="122" t="s">
        <v>16</v>
      </c>
      <c r="W3" s="122" t="s">
        <v>28</v>
      </c>
      <c r="X3" s="122" t="s">
        <v>79</v>
      </c>
      <c r="Y3" s="122" t="s">
        <v>79</v>
      </c>
      <c r="Z3" s="122" t="s">
        <v>80</v>
      </c>
      <c r="AA3" s="123" t="s">
        <v>26</v>
      </c>
      <c r="AB3" s="126" t="s">
        <v>22</v>
      </c>
      <c r="AC3" s="127" t="s">
        <v>19</v>
      </c>
      <c r="AD3" s="135" t="s">
        <v>21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</row>
    <row r="4" spans="1:52" ht="15.75">
      <c r="A4" s="109">
        <v>5</v>
      </c>
      <c r="B4" s="110" t="s">
        <v>2</v>
      </c>
      <c r="C4" s="111">
        <v>429.95</v>
      </c>
      <c r="D4" s="111"/>
      <c r="E4" s="111"/>
      <c r="F4" s="111"/>
      <c r="G4" s="111"/>
      <c r="H4" s="111"/>
      <c r="I4" s="111">
        <f>4660+545</f>
        <v>5205</v>
      </c>
      <c r="J4" s="111"/>
      <c r="K4" s="111"/>
      <c r="L4" s="111"/>
      <c r="M4" s="111"/>
      <c r="N4" s="111"/>
      <c r="O4" s="111">
        <v>100</v>
      </c>
      <c r="P4" s="111">
        <v>10000</v>
      </c>
      <c r="Q4" s="111"/>
      <c r="R4" s="111"/>
      <c r="S4" s="111"/>
      <c r="T4" s="111"/>
      <c r="U4" s="111"/>
      <c r="V4" s="111"/>
      <c r="W4" s="111"/>
      <c r="X4" s="111">
        <v>1237</v>
      </c>
      <c r="Y4" s="111"/>
      <c r="Z4" s="111"/>
      <c r="AA4" s="112"/>
      <c r="AB4" s="128">
        <f>SUM(C4:AA4)</f>
        <v>16971.95</v>
      </c>
      <c r="AC4" s="118">
        <f>37635+40252.26+18817.85</f>
        <v>96705.110000000015</v>
      </c>
      <c r="AD4" s="156"/>
    </row>
    <row r="5" spans="1:52" ht="15.75">
      <c r="A5" s="105">
        <v>6</v>
      </c>
      <c r="B5" s="106" t="s">
        <v>3</v>
      </c>
      <c r="C5" s="107"/>
      <c r="D5" s="107"/>
      <c r="E5" s="107"/>
      <c r="F5" s="107">
        <v>351</v>
      </c>
      <c r="G5" s="107"/>
      <c r="H5" s="107"/>
      <c r="I5" s="107"/>
      <c r="J5" s="107"/>
      <c r="K5" s="107"/>
      <c r="L5" s="107">
        <f>5748.49+2803.26+2306.38</f>
        <v>10858.130000000001</v>
      </c>
      <c r="M5" s="107"/>
      <c r="N5" s="107"/>
      <c r="O5" s="107"/>
      <c r="P5" s="107"/>
      <c r="Q5" s="107">
        <v>3500</v>
      </c>
      <c r="R5" s="107"/>
      <c r="S5" s="107"/>
      <c r="T5" s="107"/>
      <c r="U5" s="107">
        <v>294</v>
      </c>
      <c r="V5" s="107"/>
      <c r="W5" s="107">
        <v>1500</v>
      </c>
      <c r="X5" s="107"/>
      <c r="Y5" s="107"/>
      <c r="Z5" s="107"/>
      <c r="AA5" s="108"/>
      <c r="AB5" s="128">
        <f>SUM(C5:AA5)</f>
        <v>16503.13</v>
      </c>
      <c r="AC5" s="117"/>
      <c r="AD5" s="156"/>
    </row>
    <row r="6" spans="1:52" ht="15.75">
      <c r="A6" s="109">
        <v>7</v>
      </c>
      <c r="B6" s="110" t="s">
        <v>4</v>
      </c>
      <c r="C6" s="111"/>
      <c r="D6" s="111"/>
      <c r="E6" s="111"/>
      <c r="F6" s="111"/>
      <c r="G6" s="111"/>
      <c r="H6" s="111"/>
      <c r="I6" s="111"/>
      <c r="J6" s="111">
        <v>838</v>
      </c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>
        <v>158.61000000000001</v>
      </c>
      <c r="W6" s="111"/>
      <c r="X6" s="111"/>
      <c r="Y6" s="111"/>
      <c r="Z6" s="111"/>
      <c r="AA6" s="112"/>
      <c r="AB6" s="128">
        <f t="shared" ref="AB6:AB18" si="0">SUM(C6:AA6)</f>
        <v>996.61</v>
      </c>
      <c r="AC6" s="117"/>
      <c r="AD6" s="156"/>
    </row>
    <row r="7" spans="1:52" ht="15.75">
      <c r="A7" s="105">
        <v>8</v>
      </c>
      <c r="B7" s="106" t="s">
        <v>5</v>
      </c>
      <c r="C7" s="107"/>
      <c r="D7" s="107"/>
      <c r="E7" s="107"/>
      <c r="F7" s="107">
        <v>1461</v>
      </c>
      <c r="G7" s="107">
        <v>821</v>
      </c>
      <c r="H7" s="107"/>
      <c r="I7" s="107">
        <f>2510+220</f>
        <v>2730</v>
      </c>
      <c r="J7" s="107">
        <v>730</v>
      </c>
      <c r="K7" s="107"/>
      <c r="L7" s="107"/>
      <c r="M7" s="107"/>
      <c r="N7" s="107"/>
      <c r="O7" s="107">
        <v>100</v>
      </c>
      <c r="P7" s="107"/>
      <c r="Q7" s="107"/>
      <c r="R7" s="107"/>
      <c r="S7" s="107"/>
      <c r="T7" s="107"/>
      <c r="U7" s="107"/>
      <c r="V7" s="107"/>
      <c r="W7" s="107"/>
      <c r="X7" s="107"/>
      <c r="Y7" s="107"/>
      <c r="Z7" s="107">
        <v>2626</v>
      </c>
      <c r="AA7" s="108"/>
      <c r="AB7" s="128">
        <f t="shared" si="0"/>
        <v>8468</v>
      </c>
      <c r="AC7" s="117"/>
      <c r="AD7" s="156"/>
    </row>
    <row r="8" spans="1:52" ht="15" customHeight="1">
      <c r="A8" s="109">
        <v>9</v>
      </c>
      <c r="B8" s="110" t="s">
        <v>6</v>
      </c>
      <c r="C8" s="111"/>
      <c r="D8" s="111"/>
      <c r="E8" s="111">
        <v>2510</v>
      </c>
      <c r="F8" s="111"/>
      <c r="G8" s="111"/>
      <c r="H8" s="111"/>
      <c r="I8" s="111"/>
      <c r="J8" s="111">
        <v>1534</v>
      </c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>
        <f>400+1115+3400+1409.98+1800</f>
        <v>8124.98</v>
      </c>
      <c r="X8" s="111"/>
      <c r="Y8" s="111"/>
      <c r="Z8" s="111"/>
      <c r="AA8" s="112"/>
      <c r="AB8" s="128">
        <f t="shared" si="0"/>
        <v>12168.98</v>
      </c>
      <c r="AC8" s="117"/>
      <c r="AD8" s="156"/>
    </row>
    <row r="9" spans="1:52" ht="15.75">
      <c r="A9" s="105">
        <v>10</v>
      </c>
      <c r="B9" s="106" t="s">
        <v>7</v>
      </c>
      <c r="C9" s="107"/>
      <c r="D9" s="107"/>
      <c r="E9" s="107"/>
      <c r="F9" s="107"/>
      <c r="G9" s="107"/>
      <c r="H9" s="107"/>
      <c r="I9" s="107"/>
      <c r="J9" s="107"/>
      <c r="K9" s="107">
        <v>1860</v>
      </c>
      <c r="L9" s="107"/>
      <c r="M9" s="107"/>
      <c r="N9" s="107">
        <f>700+990</f>
        <v>1690</v>
      </c>
      <c r="O9" s="107"/>
      <c r="P9" s="107">
        <v>2000</v>
      </c>
      <c r="Q9" s="107"/>
      <c r="R9" s="107"/>
      <c r="S9" s="107"/>
      <c r="T9" s="107"/>
      <c r="U9" s="107">
        <v>420</v>
      </c>
      <c r="V9" s="107"/>
      <c r="W9" s="107"/>
      <c r="X9" s="107"/>
      <c r="Y9" s="107"/>
      <c r="Z9" s="107"/>
      <c r="AA9" s="108"/>
      <c r="AB9" s="128">
        <f t="shared" si="0"/>
        <v>5970</v>
      </c>
      <c r="AC9" s="117"/>
      <c r="AD9" s="156"/>
    </row>
    <row r="10" spans="1:52" ht="15.75">
      <c r="A10" s="109">
        <v>11</v>
      </c>
      <c r="B10" s="110" t="s">
        <v>8</v>
      </c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>
        <v>500</v>
      </c>
      <c r="R10" s="111"/>
      <c r="S10" s="111"/>
      <c r="T10" s="111"/>
      <c r="U10" s="111">
        <v>207</v>
      </c>
      <c r="V10" s="111"/>
      <c r="W10" s="111">
        <v>1180</v>
      </c>
      <c r="X10" s="111"/>
      <c r="Y10" s="111"/>
      <c r="Z10" s="111"/>
      <c r="AA10" s="112"/>
      <c r="AB10" s="128">
        <f t="shared" si="0"/>
        <v>1887</v>
      </c>
      <c r="AC10" s="117"/>
      <c r="AD10" s="156"/>
    </row>
    <row r="11" spans="1:52" ht="15.75">
      <c r="A11" s="105">
        <v>12</v>
      </c>
      <c r="B11" s="106" t="s">
        <v>2</v>
      </c>
      <c r="C11" s="107"/>
      <c r="D11" s="107"/>
      <c r="E11" s="107"/>
      <c r="F11" s="107"/>
      <c r="G11" s="107"/>
      <c r="H11" s="107"/>
      <c r="I11" s="107"/>
      <c r="J11" s="107"/>
      <c r="K11" s="107"/>
      <c r="L11" s="107"/>
      <c r="M11" s="107"/>
      <c r="N11" s="107"/>
      <c r="O11" s="107"/>
      <c r="P11" s="107"/>
      <c r="Q11" s="107"/>
      <c r="R11" s="107"/>
      <c r="S11" s="107"/>
      <c r="T11" s="107"/>
      <c r="U11" s="107"/>
      <c r="V11" s="107"/>
      <c r="W11" s="107"/>
      <c r="X11" s="107"/>
      <c r="Y11" s="107"/>
      <c r="Z11" s="107"/>
      <c r="AA11" s="108"/>
      <c r="AB11" s="128">
        <f t="shared" si="0"/>
        <v>0</v>
      </c>
      <c r="AC11" s="117"/>
      <c r="AD11" s="156"/>
    </row>
    <row r="12" spans="1:52" ht="15.75">
      <c r="A12" s="109">
        <v>13</v>
      </c>
      <c r="B12" s="110" t="s">
        <v>3</v>
      </c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2"/>
      <c r="AB12" s="128">
        <f t="shared" si="0"/>
        <v>0</v>
      </c>
      <c r="AC12" s="117"/>
      <c r="AD12" s="156"/>
    </row>
    <row r="13" spans="1:52" ht="15.75">
      <c r="A13" s="105">
        <v>14</v>
      </c>
      <c r="B13" s="106" t="s">
        <v>4</v>
      </c>
      <c r="C13" s="107"/>
      <c r="D13" s="107"/>
      <c r="E13" s="107"/>
      <c r="F13" s="107"/>
      <c r="G13" s="107"/>
      <c r="H13" s="107"/>
      <c r="I13" s="107"/>
      <c r="J13" s="107"/>
      <c r="K13" s="107"/>
      <c r="L13" s="107"/>
      <c r="M13" s="107"/>
      <c r="N13" s="107"/>
      <c r="O13" s="107"/>
      <c r="P13" s="107"/>
      <c r="Q13" s="107"/>
      <c r="R13" s="107"/>
      <c r="S13" s="107"/>
      <c r="T13" s="107"/>
      <c r="U13" s="107"/>
      <c r="V13" s="107"/>
      <c r="W13" s="107"/>
      <c r="X13" s="107"/>
      <c r="Y13" s="107"/>
      <c r="Z13" s="107"/>
      <c r="AA13" s="108"/>
      <c r="AB13" s="128">
        <f t="shared" si="0"/>
        <v>0</v>
      </c>
      <c r="AC13" s="117"/>
      <c r="AD13" s="156"/>
    </row>
    <row r="14" spans="1:52" ht="15.75">
      <c r="A14" s="109">
        <v>15</v>
      </c>
      <c r="B14" s="110" t="s">
        <v>5</v>
      </c>
      <c r="C14" s="111"/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2"/>
      <c r="AB14" s="128">
        <f t="shared" si="0"/>
        <v>0</v>
      </c>
      <c r="AC14" s="117"/>
      <c r="AD14" s="156"/>
    </row>
    <row r="15" spans="1:52" ht="15.75">
      <c r="A15" s="105">
        <v>16</v>
      </c>
      <c r="B15" s="106" t="s">
        <v>6</v>
      </c>
      <c r="C15" s="107"/>
      <c r="D15" s="107"/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8"/>
      <c r="AB15" s="128">
        <f t="shared" si="0"/>
        <v>0</v>
      </c>
      <c r="AC15" s="118"/>
      <c r="AD15" s="156"/>
    </row>
    <row r="16" spans="1:52" ht="15.75">
      <c r="A16" s="109">
        <v>17</v>
      </c>
      <c r="B16" s="110" t="s">
        <v>7</v>
      </c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2"/>
      <c r="AB16" s="128">
        <f t="shared" si="0"/>
        <v>0</v>
      </c>
      <c r="AC16" s="117"/>
      <c r="AD16" s="156"/>
    </row>
    <row r="17" spans="1:32" ht="15.75">
      <c r="A17" s="105">
        <v>18</v>
      </c>
      <c r="B17" s="106" t="s">
        <v>8</v>
      </c>
      <c r="C17" s="107"/>
      <c r="D17" s="107"/>
      <c r="E17" s="107"/>
      <c r="F17" s="107"/>
      <c r="G17" s="107"/>
      <c r="H17" s="107"/>
      <c r="I17" s="107"/>
      <c r="J17" s="107"/>
      <c r="K17" s="107"/>
      <c r="L17" s="107"/>
      <c r="M17" s="107"/>
      <c r="N17" s="107"/>
      <c r="O17" s="107"/>
      <c r="P17" s="107"/>
      <c r="Q17" s="107"/>
      <c r="R17" s="107"/>
      <c r="S17" s="107"/>
      <c r="T17" s="107"/>
      <c r="U17" s="107"/>
      <c r="V17" s="107"/>
      <c r="W17" s="107"/>
      <c r="X17" s="107"/>
      <c r="Y17" s="107"/>
      <c r="Z17" s="107"/>
      <c r="AA17" s="108"/>
      <c r="AB17" s="128">
        <f t="shared" si="0"/>
        <v>0</v>
      </c>
      <c r="AC17" s="117"/>
      <c r="AD17" s="156"/>
    </row>
    <row r="18" spans="1:32" ht="15.75">
      <c r="A18" s="109">
        <v>19</v>
      </c>
      <c r="B18" s="110" t="s">
        <v>2</v>
      </c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2"/>
      <c r="AB18" s="128">
        <f t="shared" si="0"/>
        <v>0</v>
      </c>
      <c r="AC18" s="117"/>
      <c r="AD18" s="156"/>
    </row>
    <row r="19" spans="1:32" ht="14.25" customHeight="1">
      <c r="A19" s="157" t="s">
        <v>35</v>
      </c>
      <c r="B19" s="157"/>
      <c r="C19" s="113">
        <f>SUM(C4:C18)</f>
        <v>429.95</v>
      </c>
      <c r="D19" s="113">
        <f t="shared" ref="D19:AA19" si="1">SUM(D4:D18)</f>
        <v>0</v>
      </c>
      <c r="E19" s="113">
        <f t="shared" si="1"/>
        <v>2510</v>
      </c>
      <c r="F19" s="113">
        <f t="shared" si="1"/>
        <v>1812</v>
      </c>
      <c r="G19" s="113">
        <f t="shared" si="1"/>
        <v>821</v>
      </c>
      <c r="H19" s="113">
        <f t="shared" si="1"/>
        <v>0</v>
      </c>
      <c r="I19" s="113">
        <f t="shared" si="1"/>
        <v>7935</v>
      </c>
      <c r="J19" s="113">
        <f t="shared" si="1"/>
        <v>3102</v>
      </c>
      <c r="K19" s="113">
        <f t="shared" si="1"/>
        <v>1860</v>
      </c>
      <c r="L19" s="114">
        <f t="shared" si="1"/>
        <v>10858.130000000001</v>
      </c>
      <c r="M19" s="114">
        <f t="shared" si="1"/>
        <v>0</v>
      </c>
      <c r="N19" s="114">
        <f t="shared" si="1"/>
        <v>1690</v>
      </c>
      <c r="O19" s="114">
        <f t="shared" si="1"/>
        <v>200</v>
      </c>
      <c r="P19" s="114">
        <f t="shared" si="1"/>
        <v>12000</v>
      </c>
      <c r="Q19" s="114">
        <f t="shared" si="1"/>
        <v>4000</v>
      </c>
      <c r="R19" s="115">
        <f t="shared" si="1"/>
        <v>0</v>
      </c>
      <c r="S19" s="115">
        <f t="shared" si="1"/>
        <v>0</v>
      </c>
      <c r="T19" s="115">
        <f t="shared" si="1"/>
        <v>0</v>
      </c>
      <c r="U19" s="115">
        <f t="shared" si="1"/>
        <v>921</v>
      </c>
      <c r="V19" s="115">
        <f t="shared" si="1"/>
        <v>158.61000000000001</v>
      </c>
      <c r="W19" s="115">
        <f t="shared" si="1"/>
        <v>10804.98</v>
      </c>
      <c r="X19" s="115">
        <f t="shared" si="1"/>
        <v>1237</v>
      </c>
      <c r="Y19" s="115">
        <f t="shared" si="1"/>
        <v>0</v>
      </c>
      <c r="Z19" s="115">
        <f t="shared" si="1"/>
        <v>2626</v>
      </c>
      <c r="AA19" s="124">
        <f t="shared" si="1"/>
        <v>0</v>
      </c>
      <c r="AB19" s="129">
        <f>SUM(AB4:AB18)</f>
        <v>62965.67</v>
      </c>
      <c r="AC19" s="130">
        <f>SUM(AC4:AC18)</f>
        <v>96705.110000000015</v>
      </c>
      <c r="AD19" s="133">
        <f>AC19-AB19</f>
        <v>33739.440000000017</v>
      </c>
    </row>
    <row r="20" spans="1:32" ht="15.75">
      <c r="A20" s="109">
        <v>20</v>
      </c>
      <c r="B20" s="110" t="s">
        <v>3</v>
      </c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2"/>
      <c r="AB20" s="128">
        <f>SUM(C20:AA20)</f>
        <v>0</v>
      </c>
      <c r="AC20" s="118"/>
      <c r="AD20" s="156"/>
    </row>
    <row r="21" spans="1:32" ht="15.75">
      <c r="A21" s="105">
        <v>21</v>
      </c>
      <c r="B21" s="106" t="s">
        <v>4</v>
      </c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8"/>
      <c r="AB21" s="128">
        <f>SUM(C21:AA21)</f>
        <v>0</v>
      </c>
      <c r="AC21" s="117"/>
      <c r="AD21" s="156"/>
      <c r="AF21" s="44"/>
    </row>
    <row r="22" spans="1:32" ht="15.75">
      <c r="A22" s="109">
        <v>22</v>
      </c>
      <c r="B22" s="110" t="s">
        <v>5</v>
      </c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2"/>
      <c r="AB22" s="128">
        <f t="shared" ref="AB22:AB35" si="2">SUM(C22:AA22)</f>
        <v>0</v>
      </c>
      <c r="AC22" s="117"/>
      <c r="AD22" s="156"/>
    </row>
    <row r="23" spans="1:32" ht="15.75">
      <c r="A23" s="105">
        <v>23</v>
      </c>
      <c r="B23" s="106" t="s">
        <v>6</v>
      </c>
      <c r="C23" s="107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7"/>
      <c r="Z23" s="107"/>
      <c r="AA23" s="108"/>
      <c r="AB23" s="128">
        <f t="shared" si="2"/>
        <v>0</v>
      </c>
      <c r="AC23" s="117"/>
      <c r="AD23" s="156"/>
    </row>
    <row r="24" spans="1:32" ht="15.75">
      <c r="A24" s="109">
        <v>24</v>
      </c>
      <c r="B24" s="110" t="s">
        <v>7</v>
      </c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2"/>
      <c r="AB24" s="128">
        <f t="shared" si="2"/>
        <v>0</v>
      </c>
      <c r="AC24" s="117"/>
      <c r="AD24" s="156"/>
    </row>
    <row r="25" spans="1:32" ht="15.75">
      <c r="A25" s="105">
        <v>25</v>
      </c>
      <c r="B25" s="106" t="s">
        <v>8</v>
      </c>
      <c r="C25" s="107"/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  <c r="O25" s="107"/>
      <c r="P25" s="107"/>
      <c r="Q25" s="107"/>
      <c r="R25" s="107"/>
      <c r="S25" s="107"/>
      <c r="T25" s="107"/>
      <c r="U25" s="107"/>
      <c r="V25" s="107"/>
      <c r="W25" s="107"/>
      <c r="X25" s="107"/>
      <c r="Y25" s="107"/>
      <c r="Z25" s="107"/>
      <c r="AA25" s="108"/>
      <c r="AB25" s="128">
        <f t="shared" si="2"/>
        <v>0</v>
      </c>
      <c r="AC25" s="117"/>
      <c r="AD25" s="156"/>
    </row>
    <row r="26" spans="1:32" ht="15.75">
      <c r="A26" s="109">
        <v>26</v>
      </c>
      <c r="B26" s="110" t="s">
        <v>2</v>
      </c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2"/>
      <c r="AB26" s="128">
        <f t="shared" si="2"/>
        <v>0</v>
      </c>
      <c r="AC26" s="118"/>
      <c r="AD26" s="156"/>
    </row>
    <row r="27" spans="1:32" ht="15.75">
      <c r="A27" s="105">
        <v>27</v>
      </c>
      <c r="B27" s="106" t="s">
        <v>3</v>
      </c>
      <c r="C27" s="107"/>
      <c r="D27" s="107"/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8"/>
      <c r="AB27" s="128">
        <f t="shared" si="2"/>
        <v>0</v>
      </c>
      <c r="AC27" s="117"/>
      <c r="AD27" s="156"/>
    </row>
    <row r="28" spans="1:32" ht="15.75">
      <c r="A28" s="109">
        <v>28</v>
      </c>
      <c r="B28" s="110" t="s">
        <v>4</v>
      </c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2"/>
      <c r="AB28" s="128">
        <f t="shared" si="2"/>
        <v>0</v>
      </c>
      <c r="AC28" s="117"/>
      <c r="AD28" s="156"/>
    </row>
    <row r="29" spans="1:32" ht="15.75">
      <c r="A29" s="105">
        <v>29</v>
      </c>
      <c r="B29" s="106" t="s">
        <v>5</v>
      </c>
      <c r="C29" s="107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7"/>
      <c r="Z29" s="107"/>
      <c r="AA29" s="108"/>
      <c r="AB29" s="128">
        <f t="shared" si="2"/>
        <v>0</v>
      </c>
      <c r="AC29" s="117"/>
      <c r="AD29" s="156"/>
    </row>
    <row r="30" spans="1:32" ht="15.75">
      <c r="A30" s="109">
        <v>30</v>
      </c>
      <c r="B30" s="110" t="s">
        <v>6</v>
      </c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2"/>
      <c r="AB30" s="128">
        <f t="shared" si="2"/>
        <v>0</v>
      </c>
      <c r="AC30" s="117"/>
      <c r="AD30" s="156"/>
    </row>
    <row r="31" spans="1:32" ht="15.75">
      <c r="A31" s="105">
        <v>31</v>
      </c>
      <c r="B31" s="106" t="s">
        <v>7</v>
      </c>
      <c r="C31" s="107"/>
      <c r="D31" s="107"/>
      <c r="E31" s="107"/>
      <c r="F31" s="107"/>
      <c r="G31" s="107"/>
      <c r="H31" s="107"/>
      <c r="I31" s="107"/>
      <c r="J31" s="107"/>
      <c r="K31" s="107"/>
      <c r="L31" s="107"/>
      <c r="M31" s="107"/>
      <c r="N31" s="107"/>
      <c r="O31" s="107"/>
      <c r="P31" s="107"/>
      <c r="Q31" s="107"/>
      <c r="R31" s="107"/>
      <c r="S31" s="107"/>
      <c r="T31" s="107"/>
      <c r="U31" s="107"/>
      <c r="V31" s="107"/>
      <c r="W31" s="107"/>
      <c r="X31" s="107"/>
      <c r="Y31" s="107"/>
      <c r="Z31" s="107"/>
      <c r="AA31" s="108"/>
      <c r="AB31" s="128">
        <f t="shared" si="2"/>
        <v>0</v>
      </c>
      <c r="AC31" s="117"/>
      <c r="AD31" s="156"/>
    </row>
    <row r="32" spans="1:32" ht="15.75">
      <c r="A32" s="109">
        <v>1</v>
      </c>
      <c r="B32" s="110" t="s">
        <v>8</v>
      </c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2"/>
      <c r="AB32" s="128">
        <f t="shared" si="2"/>
        <v>0</v>
      </c>
      <c r="AC32" s="117"/>
      <c r="AD32" s="156"/>
    </row>
    <row r="33" spans="1:30" ht="15.75">
      <c r="A33" s="105">
        <v>2</v>
      </c>
      <c r="B33" s="106" t="s">
        <v>2</v>
      </c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07"/>
      <c r="O33" s="107"/>
      <c r="P33" s="107"/>
      <c r="Q33" s="107"/>
      <c r="R33" s="107"/>
      <c r="S33" s="107"/>
      <c r="T33" s="107"/>
      <c r="U33" s="107"/>
      <c r="V33" s="107"/>
      <c r="W33" s="107"/>
      <c r="X33" s="107"/>
      <c r="Y33" s="107"/>
      <c r="Z33" s="107"/>
      <c r="AA33" s="108"/>
      <c r="AB33" s="128">
        <f t="shared" si="2"/>
        <v>0</v>
      </c>
      <c r="AC33" s="117"/>
      <c r="AD33" s="156"/>
    </row>
    <row r="34" spans="1:30" ht="15.75">
      <c r="A34" s="109">
        <v>3</v>
      </c>
      <c r="B34" s="110" t="s">
        <v>3</v>
      </c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2"/>
      <c r="AB34" s="128">
        <f t="shared" si="2"/>
        <v>0</v>
      </c>
      <c r="AC34" s="117"/>
      <c r="AD34" s="156"/>
    </row>
    <row r="35" spans="1:30" ht="15.75">
      <c r="A35" s="105">
        <v>4</v>
      </c>
      <c r="B35" s="106" t="s">
        <v>4</v>
      </c>
      <c r="C35" s="107"/>
      <c r="D35" s="107"/>
      <c r="E35" s="107"/>
      <c r="F35" s="107"/>
      <c r="G35" s="107"/>
      <c r="H35" s="107"/>
      <c r="I35" s="107"/>
      <c r="J35" s="107"/>
      <c r="K35" s="107"/>
      <c r="L35" s="107"/>
      <c r="M35" s="107"/>
      <c r="N35" s="107"/>
      <c r="O35" s="107"/>
      <c r="P35" s="107"/>
      <c r="Q35" s="107"/>
      <c r="R35" s="107"/>
      <c r="S35" s="107"/>
      <c r="T35" s="107"/>
      <c r="U35" s="107"/>
      <c r="V35" s="107"/>
      <c r="W35" s="107"/>
      <c r="X35" s="107"/>
      <c r="Y35" s="107"/>
      <c r="Z35" s="107"/>
      <c r="AA35" s="108"/>
      <c r="AB35" s="128">
        <f t="shared" si="2"/>
        <v>0</v>
      </c>
      <c r="AC35" s="117"/>
      <c r="AD35" s="156"/>
    </row>
    <row r="36" spans="1:30" ht="14.25" customHeight="1">
      <c r="A36" s="157" t="s">
        <v>36</v>
      </c>
      <c r="B36" s="157"/>
      <c r="C36" s="113">
        <f>SUM(C20:C35)</f>
        <v>0</v>
      </c>
      <c r="D36" s="113">
        <f t="shared" ref="D36:K36" si="3">SUM(D20:D35)</f>
        <v>0</v>
      </c>
      <c r="E36" s="113">
        <f t="shared" si="3"/>
        <v>0</v>
      </c>
      <c r="F36" s="113">
        <f t="shared" si="3"/>
        <v>0</v>
      </c>
      <c r="G36" s="113">
        <f t="shared" si="3"/>
        <v>0</v>
      </c>
      <c r="H36" s="113">
        <f t="shared" si="3"/>
        <v>0</v>
      </c>
      <c r="I36" s="113">
        <f t="shared" si="3"/>
        <v>0</v>
      </c>
      <c r="J36" s="113">
        <f t="shared" si="3"/>
        <v>0</v>
      </c>
      <c r="K36" s="113">
        <f t="shared" si="3"/>
        <v>0</v>
      </c>
      <c r="L36" s="114">
        <f>SUM(L20:L35)</f>
        <v>0</v>
      </c>
      <c r="M36" s="114">
        <f t="shared" ref="M36:Q36" si="4">SUM(M20:M35)</f>
        <v>0</v>
      </c>
      <c r="N36" s="114">
        <f t="shared" si="4"/>
        <v>0</v>
      </c>
      <c r="O36" s="114">
        <f t="shared" si="4"/>
        <v>0</v>
      </c>
      <c r="P36" s="114">
        <f t="shared" si="4"/>
        <v>0</v>
      </c>
      <c r="Q36" s="114">
        <f t="shared" si="4"/>
        <v>0</v>
      </c>
      <c r="R36" s="115">
        <f>SUM(R20:R35)</f>
        <v>0</v>
      </c>
      <c r="S36" s="115">
        <f t="shared" ref="S36:AA36" si="5">SUM(S20:S35)</f>
        <v>0</v>
      </c>
      <c r="T36" s="115">
        <f t="shared" si="5"/>
        <v>0</v>
      </c>
      <c r="U36" s="115">
        <f t="shared" si="5"/>
        <v>0</v>
      </c>
      <c r="V36" s="115">
        <f t="shared" si="5"/>
        <v>0</v>
      </c>
      <c r="W36" s="115">
        <f t="shared" si="5"/>
        <v>0</v>
      </c>
      <c r="X36" s="115">
        <f t="shared" si="5"/>
        <v>0</v>
      </c>
      <c r="Y36" s="115">
        <f t="shared" si="5"/>
        <v>0</v>
      </c>
      <c r="Z36" s="115">
        <f t="shared" si="5"/>
        <v>0</v>
      </c>
      <c r="AA36" s="124">
        <f t="shared" si="5"/>
        <v>0</v>
      </c>
      <c r="AB36" s="129">
        <f>SUM(AB20:AB35)</f>
        <v>0</v>
      </c>
      <c r="AC36" s="130">
        <f>SUM(AC20:AC35)</f>
        <v>0</v>
      </c>
      <c r="AD36" s="133">
        <f>AC36-AB36</f>
        <v>0</v>
      </c>
    </row>
    <row r="37" spans="1:30" ht="31.5" customHeight="1">
      <c r="A37" s="154" t="s">
        <v>37</v>
      </c>
      <c r="B37" s="154"/>
      <c r="C37" s="116">
        <f>SUM(C19,C36)</f>
        <v>429.95</v>
      </c>
      <c r="D37" s="116"/>
      <c r="E37" s="116"/>
      <c r="F37" s="116">
        <f t="shared" ref="F37:AB37" si="6">SUM(F19,F36)</f>
        <v>1812</v>
      </c>
      <c r="G37" s="116"/>
      <c r="H37" s="116">
        <f t="shared" si="6"/>
        <v>0</v>
      </c>
      <c r="I37" s="116">
        <f t="shared" si="6"/>
        <v>7935</v>
      </c>
      <c r="J37" s="116">
        <f t="shared" si="6"/>
        <v>3102</v>
      </c>
      <c r="K37" s="116">
        <f t="shared" si="6"/>
        <v>1860</v>
      </c>
      <c r="L37" s="116">
        <f t="shared" si="6"/>
        <v>10858.130000000001</v>
      </c>
      <c r="M37" s="116">
        <f t="shared" si="6"/>
        <v>0</v>
      </c>
      <c r="N37" s="116">
        <f t="shared" si="6"/>
        <v>1690</v>
      </c>
      <c r="O37" s="116"/>
      <c r="P37" s="116"/>
      <c r="Q37" s="116"/>
      <c r="R37" s="116">
        <f t="shared" si="6"/>
        <v>0</v>
      </c>
      <c r="S37" s="116"/>
      <c r="T37" s="116">
        <f t="shared" si="6"/>
        <v>0</v>
      </c>
      <c r="U37" s="116">
        <f t="shared" si="6"/>
        <v>921</v>
      </c>
      <c r="V37" s="116">
        <f t="shared" si="6"/>
        <v>158.61000000000001</v>
      </c>
      <c r="W37" s="116">
        <f t="shared" si="6"/>
        <v>10804.98</v>
      </c>
      <c r="X37" s="116">
        <f t="shared" si="6"/>
        <v>1237</v>
      </c>
      <c r="Y37" s="116">
        <f t="shared" si="6"/>
        <v>0</v>
      </c>
      <c r="Z37" s="116">
        <f>SUM(Z19,Z36)</f>
        <v>2626</v>
      </c>
      <c r="AA37" s="125">
        <f t="shared" si="6"/>
        <v>0</v>
      </c>
      <c r="AB37" s="131">
        <f t="shared" si="6"/>
        <v>62965.67</v>
      </c>
      <c r="AC37" s="132">
        <f>SUM(AC19,AC36)</f>
        <v>96705.110000000015</v>
      </c>
      <c r="AD37" s="134">
        <f>SUM(AD19,AD36)</f>
        <v>33739.440000000017</v>
      </c>
    </row>
    <row r="41" spans="1:30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</sheetData>
  <mergeCells count="11">
    <mergeCell ref="A37:B37"/>
    <mergeCell ref="A1:AD1"/>
    <mergeCell ref="AD4:AD18"/>
    <mergeCell ref="A19:B19"/>
    <mergeCell ref="AD20:AD35"/>
    <mergeCell ref="A36:B36"/>
    <mergeCell ref="C2:K2"/>
    <mergeCell ref="L2:Q2"/>
    <mergeCell ref="R2:AA2"/>
    <mergeCell ref="AB2:AD2"/>
    <mergeCell ref="A2:B2"/>
  </mergeCells>
  <conditionalFormatting sqref="AD19:AD20 AD36:AD37">
    <cfRule type="expression" dxfId="3" priority="1">
      <formula>AD19&lt;0</formula>
    </cfRule>
    <cfRule type="expression" dxfId="2" priority="2">
      <formula>AD19&gt;0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2026-08-11T14:02:58Z</dcterms:modified>
</cp:coreProperties>
</file>