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6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5" i="8"/>
  <c r="AG14"/>
  <c r="AG13"/>
  <c r="AG12"/>
  <c r="AG11"/>
  <c r="Z38"/>
  <c r="Z37"/>
  <c r="Y37"/>
  <c r="X37"/>
  <c r="W37"/>
  <c r="W20"/>
  <c r="X20"/>
  <c r="X38" s="1"/>
  <c r="Y20"/>
  <c r="W22"/>
  <c r="W23"/>
  <c r="W24"/>
  <c r="W25"/>
  <c r="W26"/>
  <c r="W27"/>
  <c r="W28"/>
  <c r="W29"/>
  <c r="W30"/>
  <c r="W31"/>
  <c r="W32"/>
  <c r="W33"/>
  <c r="W34"/>
  <c r="W35"/>
  <c r="W36"/>
  <c r="W21"/>
  <c r="W3"/>
  <c r="Y3"/>
  <c r="O17"/>
  <c r="U17"/>
  <c r="C17"/>
  <c r="M38" i="9"/>
  <c r="Y37"/>
  <c r="Z37" s="1"/>
  <c r="X37"/>
  <c r="V37"/>
  <c r="V38" s="1"/>
  <c r="U37"/>
  <c r="U38" s="1"/>
  <c r="T37"/>
  <c r="T38" s="1"/>
  <c r="S37"/>
  <c r="S38" s="1"/>
  <c r="R37"/>
  <c r="R38" s="1"/>
  <c r="Q37"/>
  <c r="P37"/>
  <c r="N37"/>
  <c r="M37"/>
  <c r="L37"/>
  <c r="L38" s="1"/>
  <c r="K37"/>
  <c r="K38" s="1"/>
  <c r="J37"/>
  <c r="J38" s="1"/>
  <c r="I37"/>
  <c r="I38" s="1"/>
  <c r="H37"/>
  <c r="G37"/>
  <c r="G38" s="1"/>
  <c r="F37"/>
  <c r="F38" s="1"/>
  <c r="E37"/>
  <c r="T28"/>
  <c r="D25"/>
  <c r="D37" s="1"/>
  <c r="O24"/>
  <c r="O37" s="1"/>
  <c r="C22"/>
  <c r="C37" s="1"/>
  <c r="Y20"/>
  <c r="V20"/>
  <c r="U20"/>
  <c r="T20"/>
  <c r="S20"/>
  <c r="R20"/>
  <c r="P20"/>
  <c r="P38" s="1"/>
  <c r="O20"/>
  <c r="O38" s="1"/>
  <c r="N20"/>
  <c r="N38" s="1"/>
  <c r="M20"/>
  <c r="L20"/>
  <c r="K20"/>
  <c r="J20"/>
  <c r="I20"/>
  <c r="G20"/>
  <c r="F20"/>
  <c r="E20"/>
  <c r="E38" s="1"/>
  <c r="X19"/>
  <c r="V19"/>
  <c r="X18"/>
  <c r="X17"/>
  <c r="X16"/>
  <c r="X15"/>
  <c r="Q15"/>
  <c r="Y14"/>
  <c r="C14"/>
  <c r="X14" s="1"/>
  <c r="X13"/>
  <c r="X12"/>
  <c r="X11"/>
  <c r="C11"/>
  <c r="X10"/>
  <c r="O10"/>
  <c r="X9"/>
  <c r="X8"/>
  <c r="Q8"/>
  <c r="X7"/>
  <c r="C7"/>
  <c r="X6"/>
  <c r="C5"/>
  <c r="X5" s="1"/>
  <c r="X4"/>
  <c r="O4"/>
  <c r="H4"/>
  <c r="H20" s="1"/>
  <c r="H38" s="1"/>
  <c r="D4"/>
  <c r="D20" s="1"/>
  <c r="D38" s="1"/>
  <c r="Y3"/>
  <c r="X3"/>
  <c r="Q3"/>
  <c r="Q20" s="1"/>
  <c r="Q38" s="1"/>
  <c r="L3"/>
  <c r="C3"/>
  <c r="C22" i="8"/>
  <c r="O24"/>
  <c r="D25"/>
  <c r="T28"/>
  <c r="Z20" l="1"/>
  <c r="X20" i="9"/>
  <c r="Y38"/>
  <c r="C20"/>
  <c r="C38" s="1"/>
  <c r="V19" i="8"/>
  <c r="Q15"/>
  <c r="C14"/>
  <c r="Z20" i="9" l="1"/>
  <c r="Z38" s="1"/>
  <c r="X38"/>
  <c r="C3" i="8"/>
  <c r="L3"/>
  <c r="Q3"/>
  <c r="O4"/>
  <c r="H4"/>
  <c r="D4"/>
  <c r="C5"/>
  <c r="W5" s="1"/>
  <c r="C7"/>
  <c r="W7" s="1"/>
  <c r="Q8"/>
  <c r="W8" s="1"/>
  <c r="O10"/>
  <c r="W10" s="1"/>
  <c r="C11"/>
  <c r="W11" s="1"/>
  <c r="W6"/>
  <c r="W9"/>
  <c r="W12"/>
  <c r="W13"/>
  <c r="W14"/>
  <c r="W15"/>
  <c r="W16"/>
  <c r="W17"/>
  <c r="W18"/>
  <c r="W19"/>
  <c r="W4" l="1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U20"/>
  <c r="T20"/>
  <c r="T38" s="1"/>
  <c r="R20"/>
  <c r="Q20"/>
  <c r="O20"/>
  <c r="N20"/>
  <c r="M20"/>
  <c r="L20"/>
  <c r="K20"/>
  <c r="J20"/>
  <c r="I20"/>
  <c r="H20"/>
  <c r="G20"/>
  <c r="G38" s="1"/>
  <c r="E20"/>
  <c r="E38" s="1"/>
  <c r="F20"/>
  <c r="F38" s="1"/>
  <c r="D20"/>
  <c r="V20"/>
  <c r="S20"/>
  <c r="S38" s="1"/>
  <c r="C20"/>
  <c r="N38" l="1"/>
  <c r="M38"/>
  <c r="Q38"/>
  <c r="U38"/>
  <c r="O38"/>
  <c r="D38"/>
  <c r="C38"/>
  <c r="V38"/>
  <c r="L38"/>
  <c r="Y38"/>
  <c r="K38"/>
  <c r="I38"/>
  <c r="H38"/>
  <c r="J38"/>
  <c r="R38"/>
  <c r="P20"/>
  <c r="P38" s="1"/>
  <c r="C6" i="7"/>
  <c r="W6" s="1"/>
  <c r="F6"/>
  <c r="F18" s="1"/>
  <c r="C5"/>
  <c r="W5" s="1"/>
  <c r="D4"/>
  <c r="D18" s="1"/>
  <c r="C3"/>
  <c r="C18" s="1"/>
  <c r="H3"/>
  <c r="H18" s="1"/>
  <c r="H36" s="1"/>
  <c r="P7"/>
  <c r="W7" s="1"/>
  <c r="F8"/>
  <c r="N8"/>
  <c r="O9"/>
  <c r="C11"/>
  <c r="W11" s="1"/>
  <c r="P17"/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T35"/>
  <c r="S35"/>
  <c r="R35"/>
  <c r="Q35"/>
  <c r="P35"/>
  <c r="N35"/>
  <c r="M35"/>
  <c r="L35"/>
  <c r="K35"/>
  <c r="J35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P18"/>
  <c r="N18"/>
  <c r="M18"/>
  <c r="L18"/>
  <c r="K18"/>
  <c r="J18"/>
  <c r="I18"/>
  <c r="G18"/>
  <c r="E18"/>
  <c r="W17"/>
  <c r="W16"/>
  <c r="W15"/>
  <c r="W14"/>
  <c r="W13"/>
  <c r="W12"/>
  <c r="W10"/>
  <c r="W9"/>
  <c r="W8"/>
  <c r="O18"/>
  <c r="T9" i="6"/>
  <c r="D9"/>
  <c r="C9"/>
  <c r="Q10"/>
  <c r="H11"/>
  <c r="C14"/>
  <c r="W22"/>
  <c r="W26"/>
  <c r="W32"/>
  <c r="W33"/>
  <c r="W34"/>
  <c r="W19"/>
  <c r="C23"/>
  <c r="W23" s="1"/>
  <c r="I21"/>
  <c r="H21"/>
  <c r="W21" s="1"/>
  <c r="O20"/>
  <c r="D20"/>
  <c r="W20" s="1"/>
  <c r="W4" i="7" l="1"/>
  <c r="J36"/>
  <c r="K36"/>
  <c r="U36"/>
  <c r="N36"/>
  <c r="W24" i="6"/>
  <c r="W25"/>
  <c r="W27"/>
  <c r="W28"/>
  <c r="W31"/>
  <c r="V36" i="7"/>
  <c r="W3"/>
  <c r="W18" s="1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O18" s="1"/>
  <c r="C5"/>
  <c r="W5" s="1"/>
  <c r="F5"/>
  <c r="F18" s="1"/>
  <c r="O4"/>
  <c r="H4"/>
  <c r="H18" s="1"/>
  <c r="P3"/>
  <c r="W7"/>
  <c r="W8"/>
  <c r="W9"/>
  <c r="W10"/>
  <c r="W11"/>
  <c r="W12"/>
  <c r="W13"/>
  <c r="W14"/>
  <c r="W15"/>
  <c r="W16"/>
  <c r="W17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E18"/>
  <c r="N18"/>
  <c r="Q18"/>
  <c r="H31" i="4"/>
  <c r="H36" s="1"/>
  <c r="C31"/>
  <c r="C32"/>
  <c r="C33"/>
  <c r="C35"/>
  <c r="W35" s="1"/>
  <c r="H7" i="5"/>
  <c r="H6"/>
  <c r="O28" i="4"/>
  <c r="O29"/>
  <c r="X36"/>
  <c r="D36"/>
  <c r="E36"/>
  <c r="F36"/>
  <c r="G36"/>
  <c r="I36"/>
  <c r="J36"/>
  <c r="K36"/>
  <c r="L36"/>
  <c r="M36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6" i="6" l="1"/>
  <c r="W38" i="8"/>
  <c r="E37" i="4"/>
  <c r="M37"/>
  <c r="W4" i="6"/>
  <c r="W36" i="7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C37" l="1"/>
  <c r="W18" i="6"/>
  <c r="W35"/>
  <c r="Y35" s="1"/>
  <c r="C36"/>
  <c r="V4" i="4"/>
  <c r="V20" s="1"/>
  <c r="V37" s="1"/>
  <c r="Q3"/>
  <c r="Q20" s="1"/>
  <c r="Q37" s="1"/>
  <c r="S3"/>
  <c r="S20" s="1"/>
  <c r="S37" s="1"/>
  <c r="W36" i="6" l="1"/>
  <c r="Y18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M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M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color indexed="81"/>
            <rFont val="Tahoma"/>
            <family val="2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</t>
        </r>
      </text>
    </comment>
    <comment ref="S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для Ани</t>
        </r>
      </text>
    </comment>
    <comment ref="Q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Q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F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T16" author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S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Y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color indexed="81"/>
            <rFont val="Tahoma"/>
            <family val="2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</t>
        </r>
      </text>
    </comment>
    <comment ref="S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для Ани</t>
        </r>
      </text>
    </comment>
    <comment ref="Q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</t>
        </r>
      </text>
    </comment>
  </commentList>
</comments>
</file>

<file path=xl/sharedStrings.xml><?xml version="1.0" encoding="utf-8"?>
<sst xmlns="http://schemas.openxmlformats.org/spreadsheetml/2006/main" count="446" uniqueCount="66">
  <si>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</si>
  <si>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</si>
  <si>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</si>
  <si>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</si>
  <si>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</si>
  <si>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</si>
  <si>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</si>
  <si>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</si>
  <si>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</si>
  <si>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</si>
  <si>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</si>
  <si>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</si>
  <si>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</si>
  <si>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</si>
  <si>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</si>
  <si>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</si>
  <si>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</si>
  <si>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</si>
  <si>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</si>
  <si>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</si>
  <si>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</si>
  <si>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</si>
  <si>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</si>
  <si>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</si>
  <si>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</si>
  <si>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</si>
  <si>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</si>
  <si>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</si>
  <si>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</si>
  <si>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</si>
  <si>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</si>
  <si>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</si>
  <si>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</si>
  <si>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</si>
  <si>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</si>
  <si>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</si>
  <si>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</si>
  <si>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</si>
  <si>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</si>
  <si>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</si>
  <si>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</si>
  <si>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</si>
  <si>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</si>
  <si>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</si>
  <si>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</si>
  <si>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</si>
  <si>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</si>
  <si>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</si>
  <si>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</si>
  <si>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</si>
  <si>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</si>
  <si>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</si>
  <si>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</si>
  <si>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</si>
  <si>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</si>
  <si>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</si>
  <si>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</si>
  <si>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</si>
  <si>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</si>
  <si>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</si>
  <si>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</si>
  <si>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</si>
  <si>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</si>
  <si>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</si>
  <si>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</si>
  <si>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Потратил на еду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</si>
</sst>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38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F0000"/>
      <name val="Franklin Gothic Demi"/>
      <family val="2"/>
      <charset val="204"/>
    </font>
    <font>
      <b/>
      <sz val="11"/>
      <name val="Franklin Gothic Demi"/>
      <family val="2"/>
      <charset val="204"/>
    </font>
    <font>
      <b/>
      <sz val="11"/>
      <name val="Calibri"/>
      <family val="2"/>
      <charset val="204"/>
      <scheme val="minor"/>
    </font>
    <font>
      <sz val="11"/>
      <color theme="0"/>
      <name val="Franklin Gothic Demi"/>
      <family val="2"/>
      <charset val="204"/>
    </font>
    <font>
      <sz val="12"/>
      <color theme="1"/>
      <name val="Bahnschrift"/>
      <family val="2"/>
      <charset val="204"/>
    </font>
    <font>
      <sz val="14"/>
      <color theme="1"/>
      <name val="Bahnschrift"/>
      <family val="2"/>
      <charset val="204"/>
    </font>
  </fonts>
  <fills count="3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62D4E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9200"/>
        <bgColor indexed="64"/>
      </patternFill>
    </fill>
    <fill>
      <patternFill patternType="solid">
        <fgColor rgb="FF273C18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/>
      <bottom/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134873"/>
      </left>
      <right/>
      <top style="thin">
        <color rgb="FF134873"/>
      </top>
      <bottom/>
      <diagonal/>
    </border>
  </borders>
  <cellStyleXfs count="1">
    <xf numFmtId="0" fontId="0" fillId="0" borderId="0"/>
  </cellStyleXfs>
  <cellXfs count="141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5" fillId="5" borderId="8" xfId="0" applyFont="1" applyFill="1" applyBorder="1" applyAlignment="1">
      <alignment horizontal="center" vertical="center"/>
    </xf>
    <xf numFmtId="164" fontId="16" fillId="0" borderId="7" xfId="0" applyNumberFormat="1" applyFont="1" applyBorder="1"/>
    <xf numFmtId="0" fontId="17" fillId="0" borderId="7" xfId="0" applyFont="1" applyBorder="1"/>
    <xf numFmtId="0" fontId="17" fillId="0" borderId="9" xfId="0" applyFont="1" applyBorder="1"/>
    <xf numFmtId="164" fontId="16" fillId="0" borderId="9" xfId="0" applyNumberFormat="1" applyFont="1" applyBorder="1"/>
    <xf numFmtId="0" fontId="17" fillId="15" borderId="10" xfId="0" applyFont="1" applyFill="1" applyBorder="1"/>
    <xf numFmtId="164" fontId="16" fillId="15" borderId="11" xfId="0" applyNumberFormat="1" applyFont="1" applyFill="1" applyBorder="1"/>
    <xf numFmtId="164" fontId="16" fillId="15" borderId="12" xfId="0" applyNumberFormat="1" applyFont="1" applyFill="1" applyBorder="1"/>
    <xf numFmtId="164" fontId="16" fillId="0" borderId="7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164" fontId="21" fillId="6" borderId="7" xfId="0" applyNumberFormat="1" applyFont="1" applyFill="1" applyBorder="1"/>
    <xf numFmtId="164" fontId="21" fillId="6" borderId="7" xfId="0" applyNumberFormat="1" applyFont="1" applyFill="1" applyBorder="1" applyAlignment="1">
      <alignment vertical="center"/>
    </xf>
    <xf numFmtId="0" fontId="22" fillId="7" borderId="7" xfId="0" applyFont="1" applyFill="1" applyBorder="1" applyAlignment="1">
      <alignment horizontal="center" vertical="center"/>
    </xf>
    <xf numFmtId="0" fontId="23" fillId="7" borderId="7" xfId="0" applyFont="1" applyFill="1" applyBorder="1" applyAlignment="1">
      <alignment horizontal="center" vertical="center"/>
    </xf>
    <xf numFmtId="164" fontId="23" fillId="7" borderId="7" xfId="0" applyNumberFormat="1" applyFont="1" applyFill="1" applyBorder="1"/>
    <xf numFmtId="164" fontId="23" fillId="7" borderId="7" xfId="0" applyNumberFormat="1" applyFont="1" applyFill="1" applyBorder="1" applyAlignment="1">
      <alignment vertical="center"/>
    </xf>
    <xf numFmtId="0" fontId="22" fillId="17" borderId="7" xfId="0" applyFont="1" applyFill="1" applyBorder="1" applyAlignment="1">
      <alignment horizontal="center" vertical="center"/>
    </xf>
    <xf numFmtId="0" fontId="23" fillId="17" borderId="7" xfId="0" applyFont="1" applyFill="1" applyBorder="1" applyAlignment="1">
      <alignment horizontal="center" vertical="center"/>
    </xf>
    <xf numFmtId="164" fontId="23" fillId="17" borderId="7" xfId="0" applyNumberFormat="1" applyFont="1" applyFill="1" applyBorder="1"/>
    <xf numFmtId="164" fontId="23" fillId="17" borderId="7" xfId="0" applyNumberFormat="1" applyFont="1" applyFill="1" applyBorder="1" applyAlignment="1">
      <alignment vertical="center"/>
    </xf>
    <xf numFmtId="164" fontId="20" fillId="6" borderId="7" xfId="0" applyNumberFormat="1" applyFont="1" applyFill="1" applyBorder="1" applyAlignment="1">
      <alignment horizontal="right" vertical="center"/>
    </xf>
    <xf numFmtId="164" fontId="23" fillId="7" borderId="7" xfId="0" applyNumberFormat="1" applyFont="1" applyFill="1" applyBorder="1" applyAlignment="1">
      <alignment horizontal="right" vertical="center"/>
    </xf>
    <xf numFmtId="164" fontId="23" fillId="17" borderId="7" xfId="0" applyNumberFormat="1" applyFont="1" applyFill="1" applyBorder="1" applyAlignment="1">
      <alignment horizontal="right" vertical="center"/>
    </xf>
    <xf numFmtId="164" fontId="21" fillId="6" borderId="7" xfId="0" applyNumberFormat="1" applyFont="1" applyFill="1" applyBorder="1" applyAlignment="1">
      <alignment horizontal="right" vertical="center"/>
    </xf>
    <xf numFmtId="164" fontId="25" fillId="6" borderId="7" xfId="0" applyNumberFormat="1" applyFont="1" applyFill="1" applyBorder="1" applyAlignment="1">
      <alignment horizontal="right" vertical="center"/>
    </xf>
    <xf numFmtId="164" fontId="23" fillId="18" borderId="7" xfId="0" applyNumberFormat="1" applyFont="1" applyFill="1" applyBorder="1"/>
    <xf numFmtId="0" fontId="26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29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0" fontId="26" fillId="19" borderId="1" xfId="0" applyFont="1" applyFill="1" applyBorder="1" applyAlignment="1">
      <alignment horizontal="center" vertical="center" wrapText="1"/>
    </xf>
    <xf numFmtId="164" fontId="27" fillId="19" borderId="7" xfId="0" applyNumberFormat="1" applyFont="1" applyFill="1" applyBorder="1" applyAlignment="1">
      <alignment horizontal="right" vertical="center"/>
    </xf>
    <xf numFmtId="164" fontId="21" fillId="19" borderId="7" xfId="0" applyNumberFormat="1" applyFont="1" applyFill="1" applyBorder="1" applyAlignment="1">
      <alignment vertical="center"/>
    </xf>
    <xf numFmtId="164" fontId="29" fillId="19" borderId="7" xfId="0" applyNumberFormat="1" applyFont="1" applyFill="1" applyBorder="1" applyAlignment="1">
      <alignment vertical="center"/>
    </xf>
    <xf numFmtId="164" fontId="29" fillId="19" borderId="7" xfId="0" applyNumberFormat="1" applyFont="1" applyFill="1" applyBorder="1" applyAlignment="1">
      <alignment horizontal="right" vertical="center"/>
    </xf>
    <xf numFmtId="164" fontId="20" fillId="19" borderId="7" xfId="0" applyNumberFormat="1" applyFont="1" applyFill="1" applyBorder="1" applyAlignment="1">
      <alignment horizontal="right" vertical="center"/>
    </xf>
    <xf numFmtId="164" fontId="23" fillId="20" borderId="7" xfId="0" applyNumberFormat="1" applyFont="1" applyFill="1" applyBorder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18" fillId="5" borderId="0" xfId="0" applyFont="1" applyFill="1" applyAlignment="1">
      <alignment horizontal="center" vertical="center"/>
    </xf>
    <xf numFmtId="0" fontId="21" fillId="6" borderId="7" xfId="0" applyFont="1" applyFill="1" applyBorder="1" applyAlignment="1">
      <alignment horizontal="right" vertical="center"/>
    </xf>
    <xf numFmtId="0" fontId="20" fillId="6" borderId="7" xfId="0" applyFont="1" applyFill="1" applyBorder="1" applyAlignment="1">
      <alignment horizontal="right" vertical="center"/>
    </xf>
    <xf numFmtId="0" fontId="24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25" fillId="6" borderId="7" xfId="0" applyFont="1" applyFill="1" applyBorder="1" applyAlignment="1">
      <alignment horizontal="right" vertical="center"/>
    </xf>
    <xf numFmtId="0" fontId="28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0" fontId="32" fillId="5" borderId="1" xfId="0" applyFont="1" applyFill="1" applyBorder="1" applyAlignment="1">
      <alignment horizontal="center" vertical="center" wrapText="1"/>
    </xf>
    <xf numFmtId="164" fontId="23" fillId="22" borderId="7" xfId="0" applyNumberFormat="1" applyFont="1" applyFill="1" applyBorder="1" applyAlignment="1">
      <alignment horizontal="right" vertical="center"/>
    </xf>
    <xf numFmtId="164" fontId="23" fillId="7" borderId="16" xfId="0" applyNumberFormat="1" applyFont="1" applyFill="1" applyBorder="1" applyAlignment="1">
      <alignment horizontal="right" vertical="center"/>
    </xf>
    <xf numFmtId="164" fontId="23" fillId="17" borderId="16" xfId="0" applyNumberFormat="1" applyFont="1" applyFill="1" applyBorder="1" applyAlignment="1">
      <alignment horizontal="right" vertical="center"/>
    </xf>
    <xf numFmtId="164" fontId="23" fillId="2" borderId="17" xfId="0" applyNumberFormat="1" applyFont="1" applyFill="1" applyBorder="1" applyAlignment="1">
      <alignment horizontal="center" vertical="center"/>
    </xf>
    <xf numFmtId="164" fontId="23" fillId="2" borderId="18" xfId="0" applyNumberFormat="1" applyFont="1" applyFill="1" applyBorder="1" applyAlignment="1">
      <alignment horizontal="center" vertical="center"/>
    </xf>
    <xf numFmtId="164" fontId="23" fillId="2" borderId="19" xfId="0" applyNumberFormat="1" applyFont="1" applyFill="1" applyBorder="1" applyAlignment="1">
      <alignment horizontal="center" vertical="center"/>
    </xf>
    <xf numFmtId="164" fontId="27" fillId="19" borderId="14" xfId="0" applyNumberFormat="1" applyFont="1" applyFill="1" applyBorder="1"/>
    <xf numFmtId="164" fontId="23" fillId="2" borderId="15" xfId="0" applyNumberFormat="1" applyFont="1" applyFill="1" applyBorder="1" applyAlignment="1"/>
    <xf numFmtId="164" fontId="23" fillId="23" borderId="15" xfId="0" applyNumberFormat="1" applyFont="1" applyFill="1" applyBorder="1" applyAlignment="1"/>
    <xf numFmtId="164" fontId="27" fillId="19" borderId="13" xfId="0" applyNumberFormat="1" applyFont="1" applyFill="1" applyBorder="1"/>
    <xf numFmtId="164" fontId="23" fillId="21" borderId="15" xfId="0" applyNumberFormat="1" applyFont="1" applyFill="1" applyBorder="1"/>
    <xf numFmtId="0" fontId="26" fillId="25" borderId="1" xfId="0" applyFont="1" applyFill="1" applyBorder="1" applyAlignment="1">
      <alignment horizontal="center" vertical="center" wrapText="1"/>
    </xf>
    <xf numFmtId="0" fontId="26" fillId="26" borderId="1" xfId="0" applyFont="1" applyFill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6" fillId="5" borderId="20" xfId="0" applyFont="1" applyFill="1" applyBorder="1" applyAlignment="1">
      <alignment horizontal="center" vertical="center" wrapText="1"/>
    </xf>
    <xf numFmtId="164" fontId="27" fillId="6" borderId="16" xfId="0" applyNumberFormat="1" applyFont="1" applyFill="1" applyBorder="1" applyAlignment="1">
      <alignment horizontal="right" vertical="center"/>
    </xf>
    <xf numFmtId="164" fontId="29" fillId="6" borderId="16" xfId="0" applyNumberFormat="1" applyFont="1" applyFill="1" applyBorder="1" applyAlignment="1">
      <alignment horizontal="right" vertical="center"/>
    </xf>
    <xf numFmtId="0" fontId="26" fillId="27" borderId="7" xfId="0" applyFont="1" applyFill="1" applyBorder="1" applyAlignment="1">
      <alignment horizontal="center" vertical="center" wrapText="1"/>
    </xf>
    <xf numFmtId="164" fontId="23" fillId="14" borderId="7" xfId="0" applyNumberFormat="1" applyFont="1" applyFill="1" applyBorder="1" applyAlignment="1">
      <alignment horizontal="right" vertical="center"/>
    </xf>
    <xf numFmtId="164" fontId="23" fillId="2" borderId="7" xfId="0" applyNumberFormat="1" applyFont="1" applyFill="1" applyBorder="1" applyAlignment="1">
      <alignment horizontal="center" vertical="center"/>
    </xf>
    <xf numFmtId="164" fontId="23" fillId="28" borderId="7" xfId="0" applyNumberFormat="1" applyFont="1" applyFill="1" applyBorder="1" applyAlignment="1">
      <alignment horizontal="right" vertical="center"/>
    </xf>
    <xf numFmtId="0" fontId="33" fillId="23" borderId="7" xfId="0" applyFont="1" applyFill="1" applyBorder="1" applyAlignment="1">
      <alignment horizontal="center" vertical="center" wrapText="1"/>
    </xf>
    <xf numFmtId="0" fontId="26" fillId="21" borderId="7" xfId="0" applyFont="1" applyFill="1" applyBorder="1" applyAlignment="1">
      <alignment horizontal="center" vertical="center" wrapText="1"/>
    </xf>
    <xf numFmtId="164" fontId="23" fillId="29" borderId="7" xfId="0" applyNumberFormat="1" applyFont="1" applyFill="1" applyBorder="1" applyAlignment="1"/>
    <xf numFmtId="164" fontId="34" fillId="24" borderId="7" xfId="0" applyNumberFormat="1" applyFont="1" applyFill="1" applyBorder="1" applyAlignment="1">
      <alignment horizontal="right" vertical="center"/>
    </xf>
    <xf numFmtId="164" fontId="34" fillId="23" borderId="7" xfId="0" applyNumberFormat="1" applyFont="1" applyFill="1" applyBorder="1" applyAlignment="1">
      <alignment horizontal="right" vertical="center"/>
    </xf>
    <xf numFmtId="164" fontId="34" fillId="6" borderId="7" xfId="0" applyNumberFormat="1" applyFont="1" applyFill="1" applyBorder="1" applyAlignment="1">
      <alignment vertical="center"/>
    </xf>
    <xf numFmtId="164" fontId="29" fillId="6" borderId="7" xfId="0" applyNumberFormat="1" applyFont="1" applyFill="1" applyBorder="1" applyAlignment="1">
      <alignment vertical="center"/>
    </xf>
    <xf numFmtId="0" fontId="35" fillId="6" borderId="7" xfId="0" applyFont="1" applyFill="1" applyBorder="1" applyAlignment="1">
      <alignment horizontal="center" vertical="center" wrapText="1"/>
    </xf>
    <xf numFmtId="164" fontId="23" fillId="29" borderId="7" xfId="0" applyNumberFormat="1" applyFont="1" applyFill="1" applyBorder="1"/>
    <xf numFmtId="164" fontId="23" fillId="22" borderId="7" xfId="0" applyNumberFormat="1" applyFont="1" applyFill="1" applyBorder="1" applyAlignment="1"/>
    <xf numFmtId="164" fontId="34" fillId="11" borderId="7" xfId="0" applyNumberFormat="1" applyFont="1" applyFill="1" applyBorder="1"/>
    <xf numFmtId="164" fontId="34" fillId="11" borderId="7" xfId="0" applyNumberFormat="1" applyFont="1" applyFill="1" applyBorder="1" applyAlignment="1">
      <alignment horizontal="right" vertical="center"/>
    </xf>
    <xf numFmtId="164" fontId="23" fillId="30" borderId="7" xfId="0" applyNumberFormat="1" applyFont="1" applyFill="1" applyBorder="1"/>
    <xf numFmtId="0" fontId="37" fillId="17" borderId="7" xfId="0" applyFont="1" applyFill="1" applyBorder="1" applyAlignment="1">
      <alignment horizontal="center" vertical="center"/>
    </xf>
    <xf numFmtId="0" fontId="36" fillId="31" borderId="7" xfId="0" applyFont="1" applyFill="1" applyBorder="1" applyAlignment="1">
      <alignment horizontal="center"/>
    </xf>
    <xf numFmtId="164" fontId="36" fillId="31" borderId="7" xfId="0" applyNumberFormat="1" applyFont="1" applyFill="1" applyBorder="1"/>
  </cellXfs>
  <cellStyles count="1">
    <cellStyle name="Обычный" xfId="0" builtinId="0"/>
  </cellStyles>
  <dxfs count="12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A8A8A"/>
      <color rgb="FFFDD7D7"/>
      <color rgb="FFDDF0C8"/>
      <color rgb="FF273C18"/>
      <color rgb="FFC09200"/>
      <color rgb="FF2E471D"/>
      <color rgb="FFEC1606"/>
      <color rgb="FF062D4E"/>
      <color rgb="FFD5DA08"/>
      <color rgb="FF57B4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11" priority="3">
      <formula>H5&lt;0</formula>
    </cfRule>
    <cfRule type="expression" dxfId="10" priority="4">
      <formula>H5&gt;0</formula>
    </cfRule>
  </conditionalFormatting>
  <conditionalFormatting sqref="H17">
    <cfRule type="expression" dxfId="9" priority="1">
      <formula>H17&lt;0</formula>
    </cfRule>
    <cfRule type="expression" dxfId="8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88" t="s">
        <v>27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89" t="s">
        <v>20</v>
      </c>
      <c r="B31" s="89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91" t="s">
        <v>32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90" t="s">
        <v>20</v>
      </c>
      <c r="B32" s="90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1" t="s">
        <v>38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93" t="s">
        <v>35</v>
      </c>
      <c r="B20" s="94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93" t="s">
        <v>36</v>
      </c>
      <c r="B36" s="94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92" t="s">
        <v>37</v>
      </c>
      <c r="B37" s="92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5" t="s">
        <v>57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96" t="s">
        <v>35</v>
      </c>
      <c r="B18" s="96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96" t="s">
        <v>36</v>
      </c>
      <c r="B35" s="96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97" t="s">
        <v>37</v>
      </c>
      <c r="B36" s="97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7" priority="1">
      <formula>Y18&lt;0</formula>
    </cfRule>
    <cfRule type="expression" dxfId="6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8" t="s">
        <v>58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99" t="s">
        <v>35</v>
      </c>
      <c r="B18" s="99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99" t="s">
        <v>36</v>
      </c>
      <c r="B35" s="99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00" t="s">
        <v>37</v>
      </c>
      <c r="B36" s="100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tabSelected="1" zoomScale="85" zoomScaleNormal="85" workbookViewId="0">
      <pane xSplit="2" ySplit="38" topLeftCell="S39" activePane="bottomRight" state="frozen"/>
      <selection pane="topRight" activeCell="C1" sqref="C1"/>
      <selection pane="bottomLeft" activeCell="A28" sqref="A28"/>
      <selection pane="bottomRight" activeCell="AH31" sqref="AH31"/>
    </sheetView>
  </sheetViews>
  <sheetFormatPr defaultRowHeight="15"/>
  <cols>
    <col min="1" max="26" width="20.7109375" style="2" customWidth="1"/>
    <col min="27" max="32" width="12.7109375" style="2" customWidth="1"/>
    <col min="33" max="33" width="16.140625" style="2" customWidth="1"/>
    <col min="34" max="38" width="12.7109375" style="2" customWidth="1"/>
    <col min="39" max="16384" width="9.140625" style="2"/>
  </cols>
  <sheetData>
    <row r="1" spans="1:48" ht="60.75" customHeight="1">
      <c r="A1" s="101" t="s">
        <v>59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</row>
    <row r="2" spans="1:48" ht="45" customHeight="1">
      <c r="A2" s="76" t="s">
        <v>0</v>
      </c>
      <c r="B2" s="76" t="s">
        <v>1</v>
      </c>
      <c r="C2" s="117" t="s">
        <v>9</v>
      </c>
      <c r="D2" s="117" t="s">
        <v>29</v>
      </c>
      <c r="E2" s="117" t="s">
        <v>10</v>
      </c>
      <c r="F2" s="117" t="s">
        <v>33</v>
      </c>
      <c r="G2" s="117" t="s">
        <v>34</v>
      </c>
      <c r="H2" s="117" t="s">
        <v>11</v>
      </c>
      <c r="I2" s="117" t="s">
        <v>30</v>
      </c>
      <c r="J2" s="117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118" t="s">
        <v>26</v>
      </c>
      <c r="W2" s="121" t="s">
        <v>22</v>
      </c>
      <c r="X2" s="125" t="s">
        <v>60</v>
      </c>
      <c r="Y2" s="126" t="s">
        <v>19</v>
      </c>
      <c r="Z2" s="132" t="s">
        <v>21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105"/>
      <c r="W3" s="122">
        <f>SUM(C3:V3)</f>
        <v>14049</v>
      </c>
      <c r="X3" s="124">
        <v>72082.179999999993</v>
      </c>
      <c r="Y3" s="133">
        <f>(94085+57723.67)</f>
        <v>151808.66999999998</v>
      </c>
      <c r="Z3" s="123"/>
    </row>
    <row r="4" spans="1:48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106"/>
      <c r="W4" s="122">
        <f>SUM(C4:V4)</f>
        <v>10533.31</v>
      </c>
      <c r="X4" s="124"/>
      <c r="Y4" s="127"/>
      <c r="Z4" s="123"/>
    </row>
    <row r="5" spans="1:48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105"/>
      <c r="W5" s="122">
        <f t="shared" ref="W5:W19" si="0">SUM(C5:V5)</f>
        <v>1455</v>
      </c>
      <c r="X5" s="124"/>
      <c r="Y5" s="127"/>
      <c r="Z5" s="123"/>
    </row>
    <row r="6" spans="1:48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106">
        <v>950</v>
      </c>
      <c r="W6" s="122">
        <f t="shared" si="0"/>
        <v>1803.8400000000001</v>
      </c>
      <c r="X6" s="124"/>
      <c r="Y6" s="127"/>
      <c r="Z6" s="123"/>
    </row>
    <row r="7" spans="1:48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105"/>
      <c r="W7" s="122">
        <f t="shared" si="0"/>
        <v>3302.61</v>
      </c>
      <c r="X7" s="124"/>
      <c r="Y7" s="127"/>
      <c r="Z7" s="123"/>
    </row>
    <row r="8" spans="1:48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106"/>
      <c r="W8" s="122">
        <f t="shared" si="0"/>
        <v>2255</v>
      </c>
      <c r="X8" s="124"/>
      <c r="Y8" s="127"/>
      <c r="Z8" s="123"/>
      <c r="AC8" s="138" t="s">
        <v>61</v>
      </c>
      <c r="AD8" s="138"/>
      <c r="AE8" s="138"/>
      <c r="AF8" s="138"/>
      <c r="AG8" s="138"/>
    </row>
    <row r="9" spans="1:48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105"/>
      <c r="W9" s="122">
        <f t="shared" si="0"/>
        <v>1095</v>
      </c>
      <c r="X9" s="124"/>
      <c r="Y9" s="127"/>
      <c r="Z9" s="123"/>
      <c r="AC9" s="138"/>
      <c r="AD9" s="138"/>
      <c r="AE9" s="138"/>
      <c r="AF9" s="138"/>
      <c r="AG9" s="138"/>
    </row>
    <row r="10" spans="1:48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106"/>
      <c r="W10" s="122">
        <f t="shared" si="0"/>
        <v>4914</v>
      </c>
      <c r="X10" s="124"/>
      <c r="Y10" s="127"/>
      <c r="Z10" s="123"/>
      <c r="AC10" s="138"/>
      <c r="AD10" s="138"/>
      <c r="AE10" s="138"/>
      <c r="AF10" s="138"/>
      <c r="AG10" s="138"/>
    </row>
    <row r="11" spans="1:48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105"/>
      <c r="W11" s="122">
        <f t="shared" si="0"/>
        <v>4632.68</v>
      </c>
      <c r="X11" s="124"/>
      <c r="Y11" s="127"/>
      <c r="Z11" s="123"/>
      <c r="AC11" s="139" t="s">
        <v>62</v>
      </c>
      <c r="AD11" s="139"/>
      <c r="AE11" s="139"/>
      <c r="AF11" s="139"/>
      <c r="AG11" s="140">
        <f>Y3+Y14+Y21</f>
        <v>226341.31</v>
      </c>
    </row>
    <row r="12" spans="1:48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106"/>
      <c r="W12" s="122">
        <f t="shared" si="0"/>
        <v>4475</v>
      </c>
      <c r="X12" s="124"/>
      <c r="Y12" s="127"/>
      <c r="Z12" s="123"/>
      <c r="AC12" s="139" t="s">
        <v>55</v>
      </c>
      <c r="AD12" s="139"/>
      <c r="AE12" s="139"/>
      <c r="AF12" s="139"/>
      <c r="AG12" s="140">
        <f>Y27</f>
        <v>20000</v>
      </c>
    </row>
    <row r="13" spans="1:48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105"/>
      <c r="W13" s="122">
        <f t="shared" si="0"/>
        <v>4015.63</v>
      </c>
      <c r="X13" s="124"/>
      <c r="Y13" s="127"/>
      <c r="Z13" s="123"/>
      <c r="AC13" s="139" t="s">
        <v>63</v>
      </c>
      <c r="AD13" s="139"/>
      <c r="AE13" s="139"/>
      <c r="AF13" s="139"/>
      <c r="AG13" s="140">
        <f>Y17+Y19</f>
        <v>25000</v>
      </c>
    </row>
    <row r="14" spans="1:48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106"/>
      <c r="W14" s="122">
        <f t="shared" si="0"/>
        <v>2273.7800000000002</v>
      </c>
      <c r="X14" s="124">
        <v>14878.51</v>
      </c>
      <c r="Y14" s="133">
        <v>37634</v>
      </c>
      <c r="Z14" s="123"/>
      <c r="AC14" s="139" t="s">
        <v>64</v>
      </c>
      <c r="AD14" s="139"/>
      <c r="AE14" s="139"/>
      <c r="AF14" s="139"/>
      <c r="AG14" s="140">
        <f>W38</f>
        <v>167654.87</v>
      </c>
    </row>
    <row r="15" spans="1:48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105"/>
      <c r="W15" s="122">
        <f t="shared" si="0"/>
        <v>4096.9799999999996</v>
      </c>
      <c r="X15" s="124"/>
      <c r="Y15" s="127"/>
      <c r="Z15" s="123"/>
      <c r="AC15" s="139" t="s">
        <v>65</v>
      </c>
      <c r="AD15" s="139"/>
      <c r="AE15" s="139"/>
      <c r="AF15" s="139"/>
      <c r="AG15" s="140">
        <f>SUM(C38:H38)</f>
        <v>47166.55</v>
      </c>
    </row>
    <row r="16" spans="1:48" ht="15.75">
      <c r="A16" s="66">
        <v>16</v>
      </c>
      <c r="B16" s="67" t="s">
        <v>3</v>
      </c>
      <c r="C16" s="72"/>
      <c r="D16" s="72"/>
      <c r="E16" s="72">
        <v>2850</v>
      </c>
      <c r="F16" s="72">
        <v>1080</v>
      </c>
      <c r="G16" s="72"/>
      <c r="H16" s="72"/>
      <c r="I16" s="72"/>
      <c r="J16" s="72"/>
      <c r="K16" s="72"/>
      <c r="L16" s="72"/>
      <c r="M16" s="72">
        <v>598</v>
      </c>
      <c r="N16" s="72"/>
      <c r="O16" s="72">
        <v>413</v>
      </c>
      <c r="P16" s="72"/>
      <c r="Q16" s="72"/>
      <c r="R16" s="72"/>
      <c r="S16" s="72"/>
      <c r="T16" s="72">
        <v>1200</v>
      </c>
      <c r="U16" s="87"/>
      <c r="V16" s="106"/>
      <c r="W16" s="122">
        <f t="shared" si="0"/>
        <v>6141</v>
      </c>
      <c r="X16" s="124"/>
      <c r="Y16" s="127"/>
      <c r="Z16" s="123"/>
    </row>
    <row r="17" spans="1:28" ht="15.75">
      <c r="A17" s="62">
        <v>17</v>
      </c>
      <c r="B17" s="63" t="s">
        <v>4</v>
      </c>
      <c r="C17" s="71">
        <f>700</f>
        <v>700</v>
      </c>
      <c r="D17" s="71"/>
      <c r="E17" s="71"/>
      <c r="F17" s="71"/>
      <c r="G17" s="71"/>
      <c r="H17" s="71"/>
      <c r="I17" s="71"/>
      <c r="J17" s="71"/>
      <c r="K17" s="71"/>
      <c r="L17" s="71"/>
      <c r="M17" s="71">
        <v>7899</v>
      </c>
      <c r="N17" s="71"/>
      <c r="O17" s="71">
        <f>220</f>
        <v>220</v>
      </c>
      <c r="P17" s="71"/>
      <c r="Q17" s="71"/>
      <c r="R17" s="71"/>
      <c r="S17" s="71">
        <v>700</v>
      </c>
      <c r="T17" s="71">
        <v>800</v>
      </c>
      <c r="U17" s="71">
        <f>1825+2217+2419</f>
        <v>6461</v>
      </c>
      <c r="V17" s="105"/>
      <c r="W17" s="122">
        <f t="shared" si="0"/>
        <v>16780</v>
      </c>
      <c r="X17" s="124"/>
      <c r="Y17" s="134">
        <v>15000</v>
      </c>
      <c r="Z17" s="123"/>
    </row>
    <row r="18" spans="1:28" ht="15.75">
      <c r="A18" s="66">
        <v>18</v>
      </c>
      <c r="B18" s="67" t="s">
        <v>5</v>
      </c>
      <c r="C18" s="72"/>
      <c r="D18" s="72">
        <v>2018.8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>
        <v>499</v>
      </c>
      <c r="T18" s="87"/>
      <c r="U18" s="72">
        <v>8000</v>
      </c>
      <c r="V18" s="106"/>
      <c r="W18" s="122">
        <f t="shared" si="0"/>
        <v>10517.8</v>
      </c>
      <c r="X18" s="124"/>
      <c r="Y18" s="127"/>
      <c r="Z18" s="123"/>
    </row>
    <row r="19" spans="1:28" ht="15.75">
      <c r="A19" s="62">
        <v>19</v>
      </c>
      <c r="B19" s="63" t="s">
        <v>6</v>
      </c>
      <c r="C19" s="71"/>
      <c r="D19" s="71">
        <v>2376.09</v>
      </c>
      <c r="E19" s="71">
        <v>3600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105">
        <f>83+760+400+6869+83+83+1800+850+1033.84+1423+1349+694+83+6000+1800+305</f>
        <v>23615.84</v>
      </c>
      <c r="W19" s="122">
        <f t="shared" si="0"/>
        <v>29591.93</v>
      </c>
      <c r="X19" s="124"/>
      <c r="Y19" s="134">
        <v>10000</v>
      </c>
      <c r="Z19" s="123"/>
    </row>
    <row r="20" spans="1:28" ht="14.25" customHeight="1">
      <c r="A20" s="99" t="s">
        <v>35</v>
      </c>
      <c r="B20" s="99"/>
      <c r="C20" s="79">
        <f t="shared" ref="C20:Y20" si="1">SUM(C3:C17)</f>
        <v>10942.99</v>
      </c>
      <c r="D20" s="79">
        <f t="shared" si="1"/>
        <v>5525.25</v>
      </c>
      <c r="E20" s="79">
        <f t="shared" si="1"/>
        <v>5350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8497</v>
      </c>
      <c r="N20" s="79">
        <f t="shared" si="1"/>
        <v>0</v>
      </c>
      <c r="O20" s="79">
        <f t="shared" si="1"/>
        <v>3219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3188</v>
      </c>
      <c r="U20" s="79">
        <f t="shared" si="1"/>
        <v>6461</v>
      </c>
      <c r="V20" s="119">
        <f t="shared" si="1"/>
        <v>950</v>
      </c>
      <c r="W20" s="128">
        <f>SUM(W3:W19)</f>
        <v>121932.56</v>
      </c>
      <c r="X20" s="129">
        <f>SUM(X3:X19)</f>
        <v>86960.689999999988</v>
      </c>
      <c r="Y20" s="135">
        <f>SUM(Y3:Y19)</f>
        <v>214442.66999999998</v>
      </c>
      <c r="Z20" s="130">
        <f>Y20-W20-X20</f>
        <v>5549.4199999999983</v>
      </c>
    </row>
    <row r="21" spans="1:28" ht="15.75">
      <c r="A21" s="62">
        <v>20</v>
      </c>
      <c r="B21" s="63" t="s">
        <v>7</v>
      </c>
      <c r="C21" s="71">
        <v>44</v>
      </c>
      <c r="D21" s="71"/>
      <c r="E21" s="71"/>
      <c r="F21" s="71">
        <v>1770</v>
      </c>
      <c r="G21" s="71"/>
      <c r="H21" s="71"/>
      <c r="I21" s="71"/>
      <c r="J21" s="71"/>
      <c r="K21" s="71"/>
      <c r="L21" s="71"/>
      <c r="M21" s="71"/>
      <c r="N21" s="71"/>
      <c r="O21" s="71">
        <v>572</v>
      </c>
      <c r="P21" s="71"/>
      <c r="Q21" s="71">
        <v>3400</v>
      </c>
      <c r="R21" s="71"/>
      <c r="S21" s="71"/>
      <c r="T21" s="71">
        <v>856</v>
      </c>
      <c r="U21" s="71"/>
      <c r="V21" s="105"/>
      <c r="W21" s="122">
        <f>SUM(C21:V21)</f>
        <v>6642</v>
      </c>
      <c r="X21" s="124"/>
      <c r="Y21" s="133">
        <v>36898.639999999999</v>
      </c>
      <c r="Z21" s="123"/>
    </row>
    <row r="22" spans="1:28" ht="15.75">
      <c r="A22" s="66">
        <v>21</v>
      </c>
      <c r="B22" s="67" t="s">
        <v>8</v>
      </c>
      <c r="C22" s="72">
        <f>80</f>
        <v>80</v>
      </c>
      <c r="D22" s="72">
        <v>883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334</v>
      </c>
      <c r="P22" s="72"/>
      <c r="Q22" s="72"/>
      <c r="R22" s="72"/>
      <c r="S22" s="72"/>
      <c r="T22" s="72">
        <v>79</v>
      </c>
      <c r="U22" s="72"/>
      <c r="V22" s="106"/>
      <c r="W22" s="122">
        <f t="shared" ref="W22:W36" si="2">SUM(C22:V22)</f>
        <v>1376</v>
      </c>
      <c r="X22" s="124">
        <v>23662.84</v>
      </c>
      <c r="Y22" s="127"/>
      <c r="Z22" s="123"/>
      <c r="AB22" s="44"/>
    </row>
    <row r="23" spans="1:28" ht="15.75">
      <c r="A23" s="62">
        <v>22</v>
      </c>
      <c r="B23" s="63" t="s">
        <v>2</v>
      </c>
      <c r="C23" s="71"/>
      <c r="D23" s="71">
        <v>162</v>
      </c>
      <c r="E23" s="71"/>
      <c r="F23" s="71">
        <v>690</v>
      </c>
      <c r="G23" s="71"/>
      <c r="H23" s="71"/>
      <c r="I23" s="71"/>
      <c r="J23" s="71"/>
      <c r="K23" s="71"/>
      <c r="L23" s="71"/>
      <c r="M23" s="71"/>
      <c r="N23" s="71"/>
      <c r="O23" s="71">
        <v>325</v>
      </c>
      <c r="P23" s="71"/>
      <c r="Q23" s="71"/>
      <c r="R23" s="71"/>
      <c r="S23" s="71">
        <v>843</v>
      </c>
      <c r="T23" s="71"/>
      <c r="U23" s="71"/>
      <c r="V23" s="105"/>
      <c r="W23" s="122">
        <f t="shared" si="2"/>
        <v>2020</v>
      </c>
      <c r="X23" s="124"/>
      <c r="Y23" s="127"/>
      <c r="Z23" s="123"/>
    </row>
    <row r="24" spans="1:28" ht="15.75">
      <c r="A24" s="66">
        <v>23</v>
      </c>
      <c r="B24" s="67" t="s">
        <v>3</v>
      </c>
      <c r="C24" s="72"/>
      <c r="D24" s="72">
        <v>192</v>
      </c>
      <c r="E24" s="72"/>
      <c r="F24" s="72">
        <v>1960</v>
      </c>
      <c r="G24" s="72"/>
      <c r="H24" s="72"/>
      <c r="I24" s="72"/>
      <c r="J24" s="72"/>
      <c r="K24" s="72"/>
      <c r="L24" s="72"/>
      <c r="M24" s="72"/>
      <c r="N24" s="72"/>
      <c r="O24" s="72">
        <f>537+185</f>
        <v>722</v>
      </c>
      <c r="P24" s="72"/>
      <c r="Q24" s="72">
        <v>1000</v>
      </c>
      <c r="R24" s="72"/>
      <c r="S24" s="72"/>
      <c r="T24" s="72"/>
      <c r="U24" s="72"/>
      <c r="V24" s="106"/>
      <c r="W24" s="122">
        <f t="shared" si="2"/>
        <v>3874</v>
      </c>
      <c r="X24" s="124"/>
      <c r="Y24" s="127"/>
      <c r="Z24" s="123"/>
    </row>
    <row r="25" spans="1:28" ht="15.75">
      <c r="A25" s="62">
        <v>24</v>
      </c>
      <c r="B25" s="63" t="s">
        <v>4</v>
      </c>
      <c r="C25" s="71"/>
      <c r="D25" s="71">
        <f>1377+2099.31-149</f>
        <v>3327.31</v>
      </c>
      <c r="E25" s="71"/>
      <c r="F25" s="71"/>
      <c r="G25" s="71"/>
      <c r="H25" s="71">
        <v>2414</v>
      </c>
      <c r="I25" s="71"/>
      <c r="J25" s="71"/>
      <c r="K25" s="71"/>
      <c r="L25" s="71"/>
      <c r="M25" s="71"/>
      <c r="N25" s="71"/>
      <c r="O25" s="71"/>
      <c r="P25" s="71">
        <v>152</v>
      </c>
      <c r="Q25" s="71"/>
      <c r="R25" s="71"/>
      <c r="S25" s="71"/>
      <c r="T25" s="71"/>
      <c r="U25" s="71"/>
      <c r="V25" s="105">
        <v>2000</v>
      </c>
      <c r="W25" s="122">
        <f t="shared" si="2"/>
        <v>7893.3099999999995</v>
      </c>
      <c r="X25" s="124"/>
      <c r="Y25" s="127"/>
      <c r="Z25" s="123"/>
    </row>
    <row r="26" spans="1:28" ht="15.75">
      <c r="A26" s="66">
        <v>25</v>
      </c>
      <c r="B26" s="67" t="s">
        <v>5</v>
      </c>
      <c r="C26" s="72">
        <v>3084</v>
      </c>
      <c r="D26" s="72">
        <v>245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106"/>
      <c r="W26" s="122">
        <f t="shared" si="2"/>
        <v>3329</v>
      </c>
      <c r="X26" s="124"/>
      <c r="Y26" s="127"/>
      <c r="Z26" s="123"/>
    </row>
    <row r="27" spans="1:28" ht="15.75">
      <c r="A27" s="62">
        <v>26</v>
      </c>
      <c r="B27" s="63" t="s">
        <v>6</v>
      </c>
      <c r="C27" s="71">
        <v>185</v>
      </c>
      <c r="D27" s="71">
        <v>1332</v>
      </c>
      <c r="E27" s="71">
        <v>3180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105">
        <v>2800</v>
      </c>
      <c r="W27" s="122">
        <f t="shared" si="2"/>
        <v>7497</v>
      </c>
      <c r="X27" s="124"/>
      <c r="Y27" s="137">
        <v>20000</v>
      </c>
      <c r="Z27" s="123"/>
    </row>
    <row r="28" spans="1:28" ht="15.75">
      <c r="A28" s="66">
        <v>27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>
        <v>338</v>
      </c>
      <c r="Q28" s="72"/>
      <c r="R28" s="72"/>
      <c r="S28" s="72">
        <v>249</v>
      </c>
      <c r="T28" s="72">
        <f>3790+3780+3004</f>
        <v>10574</v>
      </c>
      <c r="U28" s="72"/>
      <c r="V28" s="106"/>
      <c r="W28" s="122">
        <f t="shared" si="2"/>
        <v>11161</v>
      </c>
      <c r="X28" s="124"/>
      <c r="Y28" s="127"/>
      <c r="Z28" s="123"/>
    </row>
    <row r="29" spans="1:28" ht="15.75">
      <c r="A29" s="62">
        <v>28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>
        <v>307</v>
      </c>
      <c r="Q29" s="71">
        <v>1223</v>
      </c>
      <c r="R29" s="71"/>
      <c r="S29" s="71"/>
      <c r="T29" s="71"/>
      <c r="U29" s="71"/>
      <c r="V29" s="105"/>
      <c r="W29" s="122">
        <f t="shared" si="2"/>
        <v>1530</v>
      </c>
      <c r="X29" s="124"/>
      <c r="Y29" s="127"/>
      <c r="Z29" s="123"/>
    </row>
    <row r="30" spans="1:28" ht="15.75">
      <c r="A30" s="66">
        <v>29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400</v>
      </c>
      <c r="R30" s="72"/>
      <c r="S30" s="72"/>
      <c r="T30" s="72"/>
      <c r="U30" s="72"/>
      <c r="V30" s="106"/>
      <c r="W30" s="122">
        <f t="shared" si="2"/>
        <v>400</v>
      </c>
      <c r="X30" s="124"/>
      <c r="Y30" s="127"/>
      <c r="Z30" s="123"/>
    </row>
    <row r="31" spans="1:28" ht="15.75">
      <c r="A31" s="62">
        <v>30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105"/>
      <c r="W31" s="122">
        <f t="shared" si="2"/>
        <v>0</v>
      </c>
      <c r="X31" s="124"/>
      <c r="Y31" s="127"/>
      <c r="Z31" s="123"/>
    </row>
    <row r="32" spans="1:28" ht="15.75">
      <c r="A32" s="66">
        <v>31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106"/>
      <c r="W32" s="122">
        <f t="shared" si="2"/>
        <v>0</v>
      </c>
      <c r="X32" s="124"/>
      <c r="Y32" s="127"/>
      <c r="Z32" s="123"/>
    </row>
    <row r="33" spans="1:26" ht="15.75">
      <c r="A33" s="62">
        <v>1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105"/>
      <c r="W33" s="122">
        <f t="shared" si="2"/>
        <v>0</v>
      </c>
      <c r="X33" s="124"/>
      <c r="Y33" s="127"/>
      <c r="Z33" s="123"/>
    </row>
    <row r="34" spans="1:26" ht="15.75">
      <c r="A34" s="66">
        <v>2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106"/>
      <c r="W34" s="122">
        <f t="shared" si="2"/>
        <v>0</v>
      </c>
      <c r="X34" s="124"/>
      <c r="Y34" s="127"/>
      <c r="Z34" s="123"/>
    </row>
    <row r="35" spans="1:26" ht="15.75">
      <c r="A35" s="62">
        <v>3</v>
      </c>
      <c r="B35" s="63" t="s">
        <v>7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105"/>
      <c r="W35" s="122">
        <f t="shared" si="2"/>
        <v>0</v>
      </c>
      <c r="X35" s="124"/>
      <c r="Y35" s="127"/>
      <c r="Z35" s="123"/>
    </row>
    <row r="36" spans="1:26" ht="15.75">
      <c r="A36" s="66">
        <v>4</v>
      </c>
      <c r="B36" s="67" t="s">
        <v>8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106"/>
      <c r="W36" s="122">
        <f t="shared" si="2"/>
        <v>0</v>
      </c>
      <c r="X36" s="124"/>
      <c r="Y36" s="127"/>
      <c r="Z36" s="123"/>
    </row>
    <row r="37" spans="1:26">
      <c r="A37" s="99" t="s">
        <v>36</v>
      </c>
      <c r="B37" s="99"/>
      <c r="C37" s="79">
        <f>SUM(C21:C36)</f>
        <v>3393</v>
      </c>
      <c r="D37" s="79">
        <f t="shared" ref="D37:V37" si="3">SUM(D21:D36)</f>
        <v>6141.3099999999995</v>
      </c>
      <c r="E37" s="79">
        <f t="shared" si="3"/>
        <v>3180</v>
      </c>
      <c r="F37" s="79">
        <f t="shared" si="3"/>
        <v>4420</v>
      </c>
      <c r="G37" s="79">
        <f t="shared" si="3"/>
        <v>0</v>
      </c>
      <c r="H37" s="79">
        <f t="shared" si="3"/>
        <v>2414</v>
      </c>
      <c r="I37" s="79">
        <f t="shared" si="3"/>
        <v>0</v>
      </c>
      <c r="J37" s="79">
        <f t="shared" si="3"/>
        <v>0</v>
      </c>
      <c r="K37" s="79">
        <f t="shared" si="3"/>
        <v>0</v>
      </c>
      <c r="L37" s="79">
        <f t="shared" si="3"/>
        <v>0</v>
      </c>
      <c r="M37" s="79">
        <f t="shared" si="3"/>
        <v>0</v>
      </c>
      <c r="N37" s="79">
        <f t="shared" si="3"/>
        <v>0</v>
      </c>
      <c r="O37" s="79">
        <f t="shared" si="3"/>
        <v>1953</v>
      </c>
      <c r="P37" s="79">
        <f t="shared" si="3"/>
        <v>797</v>
      </c>
      <c r="Q37" s="79">
        <f t="shared" si="3"/>
        <v>6023</v>
      </c>
      <c r="R37" s="79">
        <f t="shared" si="3"/>
        <v>0</v>
      </c>
      <c r="S37" s="79">
        <f t="shared" si="3"/>
        <v>1092</v>
      </c>
      <c r="T37" s="79">
        <f>SUM(T21:T36)</f>
        <v>11509</v>
      </c>
      <c r="U37" s="79">
        <f t="shared" si="3"/>
        <v>0</v>
      </c>
      <c r="V37" s="119">
        <f t="shared" si="3"/>
        <v>4800</v>
      </c>
      <c r="W37" s="128">
        <f>SUM(W21:W36)</f>
        <v>45722.31</v>
      </c>
      <c r="X37" s="129">
        <f>SUM(X21:X36)</f>
        <v>23662.84</v>
      </c>
      <c r="Y37" s="135">
        <f>SUM(Y21:Y36)</f>
        <v>56898.64</v>
      </c>
      <c r="Z37" s="131">
        <f>Y37-W37-X37</f>
        <v>-12486.509999999998</v>
      </c>
    </row>
    <row r="38" spans="1:26" ht="31.5" customHeight="1">
      <c r="A38" s="102" t="s">
        <v>37</v>
      </c>
      <c r="B38" s="102"/>
      <c r="C38" s="78">
        <f>SUM(C20,C37)</f>
        <v>14335.99</v>
      </c>
      <c r="D38" s="78">
        <f t="shared" ref="D38:W38" si="4">SUM(D20,D37)</f>
        <v>11666.56</v>
      </c>
      <c r="E38" s="78">
        <f t="shared" si="4"/>
        <v>8530</v>
      </c>
      <c r="F38" s="78">
        <f t="shared" si="4"/>
        <v>6460</v>
      </c>
      <c r="G38" s="78">
        <f t="shared" si="4"/>
        <v>0</v>
      </c>
      <c r="H38" s="78">
        <f t="shared" si="4"/>
        <v>6174</v>
      </c>
      <c r="I38" s="78">
        <f t="shared" si="4"/>
        <v>2320.98</v>
      </c>
      <c r="J38" s="78">
        <f t="shared" si="4"/>
        <v>0</v>
      </c>
      <c r="K38" s="78">
        <f t="shared" si="4"/>
        <v>0</v>
      </c>
      <c r="L38" s="78">
        <f t="shared" si="4"/>
        <v>3150</v>
      </c>
      <c r="M38" s="78">
        <f t="shared" si="4"/>
        <v>8497</v>
      </c>
      <c r="N38" s="78">
        <f t="shared" si="4"/>
        <v>0</v>
      </c>
      <c r="O38" s="78">
        <f t="shared" si="4"/>
        <v>5172</v>
      </c>
      <c r="P38" s="78">
        <f t="shared" si="4"/>
        <v>797</v>
      </c>
      <c r="Q38" s="78">
        <f t="shared" si="4"/>
        <v>27168.98</v>
      </c>
      <c r="R38" s="78">
        <f t="shared" si="4"/>
        <v>0</v>
      </c>
      <c r="S38" s="78">
        <f>SUM(S20,S37)</f>
        <v>6364.63</v>
      </c>
      <c r="T38" s="78">
        <f t="shared" si="4"/>
        <v>14697</v>
      </c>
      <c r="U38" s="78">
        <f t="shared" si="4"/>
        <v>6461</v>
      </c>
      <c r="V38" s="120">
        <f t="shared" si="4"/>
        <v>5750</v>
      </c>
      <c r="W38" s="128">
        <f t="shared" si="4"/>
        <v>167654.87</v>
      </c>
      <c r="X38" s="129">
        <f>SUM(X20,X37)</f>
        <v>110623.52999999998</v>
      </c>
      <c r="Y38" s="136">
        <f>SUM(Y20,Y37)</f>
        <v>271341.31</v>
      </c>
      <c r="Z38" s="70">
        <f>SUM(Z20,Z37)</f>
        <v>-6937.09</v>
      </c>
    </row>
    <row r="42" spans="1:26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12">
    <mergeCell ref="AC14:AF14"/>
    <mergeCell ref="AC15:AF15"/>
    <mergeCell ref="AC8:AG10"/>
    <mergeCell ref="AC11:AF11"/>
    <mergeCell ref="AC12:AF12"/>
    <mergeCell ref="AC13:AF13"/>
    <mergeCell ref="A1:Z1"/>
    <mergeCell ref="A20:B20"/>
    <mergeCell ref="A37:B37"/>
    <mergeCell ref="A38:B38"/>
    <mergeCell ref="Z3:Z19"/>
    <mergeCell ref="Z21:Z36"/>
  </mergeCells>
  <conditionalFormatting sqref="Z20:Z21 Z37:Z38">
    <cfRule type="expression" dxfId="1" priority="1">
      <formula>Z20&lt;0</formula>
    </cfRule>
    <cfRule type="expression" dxfId="0" priority="2">
      <formula>Z20&gt;0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V42"/>
  <sheetViews>
    <sheetView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sqref="A1:Z1"/>
    </sheetView>
  </sheetViews>
  <sheetFormatPr defaultRowHeight="15"/>
  <cols>
    <col min="1" max="26" width="20.7109375" style="2" customWidth="1"/>
    <col min="27" max="38" width="12.7109375" style="2" customWidth="1"/>
    <col min="39" max="16384" width="9.140625" style="2"/>
  </cols>
  <sheetData>
    <row r="1" spans="1:48" ht="60.75" customHeight="1">
      <c r="A1" s="101" t="s">
        <v>59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</row>
    <row r="2" spans="1:48" ht="45" customHeight="1">
      <c r="A2" s="76" t="s">
        <v>0</v>
      </c>
      <c r="B2" s="76" t="s">
        <v>1</v>
      </c>
      <c r="C2" s="116" t="s">
        <v>9</v>
      </c>
      <c r="D2" s="116" t="s">
        <v>29</v>
      </c>
      <c r="E2" s="116" t="s">
        <v>10</v>
      </c>
      <c r="F2" s="116" t="s">
        <v>33</v>
      </c>
      <c r="G2" s="116" t="s">
        <v>34</v>
      </c>
      <c r="H2" s="116" t="s">
        <v>11</v>
      </c>
      <c r="I2" s="115" t="s">
        <v>30</v>
      </c>
      <c r="J2" s="115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103" t="s">
        <v>60</v>
      </c>
      <c r="X2" s="81" t="s">
        <v>22</v>
      </c>
      <c r="Y2" s="81" t="s">
        <v>19</v>
      </c>
      <c r="Z2" s="81" t="s">
        <v>21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71"/>
      <c r="W3" s="71"/>
      <c r="X3" s="105">
        <f>SUM(C3:V3)</f>
        <v>14049</v>
      </c>
      <c r="Y3" s="114">
        <f>(94085+57723.67)/2</f>
        <v>75904.334999999992</v>
      </c>
      <c r="Z3" s="107"/>
    </row>
    <row r="4" spans="1:48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72"/>
      <c r="W4" s="72"/>
      <c r="X4" s="106">
        <f>SUM(C4:V4)</f>
        <v>10533.31</v>
      </c>
      <c r="Y4" s="111"/>
      <c r="Z4" s="108"/>
    </row>
    <row r="5" spans="1:48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71"/>
      <c r="W5" s="71"/>
      <c r="X5" s="105">
        <f t="shared" ref="X5:X19" si="0">SUM(C5:V5)</f>
        <v>1455</v>
      </c>
      <c r="Y5" s="111"/>
      <c r="Z5" s="108"/>
    </row>
    <row r="6" spans="1:48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72">
        <v>950</v>
      </c>
      <c r="W6" s="72"/>
      <c r="X6" s="106">
        <f t="shared" si="0"/>
        <v>1803.8400000000001</v>
      </c>
      <c r="Y6" s="111"/>
      <c r="Z6" s="108"/>
    </row>
    <row r="7" spans="1:48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71"/>
      <c r="W7" s="71"/>
      <c r="X7" s="105">
        <f t="shared" si="0"/>
        <v>3302.61</v>
      </c>
      <c r="Y7" s="111"/>
      <c r="Z7" s="108"/>
    </row>
    <row r="8" spans="1:48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72"/>
      <c r="W8" s="72"/>
      <c r="X8" s="106">
        <f t="shared" si="0"/>
        <v>2255</v>
      </c>
      <c r="Y8" s="111"/>
      <c r="Z8" s="108"/>
    </row>
    <row r="9" spans="1:48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71"/>
      <c r="W9" s="71"/>
      <c r="X9" s="105">
        <f t="shared" si="0"/>
        <v>1095</v>
      </c>
      <c r="Y9" s="111"/>
      <c r="Z9" s="108"/>
    </row>
    <row r="10" spans="1:48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72"/>
      <c r="W10" s="72"/>
      <c r="X10" s="106">
        <f t="shared" si="0"/>
        <v>4914</v>
      </c>
      <c r="Y10" s="111"/>
      <c r="Z10" s="108"/>
    </row>
    <row r="11" spans="1:48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105">
        <f t="shared" si="0"/>
        <v>4632.68</v>
      </c>
      <c r="Y11" s="111"/>
      <c r="Z11" s="108"/>
    </row>
    <row r="12" spans="1:48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72"/>
      <c r="W12" s="72"/>
      <c r="X12" s="106">
        <f t="shared" si="0"/>
        <v>4475</v>
      </c>
      <c r="Y12" s="111"/>
      <c r="Z12" s="108"/>
    </row>
    <row r="13" spans="1:48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71"/>
      <c r="W13" s="71"/>
      <c r="X13" s="105">
        <f t="shared" si="0"/>
        <v>4015.63</v>
      </c>
      <c r="Y13" s="111"/>
      <c r="Z13" s="108"/>
    </row>
    <row r="14" spans="1:48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106">
        <f t="shared" si="0"/>
        <v>2273.7800000000002</v>
      </c>
      <c r="Y14" s="114">
        <f>37634-14878.51</f>
        <v>22755.489999999998</v>
      </c>
      <c r="Z14" s="108"/>
    </row>
    <row r="15" spans="1:48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71"/>
      <c r="W15" s="71"/>
      <c r="X15" s="105">
        <f t="shared" si="0"/>
        <v>4096.9799999999996</v>
      </c>
      <c r="Y15" s="111"/>
      <c r="Z15" s="108"/>
    </row>
    <row r="16" spans="1:48" ht="15.75">
      <c r="A16" s="66">
        <v>16</v>
      </c>
      <c r="B16" s="67" t="s">
        <v>3</v>
      </c>
      <c r="C16" s="72"/>
      <c r="D16" s="72"/>
      <c r="E16" s="72"/>
      <c r="F16" s="72">
        <v>1080</v>
      </c>
      <c r="G16" s="72"/>
      <c r="H16" s="72"/>
      <c r="I16" s="72"/>
      <c r="J16" s="72"/>
      <c r="K16" s="72"/>
      <c r="L16" s="72"/>
      <c r="M16" s="72"/>
      <c r="N16" s="72"/>
      <c r="O16" s="72">
        <v>413</v>
      </c>
      <c r="P16" s="72"/>
      <c r="Q16" s="72"/>
      <c r="R16" s="72"/>
      <c r="S16" s="72"/>
      <c r="T16" s="72">
        <v>1100</v>
      </c>
      <c r="U16" s="87"/>
      <c r="V16" s="72"/>
      <c r="W16" s="72"/>
      <c r="X16" s="106">
        <f t="shared" si="0"/>
        <v>2593</v>
      </c>
      <c r="Y16" s="111"/>
      <c r="Z16" s="108"/>
    </row>
    <row r="17" spans="1:28" ht="15.75">
      <c r="A17" s="62">
        <v>17</v>
      </c>
      <c r="B17" s="63" t="s">
        <v>4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>
        <v>700</v>
      </c>
      <c r="T17" s="71"/>
      <c r="U17" s="71"/>
      <c r="V17" s="71"/>
      <c r="W17" s="71"/>
      <c r="X17" s="105">
        <f t="shared" si="0"/>
        <v>700</v>
      </c>
      <c r="Y17" s="112">
        <v>15000</v>
      </c>
      <c r="Z17" s="108"/>
    </row>
    <row r="18" spans="1:28" ht="15.75">
      <c r="A18" s="66">
        <v>18</v>
      </c>
      <c r="B18" s="67" t="s">
        <v>5</v>
      </c>
      <c r="C18" s="72"/>
      <c r="D18" s="72">
        <v>2018.8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>
        <v>499</v>
      </c>
      <c r="T18" s="87"/>
      <c r="U18" s="72">
        <v>8000</v>
      </c>
      <c r="V18" s="72"/>
      <c r="W18" s="72"/>
      <c r="X18" s="106">
        <f t="shared" si="0"/>
        <v>10517.8</v>
      </c>
      <c r="Y18" s="111"/>
      <c r="Z18" s="108"/>
    </row>
    <row r="19" spans="1:28" ht="15.75">
      <c r="A19" s="62">
        <v>19</v>
      </c>
      <c r="B19" s="63" t="s">
        <v>6</v>
      </c>
      <c r="C19" s="71"/>
      <c r="D19" s="71">
        <v>2376.09</v>
      </c>
      <c r="E19" s="71">
        <v>3600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>
        <f>83+760+400+6869+83+83+1800+850+1033.84+1423+1349+694+83+6000+1800+305</f>
        <v>23615.84</v>
      </c>
      <c r="W19" s="71"/>
      <c r="X19" s="105">
        <f t="shared" si="0"/>
        <v>29591.93</v>
      </c>
      <c r="Y19" s="112">
        <v>10000</v>
      </c>
      <c r="Z19" s="109"/>
    </row>
    <row r="20" spans="1:28" ht="14.25" customHeight="1">
      <c r="A20" s="99" t="s">
        <v>35</v>
      </c>
      <c r="B20" s="99"/>
      <c r="C20" s="79">
        <f t="shared" ref="C20:Y20" si="1">SUM(C3:C17)</f>
        <v>10242.99</v>
      </c>
      <c r="D20" s="79">
        <f t="shared" si="1"/>
        <v>5525.25</v>
      </c>
      <c r="E20" s="79">
        <f t="shared" si="1"/>
        <v>2500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0</v>
      </c>
      <c r="N20" s="79">
        <f t="shared" si="1"/>
        <v>0</v>
      </c>
      <c r="O20" s="79">
        <f t="shared" si="1"/>
        <v>2999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2288</v>
      </c>
      <c r="U20" s="79">
        <f t="shared" si="1"/>
        <v>0</v>
      </c>
      <c r="V20" s="79">
        <f t="shared" si="1"/>
        <v>950</v>
      </c>
      <c r="W20" s="79"/>
      <c r="X20" s="82">
        <f t="shared" si="1"/>
        <v>62194.829999999987</v>
      </c>
      <c r="Y20" s="113">
        <f t="shared" si="1"/>
        <v>113659.82499999998</v>
      </c>
      <c r="Z20" s="83">
        <f>Y20-X20</f>
        <v>51464.994999999995</v>
      </c>
    </row>
    <row r="21" spans="1:28" ht="15.75">
      <c r="A21" s="62">
        <v>20</v>
      </c>
      <c r="B21" s="63" t="s">
        <v>7</v>
      </c>
      <c r="C21" s="71">
        <v>44</v>
      </c>
      <c r="D21" s="71"/>
      <c r="E21" s="71"/>
      <c r="F21" s="71">
        <v>1770</v>
      </c>
      <c r="G21" s="71"/>
      <c r="H21" s="71"/>
      <c r="I21" s="71"/>
      <c r="J21" s="71"/>
      <c r="K21" s="71"/>
      <c r="L21" s="71"/>
      <c r="M21" s="71"/>
      <c r="N21" s="71"/>
      <c r="O21" s="71">
        <v>572</v>
      </c>
      <c r="P21" s="71"/>
      <c r="Q21" s="71">
        <v>3400</v>
      </c>
      <c r="R21" s="71"/>
      <c r="S21" s="71"/>
      <c r="T21" s="71">
        <v>856</v>
      </c>
      <c r="U21" s="71"/>
      <c r="V21" s="71"/>
      <c r="W21" s="71"/>
      <c r="X21" s="105"/>
      <c r="Y21" s="114">
        <v>36898.639999999999</v>
      </c>
      <c r="Z21" s="107"/>
    </row>
    <row r="22" spans="1:28" ht="15.75">
      <c r="A22" s="66">
        <v>21</v>
      </c>
      <c r="B22" s="67" t="s">
        <v>8</v>
      </c>
      <c r="C22" s="72">
        <f>80</f>
        <v>80</v>
      </c>
      <c r="D22" s="72">
        <v>883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334</v>
      </c>
      <c r="P22" s="72"/>
      <c r="Q22" s="72"/>
      <c r="R22" s="72"/>
      <c r="S22" s="72"/>
      <c r="T22" s="72">
        <v>79</v>
      </c>
      <c r="U22" s="72"/>
      <c r="V22" s="72"/>
      <c r="W22" s="104">
        <v>23662.84</v>
      </c>
      <c r="X22" s="106"/>
      <c r="Y22" s="111"/>
      <c r="Z22" s="108"/>
      <c r="AB22" s="44"/>
    </row>
    <row r="23" spans="1:28" ht="15.75">
      <c r="A23" s="62">
        <v>22</v>
      </c>
      <c r="B23" s="63" t="s">
        <v>2</v>
      </c>
      <c r="C23" s="71"/>
      <c r="D23" s="71">
        <v>162</v>
      </c>
      <c r="E23" s="71"/>
      <c r="F23" s="71">
        <v>690</v>
      </c>
      <c r="G23" s="71"/>
      <c r="H23" s="71"/>
      <c r="I23" s="71"/>
      <c r="J23" s="71"/>
      <c r="K23" s="71"/>
      <c r="L23" s="71"/>
      <c r="M23" s="71"/>
      <c r="N23" s="71"/>
      <c r="O23" s="71">
        <v>325</v>
      </c>
      <c r="P23" s="71"/>
      <c r="Q23" s="71"/>
      <c r="R23" s="71"/>
      <c r="S23" s="71">
        <v>843</v>
      </c>
      <c r="T23" s="71"/>
      <c r="U23" s="71"/>
      <c r="V23" s="71"/>
      <c r="W23" s="71"/>
      <c r="X23" s="105"/>
      <c r="Y23" s="111"/>
      <c r="Z23" s="108"/>
    </row>
    <row r="24" spans="1:28" ht="15.75">
      <c r="A24" s="66">
        <v>23</v>
      </c>
      <c r="B24" s="67" t="s">
        <v>3</v>
      </c>
      <c r="C24" s="72"/>
      <c r="D24" s="72">
        <v>192</v>
      </c>
      <c r="E24" s="72"/>
      <c r="F24" s="72">
        <v>1960</v>
      </c>
      <c r="G24" s="72"/>
      <c r="H24" s="72"/>
      <c r="I24" s="72"/>
      <c r="J24" s="72"/>
      <c r="K24" s="72"/>
      <c r="L24" s="72"/>
      <c r="M24" s="72"/>
      <c r="N24" s="72"/>
      <c r="O24" s="72">
        <f>537+185</f>
        <v>722</v>
      </c>
      <c r="P24" s="72"/>
      <c r="Q24" s="72">
        <v>1000</v>
      </c>
      <c r="R24" s="72"/>
      <c r="S24" s="72"/>
      <c r="T24" s="72"/>
      <c r="U24" s="72"/>
      <c r="V24" s="72"/>
      <c r="W24" s="72"/>
      <c r="X24" s="106"/>
      <c r="Y24" s="111"/>
      <c r="Z24" s="108"/>
    </row>
    <row r="25" spans="1:28" ht="15.75">
      <c r="A25" s="62">
        <v>24</v>
      </c>
      <c r="B25" s="63" t="s">
        <v>4</v>
      </c>
      <c r="C25" s="71"/>
      <c r="D25" s="71">
        <f>1377+2099.31-149</f>
        <v>3327.31</v>
      </c>
      <c r="E25" s="71"/>
      <c r="F25" s="71"/>
      <c r="G25" s="71"/>
      <c r="H25" s="71">
        <v>2414</v>
      </c>
      <c r="I25" s="71"/>
      <c r="J25" s="71"/>
      <c r="K25" s="71"/>
      <c r="L25" s="71"/>
      <c r="M25" s="71"/>
      <c r="N25" s="71"/>
      <c r="O25" s="71"/>
      <c r="P25" s="71">
        <v>152</v>
      </c>
      <c r="Q25" s="71"/>
      <c r="R25" s="71"/>
      <c r="S25" s="71"/>
      <c r="T25" s="71"/>
      <c r="U25" s="71"/>
      <c r="V25" s="71">
        <v>2000</v>
      </c>
      <c r="W25" s="71"/>
      <c r="X25" s="105"/>
      <c r="Y25" s="111"/>
      <c r="Z25" s="108"/>
    </row>
    <row r="26" spans="1:28" ht="15.75">
      <c r="A26" s="66">
        <v>25</v>
      </c>
      <c r="B26" s="67" t="s">
        <v>5</v>
      </c>
      <c r="C26" s="72">
        <v>3084</v>
      </c>
      <c r="D26" s="72">
        <v>245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106"/>
      <c r="Y26" s="111"/>
      <c r="Z26" s="108"/>
    </row>
    <row r="27" spans="1:28" ht="15.75">
      <c r="A27" s="62">
        <v>26</v>
      </c>
      <c r="B27" s="63" t="s">
        <v>6</v>
      </c>
      <c r="C27" s="71">
        <v>185</v>
      </c>
      <c r="D27" s="71">
        <v>1332</v>
      </c>
      <c r="E27" s="71">
        <v>3180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>
        <v>2800</v>
      </c>
      <c r="W27" s="71"/>
      <c r="X27" s="105"/>
      <c r="Y27" s="114">
        <v>20000</v>
      </c>
      <c r="Z27" s="108"/>
    </row>
    <row r="28" spans="1:28" ht="15.75">
      <c r="A28" s="66">
        <v>27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>
        <v>338</v>
      </c>
      <c r="Q28" s="72"/>
      <c r="R28" s="72"/>
      <c r="S28" s="72">
        <v>249</v>
      </c>
      <c r="T28" s="72">
        <f>3790+3780+3004</f>
        <v>10574</v>
      </c>
      <c r="U28" s="72"/>
      <c r="V28" s="72"/>
      <c r="W28" s="72"/>
      <c r="X28" s="106"/>
      <c r="Y28" s="111"/>
      <c r="Z28" s="108"/>
    </row>
    <row r="29" spans="1:28" ht="15.75">
      <c r="A29" s="62">
        <v>28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>
        <v>307</v>
      </c>
      <c r="Q29" s="71">
        <v>1223</v>
      </c>
      <c r="R29" s="71"/>
      <c r="S29" s="71"/>
      <c r="T29" s="71"/>
      <c r="U29" s="71"/>
      <c r="V29" s="71"/>
      <c r="W29" s="71"/>
      <c r="X29" s="105"/>
      <c r="Y29" s="111"/>
      <c r="Z29" s="108"/>
    </row>
    <row r="30" spans="1:28" ht="15.75">
      <c r="A30" s="66">
        <v>29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400</v>
      </c>
      <c r="R30" s="72"/>
      <c r="S30" s="72"/>
      <c r="T30" s="72"/>
      <c r="U30" s="72"/>
      <c r="V30" s="72"/>
      <c r="W30" s="72"/>
      <c r="X30" s="106"/>
      <c r="Y30" s="111"/>
      <c r="Z30" s="108"/>
    </row>
    <row r="31" spans="1:28" ht="15.75">
      <c r="A31" s="62">
        <v>30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105"/>
      <c r="Y31" s="111"/>
      <c r="Z31" s="108"/>
    </row>
    <row r="32" spans="1:28" ht="15.75">
      <c r="A32" s="66">
        <v>31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106"/>
      <c r="Y32" s="111"/>
      <c r="Z32" s="108"/>
    </row>
    <row r="33" spans="1:26" ht="15.75">
      <c r="A33" s="62">
        <v>1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105"/>
      <c r="Y33" s="111"/>
      <c r="Z33" s="108"/>
    </row>
    <row r="34" spans="1:26" ht="15.75">
      <c r="A34" s="66">
        <v>2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106"/>
      <c r="Y34" s="111"/>
      <c r="Z34" s="108"/>
    </row>
    <row r="35" spans="1:26" ht="15.75">
      <c r="A35" s="62">
        <v>3</v>
      </c>
      <c r="B35" s="63" t="s">
        <v>7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105"/>
      <c r="Y35" s="111"/>
      <c r="Z35" s="108"/>
    </row>
    <row r="36" spans="1:26" ht="15.75">
      <c r="A36" s="66">
        <v>4</v>
      </c>
      <c r="B36" s="67" t="s">
        <v>8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106"/>
      <c r="Y36" s="111"/>
      <c r="Z36" s="109"/>
    </row>
    <row r="37" spans="1:26">
      <c r="A37" s="99" t="s">
        <v>36</v>
      </c>
      <c r="B37" s="99"/>
      <c r="C37" s="79">
        <f>SUM(C21:C36)</f>
        <v>3393</v>
      </c>
      <c r="D37" s="79">
        <f t="shared" ref="D37:V37" si="2">SUM(D21:D36)</f>
        <v>6141.3099999999995</v>
      </c>
      <c r="E37" s="79">
        <f t="shared" si="2"/>
        <v>3180</v>
      </c>
      <c r="F37" s="79">
        <f t="shared" si="2"/>
        <v>4420</v>
      </c>
      <c r="G37" s="79">
        <f t="shared" si="2"/>
        <v>0</v>
      </c>
      <c r="H37" s="79">
        <f t="shared" si="2"/>
        <v>2414</v>
      </c>
      <c r="I37" s="79">
        <f t="shared" si="2"/>
        <v>0</v>
      </c>
      <c r="J37" s="79">
        <f t="shared" si="2"/>
        <v>0</v>
      </c>
      <c r="K37" s="79">
        <f t="shared" si="2"/>
        <v>0</v>
      </c>
      <c r="L37" s="79">
        <f t="shared" si="2"/>
        <v>0</v>
      </c>
      <c r="M37" s="79">
        <f t="shared" si="2"/>
        <v>0</v>
      </c>
      <c r="N37" s="79">
        <f t="shared" si="2"/>
        <v>0</v>
      </c>
      <c r="O37" s="79">
        <f t="shared" si="2"/>
        <v>1953</v>
      </c>
      <c r="P37" s="79">
        <f t="shared" si="2"/>
        <v>797</v>
      </c>
      <c r="Q37" s="79">
        <f t="shared" si="2"/>
        <v>6023</v>
      </c>
      <c r="R37" s="79">
        <f t="shared" si="2"/>
        <v>0</v>
      </c>
      <c r="S37" s="79">
        <f t="shared" si="2"/>
        <v>1092</v>
      </c>
      <c r="T37" s="79">
        <f>SUM(T21:T36)</f>
        <v>11509</v>
      </c>
      <c r="U37" s="79">
        <f t="shared" si="2"/>
        <v>0</v>
      </c>
      <c r="V37" s="79">
        <f t="shared" si="2"/>
        <v>4800</v>
      </c>
      <c r="W37" s="79"/>
      <c r="X37" s="82">
        <f>SUM(X21:X36)</f>
        <v>0</v>
      </c>
      <c r="Y37" s="110">
        <f>SUM(Y21:Y36)</f>
        <v>56898.64</v>
      </c>
      <c r="Z37" s="84">
        <f>Y37-X37</f>
        <v>56898.64</v>
      </c>
    </row>
    <row r="38" spans="1:26" ht="31.5" customHeight="1">
      <c r="A38" s="102" t="s">
        <v>37</v>
      </c>
      <c r="B38" s="102"/>
      <c r="C38" s="78">
        <f>SUM(C20,C37)</f>
        <v>13635.99</v>
      </c>
      <c r="D38" s="78">
        <f t="shared" ref="D38:X38" si="3">SUM(D20,D37)</f>
        <v>11666.56</v>
      </c>
      <c r="E38" s="78">
        <f t="shared" si="3"/>
        <v>5680</v>
      </c>
      <c r="F38" s="78">
        <f t="shared" si="3"/>
        <v>6460</v>
      </c>
      <c r="G38" s="78">
        <f t="shared" si="3"/>
        <v>0</v>
      </c>
      <c r="H38" s="78">
        <f t="shared" si="3"/>
        <v>6174</v>
      </c>
      <c r="I38" s="78">
        <f t="shared" si="3"/>
        <v>2320.98</v>
      </c>
      <c r="J38" s="78">
        <f t="shared" si="3"/>
        <v>0</v>
      </c>
      <c r="K38" s="78">
        <f t="shared" si="3"/>
        <v>0</v>
      </c>
      <c r="L38" s="78">
        <f t="shared" si="3"/>
        <v>3150</v>
      </c>
      <c r="M38" s="78">
        <f t="shared" si="3"/>
        <v>0</v>
      </c>
      <c r="N38" s="78">
        <f t="shared" si="3"/>
        <v>0</v>
      </c>
      <c r="O38" s="78">
        <f t="shared" si="3"/>
        <v>4952</v>
      </c>
      <c r="P38" s="78">
        <f t="shared" si="3"/>
        <v>797</v>
      </c>
      <c r="Q38" s="78">
        <f t="shared" si="3"/>
        <v>27168.98</v>
      </c>
      <c r="R38" s="78">
        <f t="shared" si="3"/>
        <v>0</v>
      </c>
      <c r="S38" s="78">
        <f>SUM(S20,S37)</f>
        <v>6364.63</v>
      </c>
      <c r="T38" s="78">
        <f t="shared" si="3"/>
        <v>13797</v>
      </c>
      <c r="U38" s="78">
        <f t="shared" si="3"/>
        <v>0</v>
      </c>
      <c r="V38" s="78">
        <f t="shared" si="3"/>
        <v>5750</v>
      </c>
      <c r="W38" s="78"/>
      <c r="X38" s="85">
        <f t="shared" si="3"/>
        <v>62194.829999999987</v>
      </c>
      <c r="Y38" s="85">
        <f>SUM(Y20,Y37)</f>
        <v>170558.46499999997</v>
      </c>
      <c r="Z38" s="86">
        <f>SUM(Z20,Z37)</f>
        <v>108363.63499999999</v>
      </c>
    </row>
    <row r="42" spans="1:26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6">
    <mergeCell ref="A1:Z1"/>
    <mergeCell ref="Z3:Z19"/>
    <mergeCell ref="A20:B20"/>
    <mergeCell ref="Z21:Z36"/>
    <mergeCell ref="A37:B37"/>
    <mergeCell ref="A38:B38"/>
  </mergeCells>
  <conditionalFormatting sqref="Z20:Z21 Z37:Z38">
    <cfRule type="expression" dxfId="3" priority="1">
      <formula>Z20&lt;0</formula>
    </cfRule>
    <cfRule type="expression" dxfId="2" priority="2">
      <formula>Z20&gt;0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2026-07-29T08:12:01Z</dcterms:modified>
</cp:coreProperties>
</file>