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3" i="8"/>
  <c r="C3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3" l="1"/>
  <c r="W4"/>
  <c r="W37"/>
  <c r="X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X20"/>
  <c r="U20"/>
  <c r="U38" s="1"/>
  <c r="T20"/>
  <c r="T38" s="1"/>
  <c r="R20"/>
  <c r="Q20"/>
  <c r="Q38" s="1"/>
  <c r="O20"/>
  <c r="O38" s="1"/>
  <c r="N20"/>
  <c r="N38" s="1"/>
  <c r="M20"/>
  <c r="M38" s="1"/>
  <c r="L20"/>
  <c r="L38" s="1"/>
  <c r="K20"/>
  <c r="J20"/>
  <c r="I20"/>
  <c r="H20"/>
  <c r="G20"/>
  <c r="G38" s="1"/>
  <c r="E20"/>
  <c r="E38" s="1"/>
  <c r="F20"/>
  <c r="F38" s="1"/>
  <c r="D20"/>
  <c r="D38" s="1"/>
  <c r="V20"/>
  <c r="V38" s="1"/>
  <c r="S20"/>
  <c r="S38" s="1"/>
  <c r="C20"/>
  <c r="C38" s="1"/>
  <c r="X38" l="1"/>
  <c r="K38"/>
  <c r="I38"/>
  <c r="H38"/>
  <c r="J38"/>
  <c r="R38"/>
  <c r="Y37"/>
  <c r="P20"/>
  <c r="P38" s="1"/>
  <c r="C6" i="7"/>
  <c r="F6"/>
  <c r="C5"/>
  <c r="D4"/>
  <c r="C3"/>
  <c r="H3"/>
  <c r="P7"/>
  <c r="F8"/>
  <c r="N8"/>
  <c r="O9"/>
  <c r="C11"/>
  <c r="P17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U36" s="1"/>
  <c r="T35"/>
  <c r="S35"/>
  <c r="R35"/>
  <c r="Q35"/>
  <c r="P35"/>
  <c r="N35"/>
  <c r="M35"/>
  <c r="L35"/>
  <c r="K35"/>
  <c r="K36" s="1"/>
  <c r="J35"/>
  <c r="J36" s="1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P18"/>
  <c r="N18"/>
  <c r="N36" s="1"/>
  <c r="M18"/>
  <c r="L18"/>
  <c r="K18"/>
  <c r="J18"/>
  <c r="I18"/>
  <c r="H18"/>
  <c r="H36" s="1"/>
  <c r="G18"/>
  <c r="E18"/>
  <c r="D18"/>
  <c r="W17"/>
  <c r="W16"/>
  <c r="W15"/>
  <c r="W14"/>
  <c r="W13"/>
  <c r="W12"/>
  <c r="W11"/>
  <c r="W10"/>
  <c r="W9"/>
  <c r="W8"/>
  <c r="W7"/>
  <c r="W6"/>
  <c r="W5"/>
  <c r="F18"/>
  <c r="C18"/>
  <c r="W4"/>
  <c r="O18"/>
  <c r="T9" i="6"/>
  <c r="D9"/>
  <c r="C9"/>
  <c r="Q10"/>
  <c r="H11"/>
  <c r="C14"/>
  <c r="W21"/>
  <c r="W22"/>
  <c r="W26"/>
  <c r="W32"/>
  <c r="W33"/>
  <c r="W34"/>
  <c r="W20"/>
  <c r="W19"/>
  <c r="C23"/>
  <c r="W23" s="1"/>
  <c r="I21"/>
  <c r="H21"/>
  <c r="O20"/>
  <c r="D20"/>
  <c r="W20" i="8" l="1"/>
  <c r="W24" i="6"/>
  <c r="W25"/>
  <c r="W27"/>
  <c r="W28"/>
  <c r="W31"/>
  <c r="V36" i="7"/>
  <c r="W3"/>
  <c r="W18" s="1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C5"/>
  <c r="F5"/>
  <c r="O4"/>
  <c r="H4"/>
  <c r="H18" s="1"/>
  <c r="P3"/>
  <c r="W5"/>
  <c r="W6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F18"/>
  <c r="E18"/>
  <c r="O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38" i="8" l="1"/>
  <c r="Y20"/>
  <c r="Y38" s="1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C37" s="1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W18" i="6" l="1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Долями - за журнальчик орнамент</t>
        </r>
      </text>
    </comment>
  </commentList>
</comments>
</file>

<file path=xl/sharedStrings.xml><?xml version="1.0" encoding="utf-8"?>
<sst xmlns="http://schemas.openxmlformats.org/spreadsheetml/2006/main" count="376" uniqueCount="60">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</sst>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32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62D4E"/>
        <bgColor indexed="64"/>
      </patternFill>
    </fill>
  </fills>
  <borders count="1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5" fillId="18" borderId="7" xfId="0" applyNumberFormat="1" applyFont="1" applyFill="1" applyBorder="1"/>
    <xf numFmtId="0" fontId="28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31" fillId="6" borderId="7" xfId="0" applyNumberFormat="1" applyFont="1" applyFill="1" applyBorder="1" applyAlignment="1">
      <alignment horizontal="right" vertical="center"/>
    </xf>
    <xf numFmtId="164" fontId="29" fillId="6" borderId="7" xfId="0" applyNumberFormat="1" applyFont="1" applyFill="1" applyBorder="1" applyAlignment="1">
      <alignment horizontal="right" vertical="center"/>
    </xf>
    <xf numFmtId="164" fontId="29" fillId="6" borderId="7" xfId="0" applyNumberFormat="1" applyFont="1" applyFill="1" applyBorder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  <xf numFmtId="0" fontId="26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0" fontId="27" fillId="6" borderId="7" xfId="0" applyFont="1" applyFill="1" applyBorder="1" applyAlignment="1">
      <alignment horizontal="right" vertical="center"/>
    </xf>
    <xf numFmtId="0" fontId="30" fillId="5" borderId="0" xfId="0" applyFont="1" applyFill="1" applyAlignment="1">
      <alignment horizontal="center" vertical="center"/>
    </xf>
    <xf numFmtId="0" fontId="31" fillId="6" borderId="7" xfId="0" applyFont="1" applyFill="1" applyBorder="1" applyAlignment="1">
      <alignment horizontal="right" vertical="center"/>
    </xf>
    <xf numFmtId="0" fontId="28" fillId="19" borderId="1" xfId="0" applyFont="1" applyFill="1" applyBorder="1" applyAlignment="1">
      <alignment horizontal="center" vertical="center" wrapText="1"/>
    </xf>
    <xf numFmtId="164" fontId="29" fillId="19" borderId="7" xfId="0" applyNumberFormat="1" applyFont="1" applyFill="1" applyBorder="1" applyAlignment="1">
      <alignment horizontal="right" vertical="center"/>
    </xf>
    <xf numFmtId="164" fontId="29" fillId="19" borderId="7" xfId="0" applyNumberFormat="1" applyFont="1" applyFill="1" applyBorder="1"/>
    <xf numFmtId="164" fontId="23" fillId="19" borderId="7" xfId="0" applyNumberFormat="1" applyFont="1" applyFill="1" applyBorder="1" applyAlignment="1">
      <alignment vertical="center"/>
    </xf>
    <xf numFmtId="164" fontId="31" fillId="19" borderId="7" xfId="0" applyNumberFormat="1" applyFont="1" applyFill="1" applyBorder="1" applyAlignment="1">
      <alignment vertical="center"/>
    </xf>
    <xf numFmtId="164" fontId="31" fillId="19" borderId="7" xfId="0" applyNumberFormat="1" applyFont="1" applyFill="1" applyBorder="1" applyAlignment="1">
      <alignment horizontal="right" vertical="center"/>
    </xf>
    <xf numFmtId="164" fontId="22" fillId="19" borderId="7" xfId="0" applyNumberFormat="1" applyFont="1" applyFill="1" applyBorder="1" applyAlignment="1">
      <alignment horizontal="right" vertical="center"/>
    </xf>
    <xf numFmtId="164" fontId="25" fillId="2" borderId="9" xfId="0" applyNumberFormat="1" applyFont="1" applyFill="1" applyBorder="1" applyAlignment="1">
      <alignment horizontal="center" vertical="center"/>
    </xf>
    <xf numFmtId="164" fontId="25" fillId="2" borderId="13" xfId="0" applyNumberFormat="1" applyFont="1" applyFill="1" applyBorder="1" applyAlignment="1">
      <alignment horizontal="center" vertical="center"/>
    </xf>
    <xf numFmtId="164" fontId="25" fillId="2" borderId="14" xfId="0" applyNumberFormat="1" applyFont="1" applyFill="1" applyBorder="1" applyAlignment="1">
      <alignment horizontal="center" vertical="center"/>
    </xf>
    <xf numFmtId="164" fontId="25" fillId="2" borderId="9" xfId="0" applyNumberFormat="1" applyFont="1" applyFill="1" applyBorder="1" applyAlignment="1">
      <alignment horizontal="center"/>
    </xf>
    <xf numFmtId="164" fontId="25" fillId="2" borderId="13" xfId="0" applyNumberFormat="1" applyFont="1" applyFill="1" applyBorder="1" applyAlignment="1">
      <alignment horizontal="center"/>
    </xf>
    <xf numFmtId="164" fontId="25" fillId="2" borderId="14" xfId="0" applyNumberFormat="1" applyFont="1" applyFill="1" applyBorder="1" applyAlignment="1">
      <alignment horizontal="center"/>
    </xf>
  </cellXfs>
  <cellStyles count="1">
    <cellStyle name="Обычный" xfId="0" builtinId="0"/>
  </cellStyles>
  <dxfs count="10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062D4E"/>
      <color rgb="FFD5DA08"/>
      <color rgb="FF57B418"/>
      <color rgb="FFFF8585"/>
      <color rgb="FF6C0000"/>
      <color rgb="FFEC1606"/>
      <color rgb="FFF4B79E"/>
      <color rgb="FF094679"/>
      <color rgb="FF7BB7E9"/>
      <color rgb="FF3179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9" priority="3">
      <formula>H5&lt;0</formula>
    </cfRule>
    <cfRule type="expression" dxfId="8" priority="4">
      <formula>H5&gt;0</formula>
    </cfRule>
  </conditionalFormatting>
  <conditionalFormatting sqref="H17">
    <cfRule type="expression" dxfId="7" priority="1">
      <formula>H17&lt;0</formula>
    </cfRule>
    <cfRule type="expression" dxfId="6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1" t="s">
        <v>27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82" t="s">
        <v>20</v>
      </c>
      <c r="B31" s="82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4" t="s">
        <v>32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83" t="s">
        <v>20</v>
      </c>
      <c r="B32" s="83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4" t="s">
        <v>38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86" t="s">
        <v>35</v>
      </c>
      <c r="B20" s="87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86" t="s">
        <v>36</v>
      </c>
      <c r="B36" s="87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85" t="s">
        <v>37</v>
      </c>
      <c r="B37" s="85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8" t="s">
        <v>57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89" t="s">
        <v>35</v>
      </c>
      <c r="B18" s="89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89" t="s">
        <v>36</v>
      </c>
      <c r="B35" s="89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90" t="s">
        <v>37</v>
      </c>
      <c r="B36" s="90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1" t="s">
        <v>58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92" t="s">
        <v>35</v>
      </c>
      <c r="B18" s="92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92" t="s">
        <v>36</v>
      </c>
      <c r="B35" s="92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93" t="s">
        <v>37</v>
      </c>
      <c r="B36" s="93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U42"/>
  <sheetViews>
    <sheetView tabSelected="1" zoomScale="85" zoomScaleNormal="85" workbookViewId="0">
      <pane xSplit="2" ySplit="38" topLeftCell="O39" activePane="bottomRight" state="frozen"/>
      <selection pane="topRight" activeCell="C1" sqref="C1"/>
      <selection pane="bottomLeft" activeCell="A28" sqref="A28"/>
      <selection pane="bottomRight" activeCell="AB10" sqref="AB1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4" t="s">
        <v>59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96" t="s">
        <v>22</v>
      </c>
      <c r="X2" s="96" t="s">
        <v>19</v>
      </c>
      <c r="Y2" s="9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71"/>
      <c r="W3" s="71">
        <f>SUM(C3:V3)</f>
        <v>14049</v>
      </c>
      <c r="X3" s="64">
        <f>(94085+57723.67)/2</f>
        <v>75904.334999999992</v>
      </c>
      <c r="Y3" s="103"/>
    </row>
    <row r="4" spans="1:47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72"/>
      <c r="W4" s="72">
        <f>SUM(C4:V4)</f>
        <v>10533.31</v>
      </c>
      <c r="X4" s="106"/>
      <c r="Y4" s="104"/>
    </row>
    <row r="5" spans="1:47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71"/>
      <c r="W5" s="71">
        <f t="shared" ref="W5:W19" si="0">SUM(C5:V5)</f>
        <v>1455</v>
      </c>
      <c r="X5" s="107"/>
      <c r="Y5" s="104"/>
    </row>
    <row r="6" spans="1:47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72">
        <v>950</v>
      </c>
      <c r="W6" s="72">
        <f t="shared" si="0"/>
        <v>1803.8400000000001</v>
      </c>
      <c r="X6" s="107"/>
      <c r="Y6" s="104"/>
    </row>
    <row r="7" spans="1:47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71"/>
      <c r="W7" s="71">
        <f t="shared" si="0"/>
        <v>3302.61</v>
      </c>
      <c r="X7" s="107"/>
      <c r="Y7" s="104"/>
    </row>
    <row r="8" spans="1:47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72"/>
      <c r="W8" s="72">
        <f t="shared" si="0"/>
        <v>2255</v>
      </c>
      <c r="X8" s="107"/>
      <c r="Y8" s="104"/>
    </row>
    <row r="9" spans="1:47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71"/>
      <c r="W9" s="71">
        <f t="shared" si="0"/>
        <v>1095</v>
      </c>
      <c r="X9" s="107"/>
      <c r="Y9" s="104"/>
    </row>
    <row r="10" spans="1:47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72"/>
      <c r="W10" s="72">
        <f t="shared" si="0"/>
        <v>4914</v>
      </c>
      <c r="X10" s="107"/>
      <c r="Y10" s="104"/>
    </row>
    <row r="11" spans="1:47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>
        <f t="shared" si="0"/>
        <v>4632.68</v>
      </c>
      <c r="X11" s="107"/>
      <c r="Y11" s="104"/>
    </row>
    <row r="12" spans="1:47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72"/>
      <c r="W12" s="72">
        <f t="shared" si="0"/>
        <v>4475</v>
      </c>
      <c r="X12" s="107"/>
      <c r="Y12" s="104"/>
    </row>
    <row r="13" spans="1:47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71"/>
      <c r="W13" s="71">
        <f t="shared" si="0"/>
        <v>4015.63</v>
      </c>
      <c r="X13" s="107"/>
      <c r="Y13" s="104"/>
    </row>
    <row r="14" spans="1:47" ht="15.75">
      <c r="A14" s="66">
        <v>14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107"/>
      <c r="Y14" s="104"/>
    </row>
    <row r="15" spans="1:47" ht="15.75">
      <c r="A15" s="62">
        <v>15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107"/>
      <c r="Y15" s="104"/>
    </row>
    <row r="16" spans="1:47" ht="15.75">
      <c r="A16" s="66">
        <v>16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107"/>
      <c r="Y16" s="104"/>
    </row>
    <row r="17" spans="1:27" ht="15.75">
      <c r="A17" s="62">
        <v>17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107"/>
      <c r="Y17" s="104"/>
    </row>
    <row r="18" spans="1:27" ht="15.75">
      <c r="A18" s="66">
        <v>18</v>
      </c>
      <c r="B18" s="67" t="s">
        <v>5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>
        <f t="shared" si="0"/>
        <v>0</v>
      </c>
      <c r="X18" s="107"/>
      <c r="Y18" s="104"/>
    </row>
    <row r="19" spans="1:27" ht="15.75">
      <c r="A19" s="62">
        <v>19</v>
      </c>
      <c r="B19" s="63" t="s">
        <v>6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>
        <f t="shared" si="0"/>
        <v>0</v>
      </c>
      <c r="X19" s="108"/>
      <c r="Y19" s="105"/>
    </row>
    <row r="20" spans="1:27" ht="14.25" customHeight="1">
      <c r="A20" s="92" t="s">
        <v>35</v>
      </c>
      <c r="B20" s="92"/>
      <c r="C20" s="79">
        <f t="shared" ref="C20:X20" si="1">SUM(C3:C17)</f>
        <v>7605.21</v>
      </c>
      <c r="D20" s="79">
        <f t="shared" si="1"/>
        <v>4941.25</v>
      </c>
      <c r="E20" s="79">
        <f t="shared" si="1"/>
        <v>2500</v>
      </c>
      <c r="F20" s="79">
        <f t="shared" si="1"/>
        <v>960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0</v>
      </c>
      <c r="N20" s="79">
        <f t="shared" si="1"/>
        <v>0</v>
      </c>
      <c r="O20" s="79">
        <f t="shared" si="1"/>
        <v>2258</v>
      </c>
      <c r="P20" s="79">
        <f t="shared" si="1"/>
        <v>0</v>
      </c>
      <c r="Q20" s="79">
        <f t="shared" si="1"/>
        <v>18525</v>
      </c>
      <c r="R20" s="79">
        <f t="shared" si="1"/>
        <v>0</v>
      </c>
      <c r="S20" s="79">
        <f t="shared" si="1"/>
        <v>4372.63</v>
      </c>
      <c r="T20" s="79">
        <f t="shared" si="1"/>
        <v>1188</v>
      </c>
      <c r="U20" s="79">
        <f t="shared" si="1"/>
        <v>0</v>
      </c>
      <c r="V20" s="79">
        <f t="shared" si="1"/>
        <v>950</v>
      </c>
      <c r="W20" s="97">
        <f t="shared" si="1"/>
        <v>52531.069999999992</v>
      </c>
      <c r="X20" s="98">
        <f t="shared" si="1"/>
        <v>75904.334999999992</v>
      </c>
      <c r="Y20" s="99">
        <f>X20-W20</f>
        <v>23373.264999999999</v>
      </c>
    </row>
    <row r="21" spans="1:27" ht="15.75">
      <c r="A21" s="62">
        <v>20</v>
      </c>
      <c r="B21" s="63" t="s">
        <v>5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64"/>
      <c r="Y21" s="103"/>
    </row>
    <row r="22" spans="1:27" ht="15.75">
      <c r="A22" s="66">
        <v>21</v>
      </c>
      <c r="B22" s="67" t="s">
        <v>6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106"/>
      <c r="Y22" s="104"/>
      <c r="AA22" s="44"/>
    </row>
    <row r="23" spans="1:27" ht="15.75">
      <c r="A23" s="62">
        <v>22</v>
      </c>
      <c r="B23" s="63" t="s">
        <v>7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107"/>
      <c r="Y23" s="104"/>
    </row>
    <row r="24" spans="1:27" ht="15.75">
      <c r="A24" s="66">
        <v>23</v>
      </c>
      <c r="B24" s="67" t="s">
        <v>8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107"/>
      <c r="Y24" s="104"/>
    </row>
    <row r="25" spans="1:27" ht="15.75">
      <c r="A25" s="62">
        <v>24</v>
      </c>
      <c r="B25" s="63" t="s">
        <v>2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107"/>
      <c r="Y25" s="104"/>
    </row>
    <row r="26" spans="1:27" ht="15.75">
      <c r="A26" s="66">
        <v>25</v>
      </c>
      <c r="B26" s="67" t="s">
        <v>3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107"/>
      <c r="Y26" s="104"/>
    </row>
    <row r="27" spans="1:27" ht="15.75">
      <c r="A27" s="62">
        <v>26</v>
      </c>
      <c r="B27" s="63" t="s">
        <v>4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107"/>
      <c r="Y27" s="104"/>
    </row>
    <row r="28" spans="1:27" ht="15.75">
      <c r="A28" s="66">
        <v>27</v>
      </c>
      <c r="B28" s="67" t="s">
        <v>5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107"/>
      <c r="Y28" s="104"/>
    </row>
    <row r="29" spans="1:27" ht="15.75">
      <c r="A29" s="62">
        <v>28</v>
      </c>
      <c r="B29" s="63" t="s">
        <v>6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107"/>
      <c r="Y29" s="104"/>
    </row>
    <row r="30" spans="1:27" ht="15.75">
      <c r="A30" s="66">
        <v>29</v>
      </c>
      <c r="B30" s="67" t="s">
        <v>7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107"/>
      <c r="Y30" s="104"/>
    </row>
    <row r="31" spans="1:27" ht="15.75">
      <c r="A31" s="62">
        <v>30</v>
      </c>
      <c r="B31" s="63" t="s">
        <v>8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107"/>
      <c r="Y31" s="104"/>
    </row>
    <row r="32" spans="1:27" ht="15.75">
      <c r="A32" s="66">
        <v>31</v>
      </c>
      <c r="B32" s="67" t="s">
        <v>2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107"/>
      <c r="Y32" s="104"/>
    </row>
    <row r="33" spans="1:25" ht="15.75">
      <c r="A33" s="62">
        <v>1</v>
      </c>
      <c r="B33" s="63" t="s">
        <v>3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107"/>
      <c r="Y33" s="104"/>
    </row>
    <row r="34" spans="1:25" ht="15.75">
      <c r="A34" s="66">
        <v>2</v>
      </c>
      <c r="B34" s="67" t="s">
        <v>4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107"/>
      <c r="Y34" s="104"/>
    </row>
    <row r="35" spans="1:25" ht="15.75">
      <c r="A35" s="62">
        <v>3</v>
      </c>
      <c r="B35" s="63" t="s">
        <v>5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107"/>
      <c r="Y35" s="104"/>
    </row>
    <row r="36" spans="1:25" ht="15.75">
      <c r="A36" s="66">
        <v>4</v>
      </c>
      <c r="B36" s="67" t="s">
        <v>6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108"/>
      <c r="Y36" s="105"/>
    </row>
    <row r="37" spans="1:25">
      <c r="A37" s="92" t="s">
        <v>36</v>
      </c>
      <c r="B37" s="92"/>
      <c r="C37" s="79">
        <f>SUM(C21:C36)</f>
        <v>0</v>
      </c>
      <c r="D37" s="79">
        <f t="shared" ref="D37:V37" si="2">SUM(D21:D36)</f>
        <v>0</v>
      </c>
      <c r="E37" s="79">
        <f t="shared" si="2"/>
        <v>0</v>
      </c>
      <c r="F37" s="79">
        <f t="shared" si="2"/>
        <v>0</v>
      </c>
      <c r="G37" s="79">
        <f t="shared" si="2"/>
        <v>0</v>
      </c>
      <c r="H37" s="79">
        <f t="shared" si="2"/>
        <v>0</v>
      </c>
      <c r="I37" s="79">
        <f t="shared" si="2"/>
        <v>0</v>
      </c>
      <c r="J37" s="79">
        <f t="shared" si="2"/>
        <v>0</v>
      </c>
      <c r="K37" s="79">
        <f t="shared" si="2"/>
        <v>0</v>
      </c>
      <c r="L37" s="79">
        <f t="shared" si="2"/>
        <v>0</v>
      </c>
      <c r="M37" s="79">
        <f t="shared" si="2"/>
        <v>0</v>
      </c>
      <c r="N37" s="79">
        <f t="shared" si="2"/>
        <v>0</v>
      </c>
      <c r="O37" s="79">
        <f t="shared" si="2"/>
        <v>0</v>
      </c>
      <c r="P37" s="79">
        <f t="shared" si="2"/>
        <v>0</v>
      </c>
      <c r="Q37" s="79">
        <f t="shared" si="2"/>
        <v>0</v>
      </c>
      <c r="R37" s="79">
        <f t="shared" si="2"/>
        <v>0</v>
      </c>
      <c r="S37" s="79">
        <f t="shared" si="2"/>
        <v>0</v>
      </c>
      <c r="T37" s="79">
        <f>SUM(T21:T36)</f>
        <v>0</v>
      </c>
      <c r="U37" s="79">
        <f t="shared" si="2"/>
        <v>0</v>
      </c>
      <c r="V37" s="79">
        <f t="shared" si="2"/>
        <v>0</v>
      </c>
      <c r="W37" s="97">
        <f>SUM(W21:W36)</f>
        <v>0</v>
      </c>
      <c r="X37" s="98">
        <f>SUM(X21:X36)</f>
        <v>0</v>
      </c>
      <c r="Y37" s="100">
        <f>X37-W37</f>
        <v>0</v>
      </c>
    </row>
    <row r="38" spans="1:25" ht="31.5" customHeight="1">
      <c r="A38" s="95" t="s">
        <v>37</v>
      </c>
      <c r="B38" s="95"/>
      <c r="C38" s="78">
        <f>SUM(C20,C37)</f>
        <v>7605.21</v>
      </c>
      <c r="D38" s="78">
        <f t="shared" ref="D38:W38" si="3">SUM(D20,D37)</f>
        <v>4941.25</v>
      </c>
      <c r="E38" s="78">
        <f t="shared" si="3"/>
        <v>2500</v>
      </c>
      <c r="F38" s="78">
        <f t="shared" si="3"/>
        <v>960</v>
      </c>
      <c r="G38" s="78">
        <f t="shared" si="3"/>
        <v>0</v>
      </c>
      <c r="H38" s="78">
        <f t="shared" si="3"/>
        <v>3760</v>
      </c>
      <c r="I38" s="78">
        <f t="shared" si="3"/>
        <v>2320.98</v>
      </c>
      <c r="J38" s="78">
        <f t="shared" si="3"/>
        <v>0</v>
      </c>
      <c r="K38" s="78">
        <f t="shared" si="3"/>
        <v>0</v>
      </c>
      <c r="L38" s="78">
        <f t="shared" si="3"/>
        <v>3150</v>
      </c>
      <c r="M38" s="78">
        <f t="shared" si="3"/>
        <v>0</v>
      </c>
      <c r="N38" s="78">
        <f t="shared" si="3"/>
        <v>0</v>
      </c>
      <c r="O38" s="78">
        <f t="shared" si="3"/>
        <v>2258</v>
      </c>
      <c r="P38" s="78">
        <f t="shared" si="3"/>
        <v>0</v>
      </c>
      <c r="Q38" s="78">
        <f t="shared" si="3"/>
        <v>18525</v>
      </c>
      <c r="R38" s="78">
        <f t="shared" si="3"/>
        <v>0</v>
      </c>
      <c r="S38" s="78">
        <f>SUM(S20,S37)</f>
        <v>4372.63</v>
      </c>
      <c r="T38" s="78">
        <f t="shared" si="3"/>
        <v>1188</v>
      </c>
      <c r="U38" s="78">
        <f t="shared" si="3"/>
        <v>0</v>
      </c>
      <c r="V38" s="78">
        <f t="shared" si="3"/>
        <v>950</v>
      </c>
      <c r="W38" s="101">
        <f t="shared" si="3"/>
        <v>52531.069999999992</v>
      </c>
      <c r="X38" s="101">
        <f>SUM(X20,X37)</f>
        <v>75904.334999999992</v>
      </c>
      <c r="Y38" s="102">
        <f>SUM(Y20,Y37)</f>
        <v>23373.264999999999</v>
      </c>
    </row>
    <row r="42" spans="1:25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8">
    <mergeCell ref="A1:Y1"/>
    <mergeCell ref="A20:B20"/>
    <mergeCell ref="A37:B37"/>
    <mergeCell ref="A38:B38"/>
    <mergeCell ref="Y3:Y19"/>
    <mergeCell ref="Y21:Y36"/>
    <mergeCell ref="X4:X19"/>
    <mergeCell ref="X22:X36"/>
  </mergeCells>
  <conditionalFormatting sqref="Y20:Y21 Y37:Y38">
    <cfRule type="expression" dxfId="1" priority="1">
      <formula>Y20&lt;0</formula>
    </cfRule>
    <cfRule type="expression" dxfId="0" priority="2">
      <formula>Y20&gt;0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2026-07-14T10:42:28Z</dcterms:modified>
</cp:coreProperties>
</file>