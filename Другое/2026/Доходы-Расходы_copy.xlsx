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7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5" i="8"/>
  <c r="AG14"/>
  <c r="AG13"/>
  <c r="AG12"/>
  <c r="AG11"/>
  <c r="Z38"/>
  <c r="Z37"/>
  <c r="Y37"/>
  <c r="X37"/>
  <c r="W37"/>
  <c r="W20"/>
  <c r="X20"/>
  <c r="X38" s="1"/>
  <c r="Y20"/>
  <c r="W22"/>
  <c r="W23"/>
  <c r="W24"/>
  <c r="W25"/>
  <c r="W26"/>
  <c r="W27"/>
  <c r="W28"/>
  <c r="W29"/>
  <c r="W30"/>
  <c r="W31"/>
  <c r="W32"/>
  <c r="W33"/>
  <c r="W34"/>
  <c r="W35"/>
  <c r="W36"/>
  <c r="W21"/>
  <c r="W3"/>
  <c r="Y3"/>
  <c r="O17"/>
  <c r="U17"/>
  <c r="C17"/>
  <c r="Y37" i="9"/>
  <c r="Z37" s="1"/>
  <c r="X37"/>
  <c r="V37"/>
  <c r="V38" s="1"/>
  <c r="U37"/>
  <c r="T37"/>
  <c r="S37"/>
  <c r="R37"/>
  <c r="Q37"/>
  <c r="P37"/>
  <c r="N37"/>
  <c r="M37"/>
  <c r="L37"/>
  <c r="K37"/>
  <c r="J37"/>
  <c r="J38" s="1"/>
  <c r="I37"/>
  <c r="I38" s="1"/>
  <c r="H37"/>
  <c r="G37"/>
  <c r="F37"/>
  <c r="E37"/>
  <c r="D37"/>
  <c r="O37"/>
  <c r="C37"/>
  <c r="Y20"/>
  <c r="V20"/>
  <c r="U20"/>
  <c r="T20"/>
  <c r="S20"/>
  <c r="R20"/>
  <c r="P20"/>
  <c r="P38" s="1"/>
  <c r="O20"/>
  <c r="O38" s="1"/>
  <c r="N20"/>
  <c r="N38" s="1"/>
  <c r="M20"/>
  <c r="M38" s="1"/>
  <c r="L20"/>
  <c r="K20"/>
  <c r="J20"/>
  <c r="I20"/>
  <c r="G20"/>
  <c r="F20"/>
  <c r="E20"/>
  <c r="E38" s="1"/>
  <c r="X19"/>
  <c r="X18"/>
  <c r="X17"/>
  <c r="X16"/>
  <c r="X15"/>
  <c r="X14"/>
  <c r="X13"/>
  <c r="X12"/>
  <c r="X11"/>
  <c r="X10"/>
  <c r="X9"/>
  <c r="X8"/>
  <c r="X7"/>
  <c r="X6"/>
  <c r="X5"/>
  <c r="X4"/>
  <c r="H20"/>
  <c r="D20"/>
  <c r="X3"/>
  <c r="Q20"/>
  <c r="C22" i="8"/>
  <c r="O24"/>
  <c r="D25"/>
  <c r="T28"/>
  <c r="H38" i="9" l="1"/>
  <c r="D38"/>
  <c r="Q38"/>
  <c r="U38"/>
  <c r="R38"/>
  <c r="G38"/>
  <c r="S38"/>
  <c r="L38"/>
  <c r="T38"/>
  <c r="F38"/>
  <c r="K38"/>
  <c r="Z20" i="8"/>
  <c r="X20" i="9"/>
  <c r="Y38"/>
  <c r="C20"/>
  <c r="C38" s="1"/>
  <c r="V19" i="8"/>
  <c r="Q15"/>
  <c r="C14"/>
  <c r="Z20" i="9" l="1"/>
  <c r="Z38" s="1"/>
  <c r="X38"/>
  <c r="C3" i="8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4" l="1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U20"/>
  <c r="T20"/>
  <c r="T38" s="1"/>
  <c r="R20"/>
  <c r="Q20"/>
  <c r="O20"/>
  <c r="N20"/>
  <c r="M20"/>
  <c r="L20"/>
  <c r="K20"/>
  <c r="J20"/>
  <c r="I20"/>
  <c r="H20"/>
  <c r="G20"/>
  <c r="G38" s="1"/>
  <c r="E20"/>
  <c r="E38" s="1"/>
  <c r="F20"/>
  <c r="F38" s="1"/>
  <c r="D20"/>
  <c r="V20"/>
  <c r="S20"/>
  <c r="S38" s="1"/>
  <c r="C20"/>
  <c r="N38" l="1"/>
  <c r="M38"/>
  <c r="Q38"/>
  <c r="U38"/>
  <c r="O38"/>
  <c r="D38"/>
  <c r="C38"/>
  <c r="V38"/>
  <c r="L38"/>
  <c r="Y38"/>
  <c r="K38"/>
  <c r="I38"/>
  <c r="H38"/>
  <c r="J38"/>
  <c r="R38"/>
  <c r="P20"/>
  <c r="P38" s="1"/>
  <c r="C6" i="7"/>
  <c r="W6" s="1"/>
  <c r="F6"/>
  <c r="F18" s="1"/>
  <c r="C5"/>
  <c r="W5" s="1"/>
  <c r="D4"/>
  <c r="D18" s="1"/>
  <c r="C3"/>
  <c r="C18" s="1"/>
  <c r="H3"/>
  <c r="H18" s="1"/>
  <c r="H36" s="1"/>
  <c r="P7"/>
  <c r="W7" s="1"/>
  <c r="F8"/>
  <c r="N8"/>
  <c r="O9"/>
  <c r="C11"/>
  <c r="W11" s="1"/>
  <c r="P17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T35"/>
  <c r="S35"/>
  <c r="R35"/>
  <c r="Q35"/>
  <c r="P35"/>
  <c r="N35"/>
  <c r="M35"/>
  <c r="L35"/>
  <c r="K35"/>
  <c r="J35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P18"/>
  <c r="N18"/>
  <c r="M18"/>
  <c r="L18"/>
  <c r="K18"/>
  <c r="J18"/>
  <c r="I18"/>
  <c r="G18"/>
  <c r="E18"/>
  <c r="W17"/>
  <c r="W16"/>
  <c r="W15"/>
  <c r="W14"/>
  <c r="W13"/>
  <c r="W12"/>
  <c r="W10"/>
  <c r="W9"/>
  <c r="W8"/>
  <c r="O18"/>
  <c r="T9" i="6"/>
  <c r="D9"/>
  <c r="C9"/>
  <c r="Q10"/>
  <c r="H11"/>
  <c r="C14"/>
  <c r="W22"/>
  <c r="W26"/>
  <c r="W32"/>
  <c r="W33"/>
  <c r="W34"/>
  <c r="W19"/>
  <c r="C23"/>
  <c r="W23" s="1"/>
  <c r="I21"/>
  <c r="H21"/>
  <c r="W21" s="1"/>
  <c r="O20"/>
  <c r="D20"/>
  <c r="W20" s="1"/>
  <c r="W4" i="7" l="1"/>
  <c r="J36"/>
  <c r="K36"/>
  <c r="U36"/>
  <c r="N36"/>
  <c r="W24" i="6"/>
  <c r="W25"/>
  <c r="W27"/>
  <c r="W28"/>
  <c r="W31"/>
  <c r="V36" i="7"/>
  <c r="W3"/>
  <c r="W18" s="1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O18" s="1"/>
  <c r="C5"/>
  <c r="W5" s="1"/>
  <c r="F5"/>
  <c r="F18" s="1"/>
  <c r="O4"/>
  <c r="H4"/>
  <c r="H18" s="1"/>
  <c r="P3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E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6" i="6" l="1"/>
  <c r="W38" i="8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C37" l="1"/>
  <c r="W18" i="6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</t>
        </r>
      </text>
    </comment>
  </commentList>
</comments>
</file>

<file path=xl/sharedStrings.xml><?xml version="1.0" encoding="utf-8"?>
<sst xmlns="http://schemas.openxmlformats.org/spreadsheetml/2006/main" count="446" uniqueCount="67">
  <si>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</si>
  <si>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</si>
  <si>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</si>
  <si>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</si>
  <si>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</si>
  <si>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</si>
  <si>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</si>
  <si>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</si>
  <si>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</si>
  <si>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</si>
  <si>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</si>
  <si>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</si>
  <si>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</si>
  <si>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</si>
  <si>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</si>
  <si>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</si>
  <si>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</si>
  <si>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</si>
  <si>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</si>
  <si>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</si>
  <si>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</si>
  <si>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</si>
  <si>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</si>
  <si>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</si>
  <si>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</si>
  <si>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</si>
  <si>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</si>
  <si>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</si>
  <si>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</si>
  <si>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</si>
  <si>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</si>
  <si>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</si>
  <si>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</si>
  <si>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</si>
  <si>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</si>
  <si>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</si>
  <si>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</si>
  <si>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</si>
  <si>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</si>
  <si>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</si>
  <si>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</si>
  <si>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</si>
  <si>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</si>
  <si>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</si>
  <si>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</si>
  <si>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</si>
  <si>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</si>
  <si>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</si>
  <si>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</si>
  <si>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</si>
  <si>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</si>
  <si>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</si>
  <si>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</si>
  <si>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</si>
  <si>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</si>
  <si>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</si>
  <si>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</si>
  <si>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</si>
  <si>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</si>
  <si>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</si>
  <si>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</si>
  <si>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</si>
  <si>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</si>
  <si>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</si>
  <si>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</si>
  <si>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Потратил на еду</t>
  </si>
  <si>
    <r>
      <t xml:space="preserve">Доходы - Расходы </t>
    </r>
    <r>
      <rPr>
        <b/>
        <sz val="20"/>
        <color theme="5" tint="-0.24994659260841701"/>
        <rFont val="Bernard MT Condensed"/>
        <family val="1"/>
      </rPr>
      <t>Август</t>
    </r>
    <r>
      <rPr>
        <b/>
        <sz val="20"/>
        <color theme="1" tint="4.9989318521683403E-2"/>
        <rFont val="Bernard MT Condensed"/>
        <family val="1"/>
      </rPr>
      <t xml:space="preserve"> 2026</t>
    </r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</si>
</sst>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Franklin Gothic Demi"/>
      <family val="2"/>
      <charset val="204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  <font>
      <b/>
      <sz val="20"/>
      <color theme="1" tint="4.9989318521683403E-2"/>
      <name val="Bernard MT Condensed"/>
      <family val="1"/>
    </font>
    <font>
      <b/>
      <sz val="20"/>
      <color theme="5" tint="-0.24994659260841701"/>
      <name val="Bernard MT Condensed"/>
      <family val="1"/>
    </font>
    <font>
      <sz val="11"/>
      <color theme="1" tint="4.9989318521683403E-2"/>
      <name val="Franklin Gothic Demi"/>
      <family val="2"/>
      <charset val="204"/>
    </font>
  </fonts>
  <fills count="3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62D4E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9200"/>
        <bgColor indexed="64"/>
      </patternFill>
    </fill>
    <fill>
      <patternFill patternType="solid">
        <fgColor rgb="FF273C1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164" fontId="27" fillId="19" borderId="7" xfId="0" applyNumberFormat="1" applyFont="1" applyFill="1" applyBorder="1" applyAlignment="1">
      <alignment horizontal="right" vertical="center"/>
    </xf>
    <xf numFmtId="164" fontId="21" fillId="19" borderId="7" xfId="0" applyNumberFormat="1" applyFont="1" applyFill="1" applyBorder="1" applyAlignment="1">
      <alignment vertical="center"/>
    </xf>
    <xf numFmtId="164" fontId="29" fillId="19" borderId="7" xfId="0" applyNumberFormat="1" applyFont="1" applyFill="1" applyBorder="1" applyAlignment="1">
      <alignment vertical="center"/>
    </xf>
    <xf numFmtId="164" fontId="29" fillId="19" borderId="7" xfId="0" applyNumberFormat="1" applyFont="1" applyFill="1" applyBorder="1" applyAlignment="1">
      <alignment horizontal="right" vertical="center"/>
    </xf>
    <xf numFmtId="164" fontId="20" fillId="19" borderId="7" xfId="0" applyNumberFormat="1" applyFont="1" applyFill="1" applyBorder="1" applyAlignment="1">
      <alignment horizontal="right" vertical="center"/>
    </xf>
    <xf numFmtId="164" fontId="23" fillId="20" borderId="7" xfId="0" applyNumberFormat="1" applyFont="1" applyFill="1" applyBorder="1" applyAlignment="1">
      <alignment horizontal="right" vertical="center"/>
    </xf>
    <xf numFmtId="164" fontId="23" fillId="7" borderId="16" xfId="0" applyNumberFormat="1" applyFont="1" applyFill="1" applyBorder="1" applyAlignment="1">
      <alignment horizontal="right" vertical="center"/>
    </xf>
    <xf numFmtId="164" fontId="23" fillId="17" borderId="16" xfId="0" applyNumberFormat="1" applyFont="1" applyFill="1" applyBorder="1" applyAlignment="1">
      <alignment horizontal="right" vertical="center"/>
    </xf>
    <xf numFmtId="164" fontId="27" fillId="19" borderId="14" xfId="0" applyNumberFormat="1" applyFont="1" applyFill="1" applyBorder="1"/>
    <xf numFmtId="164" fontId="27" fillId="19" borderId="13" xfId="0" applyNumberFormat="1" applyFont="1" applyFill="1" applyBorder="1"/>
    <xf numFmtId="0" fontId="26" fillId="6" borderId="1" xfId="0" applyFont="1" applyFill="1" applyBorder="1" applyAlignment="1">
      <alignment horizontal="center" vertical="center" wrapText="1"/>
    </xf>
    <xf numFmtId="0" fontId="26" fillId="5" borderId="20" xfId="0" applyFont="1" applyFill="1" applyBorder="1" applyAlignment="1">
      <alignment horizontal="center" vertical="center" wrapText="1"/>
    </xf>
    <xf numFmtId="164" fontId="27" fillId="6" borderId="16" xfId="0" applyNumberFormat="1" applyFont="1" applyFill="1" applyBorder="1" applyAlignment="1">
      <alignment horizontal="right" vertical="center"/>
    </xf>
    <xf numFmtId="164" fontId="29" fillId="6" borderId="16" xfId="0" applyNumberFormat="1" applyFont="1" applyFill="1" applyBorder="1" applyAlignment="1">
      <alignment horizontal="right" vertical="center"/>
    </xf>
    <xf numFmtId="0" fontId="26" fillId="27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8" borderId="7" xfId="0" applyNumberFormat="1" applyFont="1" applyFill="1" applyBorder="1" applyAlignment="1">
      <alignment horizontal="right" vertical="center"/>
    </xf>
    <xf numFmtId="0" fontId="33" fillId="23" borderId="7" xfId="0" applyFont="1" applyFill="1" applyBorder="1" applyAlignment="1">
      <alignment horizontal="center" vertical="center" wrapText="1"/>
    </xf>
    <xf numFmtId="0" fontId="26" fillId="21" borderId="7" xfId="0" applyFont="1" applyFill="1" applyBorder="1" applyAlignment="1">
      <alignment horizontal="center" vertical="center" wrapText="1"/>
    </xf>
    <xf numFmtId="164" fontId="23" fillId="29" borderId="7" xfId="0" applyNumberFormat="1" applyFont="1" applyFill="1" applyBorder="1" applyAlignment="1"/>
    <xf numFmtId="164" fontId="34" fillId="24" borderId="7" xfId="0" applyNumberFormat="1" applyFont="1" applyFill="1" applyBorder="1" applyAlignment="1">
      <alignment horizontal="right" vertical="center"/>
    </xf>
    <xf numFmtId="164" fontId="34" fillId="23" borderId="7" xfId="0" applyNumberFormat="1" applyFont="1" applyFill="1" applyBorder="1" applyAlignment="1">
      <alignment horizontal="right" vertical="center"/>
    </xf>
    <xf numFmtId="164" fontId="34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5" fillId="6" borderId="7" xfId="0" applyFont="1" applyFill="1" applyBorder="1" applyAlignment="1">
      <alignment horizontal="center" vertical="center" wrapText="1"/>
    </xf>
    <xf numFmtId="164" fontId="23" fillId="29" borderId="7" xfId="0" applyNumberFormat="1" applyFont="1" applyFill="1" applyBorder="1"/>
    <xf numFmtId="164" fontId="23" fillId="22" borderId="7" xfId="0" applyNumberFormat="1" applyFont="1" applyFill="1" applyBorder="1" applyAlignment="1"/>
    <xf numFmtId="164" fontId="34" fillId="11" borderId="7" xfId="0" applyNumberFormat="1" applyFont="1" applyFill="1" applyBorder="1"/>
    <xf numFmtId="164" fontId="34" fillId="11" borderId="7" xfId="0" applyNumberFormat="1" applyFont="1" applyFill="1" applyBorder="1" applyAlignment="1">
      <alignment horizontal="right" vertical="center"/>
    </xf>
    <xf numFmtId="164" fontId="23" fillId="30" borderId="7" xfId="0" applyNumberFormat="1" applyFont="1" applyFill="1" applyBorder="1"/>
    <xf numFmtId="164" fontId="36" fillId="31" borderId="7" xfId="0" applyNumberFormat="1" applyFont="1" applyFill="1" applyBorder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36" fillId="31" borderId="7" xfId="0" applyFont="1" applyFill="1" applyBorder="1" applyAlignment="1">
      <alignment horizontal="center"/>
    </xf>
    <xf numFmtId="0" fontId="37" fillId="17" borderId="7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164" fontId="23" fillId="2" borderId="17" xfId="0" applyNumberFormat="1" applyFont="1" applyFill="1" applyBorder="1" applyAlignment="1">
      <alignment horizontal="center" vertical="center"/>
    </xf>
    <xf numFmtId="164" fontId="23" fillId="2" borderId="18" xfId="0" applyNumberFormat="1" applyFont="1" applyFill="1" applyBorder="1" applyAlignment="1">
      <alignment horizontal="center" vertical="center"/>
    </xf>
    <xf numFmtId="164" fontId="23" fillId="2" borderId="19" xfId="0" applyNumberFormat="1" applyFont="1" applyFill="1" applyBorder="1" applyAlignment="1">
      <alignment horizontal="center" vertical="center"/>
    </xf>
    <xf numFmtId="0" fontId="38" fillId="7" borderId="0" xfId="0" applyFont="1" applyFill="1" applyAlignment="1">
      <alignment horizontal="center" vertical="center"/>
    </xf>
    <xf numFmtId="0" fontId="22" fillId="7" borderId="14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164" fontId="23" fillId="7" borderId="14" xfId="0" applyNumberFormat="1" applyFont="1" applyFill="1" applyBorder="1" applyAlignment="1">
      <alignment horizontal="right" vertical="center"/>
    </xf>
    <xf numFmtId="164" fontId="23" fillId="7" borderId="21" xfId="0" applyNumberFormat="1" applyFont="1" applyFill="1" applyBorder="1" applyAlignment="1">
      <alignment horizontal="right" vertical="center"/>
    </xf>
    <xf numFmtId="0" fontId="26" fillId="26" borderId="7" xfId="0" applyFont="1" applyFill="1" applyBorder="1" applyAlignment="1">
      <alignment horizontal="center" vertical="center" wrapText="1"/>
    </xf>
    <xf numFmtId="0" fontId="26" fillId="25" borderId="7" xfId="0" applyFont="1" applyFill="1" applyBorder="1" applyAlignment="1">
      <alignment horizontal="center" vertical="center" wrapText="1"/>
    </xf>
    <xf numFmtId="0" fontId="26" fillId="5" borderId="7" xfId="0" applyFont="1" applyFill="1" applyBorder="1" applyAlignment="1">
      <alignment horizontal="center" vertical="center" wrapText="1"/>
    </xf>
    <xf numFmtId="0" fontId="32" fillId="5" borderId="7" xfId="0" applyFont="1" applyFill="1" applyBorder="1" applyAlignment="1">
      <alignment horizontal="center" vertical="center" wrapText="1"/>
    </xf>
    <xf numFmtId="0" fontId="26" fillId="19" borderId="7" xfId="0" applyFont="1" applyFill="1" applyBorder="1" applyAlignment="1">
      <alignment horizontal="center" vertical="center" wrapText="1"/>
    </xf>
    <xf numFmtId="0" fontId="40" fillId="7" borderId="7" xfId="0" applyFont="1" applyFill="1" applyBorder="1" applyAlignment="1">
      <alignment horizontal="center" vertical="center" wrapText="1"/>
    </xf>
    <xf numFmtId="164" fontId="23" fillId="16" borderId="22" xfId="0" applyNumberFormat="1" applyFont="1" applyFill="1" applyBorder="1"/>
    <xf numFmtId="164" fontId="23" fillId="16" borderId="15" xfId="0" applyNumberFormat="1" applyFont="1" applyFill="1" applyBorder="1" applyAlignment="1"/>
    <xf numFmtId="164" fontId="23" fillId="16" borderId="15" xfId="0" applyNumberFormat="1" applyFont="1" applyFill="1" applyBorder="1"/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DD7D7"/>
      <color rgb="FFDDF0C8"/>
      <color rgb="FF273C18"/>
      <color rgb="FFC09200"/>
      <color rgb="FF2E471D"/>
      <color rgb="FFEC1606"/>
      <color rgb="FF062D4E"/>
      <color rgb="FFD5DA08"/>
      <color rgb="FF57B4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3">
      <formula>H5&lt;0</formula>
    </cfRule>
    <cfRule type="expression" dxfId="10" priority="4">
      <formula>H5&gt;0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12" t="s">
        <v>27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113" t="s">
        <v>20</v>
      </c>
      <c r="B31" s="113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15" t="s">
        <v>32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114" t="s">
        <v>20</v>
      </c>
      <c r="B32" s="114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15" t="s">
        <v>38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117" t="s">
        <v>35</v>
      </c>
      <c r="B20" s="118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117" t="s">
        <v>36</v>
      </c>
      <c r="B36" s="118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116" t="s">
        <v>37</v>
      </c>
      <c r="B37" s="116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19" t="s">
        <v>57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120" t="s">
        <v>35</v>
      </c>
      <c r="B18" s="120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120" t="s">
        <v>36</v>
      </c>
      <c r="B35" s="120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121" t="s">
        <v>37</v>
      </c>
      <c r="B36" s="121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22" t="s">
        <v>58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23" t="s">
        <v>35</v>
      </c>
      <c r="B18" s="123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23" t="s">
        <v>36</v>
      </c>
      <c r="B35" s="123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24" t="s">
        <v>37</v>
      </c>
      <c r="B36" s="124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AH31" sqref="AH31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27" t="s">
        <v>59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48" ht="45" customHeight="1">
      <c r="A2" s="76" t="s">
        <v>0</v>
      </c>
      <c r="B2" s="76" t="s">
        <v>1</v>
      </c>
      <c r="C2" s="91" t="s">
        <v>9</v>
      </c>
      <c r="D2" s="91" t="s">
        <v>29</v>
      </c>
      <c r="E2" s="91" t="s">
        <v>10</v>
      </c>
      <c r="F2" s="91" t="s">
        <v>33</v>
      </c>
      <c r="G2" s="91" t="s">
        <v>34</v>
      </c>
      <c r="H2" s="91" t="s">
        <v>11</v>
      </c>
      <c r="I2" s="91" t="s">
        <v>30</v>
      </c>
      <c r="J2" s="91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92" t="s">
        <v>26</v>
      </c>
      <c r="W2" s="95" t="s">
        <v>22</v>
      </c>
      <c r="X2" s="98" t="s">
        <v>60</v>
      </c>
      <c r="Y2" s="99" t="s">
        <v>19</v>
      </c>
      <c r="Z2" s="105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87"/>
      <c r="W3" s="96">
        <f>SUM(C3:V3)</f>
        <v>14049</v>
      </c>
      <c r="X3" s="97">
        <v>72082.179999999993</v>
      </c>
      <c r="Y3" s="106">
        <f>(94085+57723.67)</f>
        <v>151808.66999999998</v>
      </c>
      <c r="Z3" s="129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88"/>
      <c r="W4" s="96">
        <f>SUM(C4:V4)</f>
        <v>10533.31</v>
      </c>
      <c r="X4" s="97"/>
      <c r="Y4" s="100"/>
      <c r="Z4" s="129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87"/>
      <c r="W5" s="96">
        <f t="shared" ref="W5:W19" si="0">SUM(C5:V5)</f>
        <v>1455</v>
      </c>
      <c r="X5" s="97"/>
      <c r="Y5" s="100"/>
      <c r="Z5" s="129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88">
        <v>950</v>
      </c>
      <c r="W6" s="96">
        <f t="shared" si="0"/>
        <v>1803.8400000000001</v>
      </c>
      <c r="X6" s="97"/>
      <c r="Y6" s="100"/>
      <c r="Z6" s="129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87"/>
      <c r="W7" s="96">
        <f t="shared" si="0"/>
        <v>3302.61</v>
      </c>
      <c r="X7" s="97"/>
      <c r="Y7" s="100"/>
      <c r="Z7" s="129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88"/>
      <c r="W8" s="96">
        <f t="shared" si="0"/>
        <v>2255</v>
      </c>
      <c r="X8" s="97"/>
      <c r="Y8" s="100"/>
      <c r="Z8" s="129"/>
      <c r="AC8" s="126" t="s">
        <v>61</v>
      </c>
      <c r="AD8" s="126"/>
      <c r="AE8" s="126"/>
      <c r="AF8" s="126"/>
      <c r="AG8" s="126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87"/>
      <c r="W9" s="96">
        <f t="shared" si="0"/>
        <v>1095</v>
      </c>
      <c r="X9" s="97"/>
      <c r="Y9" s="100"/>
      <c r="Z9" s="129"/>
      <c r="AC9" s="126"/>
      <c r="AD9" s="126"/>
      <c r="AE9" s="126"/>
      <c r="AF9" s="126"/>
      <c r="AG9" s="126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88"/>
      <c r="W10" s="96">
        <f t="shared" si="0"/>
        <v>4914</v>
      </c>
      <c r="X10" s="97"/>
      <c r="Y10" s="100"/>
      <c r="Z10" s="129"/>
      <c r="AC10" s="126"/>
      <c r="AD10" s="126"/>
      <c r="AE10" s="126"/>
      <c r="AF10" s="126"/>
      <c r="AG10" s="126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87"/>
      <c r="W11" s="96">
        <f t="shared" si="0"/>
        <v>4632.68</v>
      </c>
      <c r="X11" s="97"/>
      <c r="Y11" s="100"/>
      <c r="Z11" s="129"/>
      <c r="AC11" s="125" t="s">
        <v>62</v>
      </c>
      <c r="AD11" s="125"/>
      <c r="AE11" s="125"/>
      <c r="AF11" s="125"/>
      <c r="AG11" s="111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88"/>
      <c r="W12" s="96">
        <f t="shared" si="0"/>
        <v>4475</v>
      </c>
      <c r="X12" s="97"/>
      <c r="Y12" s="100"/>
      <c r="Z12" s="129"/>
      <c r="AC12" s="125" t="s">
        <v>55</v>
      </c>
      <c r="AD12" s="125"/>
      <c r="AE12" s="125"/>
      <c r="AF12" s="125"/>
      <c r="AG12" s="111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87"/>
      <c r="W13" s="96">
        <f t="shared" si="0"/>
        <v>4015.63</v>
      </c>
      <c r="X13" s="97"/>
      <c r="Y13" s="100"/>
      <c r="Z13" s="129"/>
      <c r="AC13" s="125" t="s">
        <v>63</v>
      </c>
      <c r="AD13" s="125"/>
      <c r="AE13" s="125"/>
      <c r="AF13" s="125"/>
      <c r="AG13" s="111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88"/>
      <c r="W14" s="96">
        <f t="shared" si="0"/>
        <v>2273.7800000000002</v>
      </c>
      <c r="X14" s="97">
        <v>14878.51</v>
      </c>
      <c r="Y14" s="106">
        <v>37634</v>
      </c>
      <c r="Z14" s="129"/>
      <c r="AC14" s="125" t="s">
        <v>64</v>
      </c>
      <c r="AD14" s="125"/>
      <c r="AE14" s="125"/>
      <c r="AF14" s="125"/>
      <c r="AG14" s="111">
        <f>W38</f>
        <v>167654.87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87"/>
      <c r="W15" s="96">
        <f t="shared" si="0"/>
        <v>4096.9799999999996</v>
      </c>
      <c r="X15" s="97"/>
      <c r="Y15" s="100"/>
      <c r="Z15" s="129"/>
      <c r="AC15" s="125" t="s">
        <v>65</v>
      </c>
      <c r="AD15" s="125"/>
      <c r="AE15" s="125"/>
      <c r="AF15" s="125"/>
      <c r="AG15" s="111">
        <f>SUM(C38:H38)</f>
        <v>47166.55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6"/>
      <c r="V16" s="88"/>
      <c r="W16" s="96">
        <f t="shared" si="0"/>
        <v>6141</v>
      </c>
      <c r="X16" s="97"/>
      <c r="Y16" s="100"/>
      <c r="Z16" s="129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87"/>
      <c r="W17" s="96">
        <f t="shared" si="0"/>
        <v>16780</v>
      </c>
      <c r="X17" s="97"/>
      <c r="Y17" s="107">
        <v>15000</v>
      </c>
      <c r="Z17" s="129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6"/>
      <c r="U18" s="72">
        <v>8000</v>
      </c>
      <c r="V18" s="88"/>
      <c r="W18" s="96">
        <f t="shared" si="0"/>
        <v>10517.8</v>
      </c>
      <c r="X18" s="97"/>
      <c r="Y18" s="100"/>
      <c r="Z18" s="129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87">
        <f>83+760+400+6869+83+83+1800+850+1033.84+1423+1349+694+83+6000+1800+305</f>
        <v>23615.84</v>
      </c>
      <c r="W19" s="96">
        <f t="shared" si="0"/>
        <v>29591.93</v>
      </c>
      <c r="X19" s="97"/>
      <c r="Y19" s="107">
        <v>10000</v>
      </c>
      <c r="Z19" s="129"/>
    </row>
    <row r="20" spans="1:28" ht="14.25" customHeight="1">
      <c r="A20" s="123" t="s">
        <v>35</v>
      </c>
      <c r="B20" s="123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93">
        <f t="shared" si="1"/>
        <v>950</v>
      </c>
      <c r="W20" s="101">
        <f>SUM(W3:W19)</f>
        <v>121932.56</v>
      </c>
      <c r="X20" s="102">
        <f>SUM(X3:X19)</f>
        <v>86960.689999999988</v>
      </c>
      <c r="Y20" s="108">
        <f>SUM(Y3:Y19)</f>
        <v>214442.66999999998</v>
      </c>
      <c r="Z20" s="103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87"/>
      <c r="W21" s="96">
        <f>SUM(C21:V21)</f>
        <v>6642</v>
      </c>
      <c r="X21" s="97"/>
      <c r="Y21" s="106">
        <v>36898.639999999999</v>
      </c>
      <c r="Z21" s="129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88"/>
      <c r="W22" s="96">
        <f t="shared" ref="W22:W36" si="2">SUM(C22:V22)</f>
        <v>1376</v>
      </c>
      <c r="X22" s="97">
        <v>23662.84</v>
      </c>
      <c r="Y22" s="100"/>
      <c r="Z22" s="129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87"/>
      <c r="W23" s="96">
        <f t="shared" si="2"/>
        <v>2020</v>
      </c>
      <c r="X23" s="97"/>
      <c r="Y23" s="100"/>
      <c r="Z23" s="129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88"/>
      <c r="W24" s="96">
        <f t="shared" si="2"/>
        <v>3874</v>
      </c>
      <c r="X24" s="97"/>
      <c r="Y24" s="100"/>
      <c r="Z24" s="129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87">
        <v>2000</v>
      </c>
      <c r="W25" s="96">
        <f t="shared" si="2"/>
        <v>7893.3099999999995</v>
      </c>
      <c r="X25" s="97"/>
      <c r="Y25" s="100"/>
      <c r="Z25" s="129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88"/>
      <c r="W26" s="96">
        <f t="shared" si="2"/>
        <v>3329</v>
      </c>
      <c r="X26" s="97"/>
      <c r="Y26" s="100"/>
      <c r="Z26" s="129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87">
        <v>2800</v>
      </c>
      <c r="W27" s="96">
        <f t="shared" si="2"/>
        <v>7497</v>
      </c>
      <c r="X27" s="97"/>
      <c r="Y27" s="110">
        <v>20000</v>
      </c>
      <c r="Z27" s="129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88"/>
      <c r="W28" s="96">
        <f t="shared" si="2"/>
        <v>11161</v>
      </c>
      <c r="X28" s="97"/>
      <c r="Y28" s="100"/>
      <c r="Z28" s="129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87"/>
      <c r="W29" s="96">
        <f t="shared" si="2"/>
        <v>1530</v>
      </c>
      <c r="X29" s="97"/>
      <c r="Y29" s="100"/>
      <c r="Z29" s="129"/>
    </row>
    <row r="30" spans="1:28" ht="15.75">
      <c r="A30" s="66">
        <v>29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400</v>
      </c>
      <c r="R30" s="72"/>
      <c r="S30" s="72"/>
      <c r="T30" s="72"/>
      <c r="U30" s="72"/>
      <c r="V30" s="88"/>
      <c r="W30" s="96">
        <f t="shared" si="2"/>
        <v>400</v>
      </c>
      <c r="X30" s="97"/>
      <c r="Y30" s="100"/>
      <c r="Z30" s="129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87"/>
      <c r="W31" s="96">
        <f t="shared" si="2"/>
        <v>0</v>
      </c>
      <c r="X31" s="97"/>
      <c r="Y31" s="100"/>
      <c r="Z31" s="129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88"/>
      <c r="W32" s="96">
        <f t="shared" si="2"/>
        <v>0</v>
      </c>
      <c r="X32" s="97"/>
      <c r="Y32" s="100"/>
      <c r="Z32" s="129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87"/>
      <c r="W33" s="96">
        <f t="shared" si="2"/>
        <v>0</v>
      </c>
      <c r="X33" s="97"/>
      <c r="Y33" s="100"/>
      <c r="Z33" s="129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88"/>
      <c r="W34" s="96">
        <f t="shared" si="2"/>
        <v>0</v>
      </c>
      <c r="X34" s="97"/>
      <c r="Y34" s="100"/>
      <c r="Z34" s="129"/>
    </row>
    <row r="35" spans="1:26" ht="15.75">
      <c r="A35" s="62">
        <v>3</v>
      </c>
      <c r="B35" s="63" t="s">
        <v>7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87"/>
      <c r="W35" s="96">
        <f t="shared" si="2"/>
        <v>0</v>
      </c>
      <c r="X35" s="97"/>
      <c r="Y35" s="100"/>
      <c r="Z35" s="129"/>
    </row>
    <row r="36" spans="1:26" ht="15.75">
      <c r="A36" s="66">
        <v>4</v>
      </c>
      <c r="B36" s="67" t="s">
        <v>8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88"/>
      <c r="W36" s="96">
        <f t="shared" si="2"/>
        <v>0</v>
      </c>
      <c r="X36" s="97"/>
      <c r="Y36" s="100"/>
      <c r="Z36" s="129"/>
    </row>
    <row r="37" spans="1:26">
      <c r="A37" s="123" t="s">
        <v>36</v>
      </c>
      <c r="B37" s="123"/>
      <c r="C37" s="79">
        <f>SUM(C21:C36)</f>
        <v>3393</v>
      </c>
      <c r="D37" s="79">
        <f t="shared" ref="D37:V37" si="3">SUM(D21:D36)</f>
        <v>6141.3099999999995</v>
      </c>
      <c r="E37" s="79">
        <f t="shared" si="3"/>
        <v>3180</v>
      </c>
      <c r="F37" s="79">
        <f t="shared" si="3"/>
        <v>4420</v>
      </c>
      <c r="G37" s="79">
        <f t="shared" si="3"/>
        <v>0</v>
      </c>
      <c r="H37" s="79">
        <f t="shared" si="3"/>
        <v>2414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1953</v>
      </c>
      <c r="P37" s="79">
        <f t="shared" si="3"/>
        <v>797</v>
      </c>
      <c r="Q37" s="79">
        <f t="shared" si="3"/>
        <v>6023</v>
      </c>
      <c r="R37" s="79">
        <f t="shared" si="3"/>
        <v>0</v>
      </c>
      <c r="S37" s="79">
        <f t="shared" si="3"/>
        <v>1092</v>
      </c>
      <c r="T37" s="79">
        <f>SUM(T21:T36)</f>
        <v>11509</v>
      </c>
      <c r="U37" s="79">
        <f t="shared" si="3"/>
        <v>0</v>
      </c>
      <c r="V37" s="93">
        <f t="shared" si="3"/>
        <v>4800</v>
      </c>
      <c r="W37" s="101">
        <f>SUM(W21:W36)</f>
        <v>45722.31</v>
      </c>
      <c r="X37" s="102">
        <f>SUM(X21:X36)</f>
        <v>23662.84</v>
      </c>
      <c r="Y37" s="108">
        <f>SUM(Y21:Y36)</f>
        <v>56898.64</v>
      </c>
      <c r="Z37" s="104">
        <f>Y37-W37-X37</f>
        <v>-12486.509999999998</v>
      </c>
    </row>
    <row r="38" spans="1:26" ht="31.5" customHeight="1">
      <c r="A38" s="128" t="s">
        <v>37</v>
      </c>
      <c r="B38" s="128"/>
      <c r="C38" s="78">
        <f>SUM(C20,C37)</f>
        <v>14335.99</v>
      </c>
      <c r="D38" s="78">
        <f t="shared" ref="D38:W38" si="4">SUM(D20,D37)</f>
        <v>11666.56</v>
      </c>
      <c r="E38" s="78">
        <f t="shared" si="4"/>
        <v>8530</v>
      </c>
      <c r="F38" s="78">
        <f t="shared" si="4"/>
        <v>6460</v>
      </c>
      <c r="G38" s="78">
        <f t="shared" si="4"/>
        <v>0</v>
      </c>
      <c r="H38" s="78">
        <f t="shared" si="4"/>
        <v>6174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5172</v>
      </c>
      <c r="P38" s="78">
        <f t="shared" si="4"/>
        <v>797</v>
      </c>
      <c r="Q38" s="78">
        <f t="shared" si="4"/>
        <v>27168.98</v>
      </c>
      <c r="R38" s="78">
        <f t="shared" si="4"/>
        <v>0</v>
      </c>
      <c r="S38" s="78">
        <f>SUM(S20,S37)</f>
        <v>6364.63</v>
      </c>
      <c r="T38" s="78">
        <f t="shared" si="4"/>
        <v>14697</v>
      </c>
      <c r="U38" s="78">
        <f t="shared" si="4"/>
        <v>6461</v>
      </c>
      <c r="V38" s="94">
        <f t="shared" si="4"/>
        <v>5750</v>
      </c>
      <c r="W38" s="101">
        <f t="shared" si="4"/>
        <v>167654.87</v>
      </c>
      <c r="X38" s="102">
        <f>SUM(X20,X37)</f>
        <v>110623.52999999998</v>
      </c>
      <c r="Y38" s="109">
        <f>SUM(Y20,Y37)</f>
        <v>271341.31</v>
      </c>
      <c r="Z38" s="70">
        <f>SUM(Z20,Z37)</f>
        <v>-6937.09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1:Z1"/>
    <mergeCell ref="A20:B20"/>
    <mergeCell ref="A37:B37"/>
    <mergeCell ref="A38:B38"/>
    <mergeCell ref="Z3:Z19"/>
    <mergeCell ref="Z21:Z36"/>
    <mergeCell ref="AC14:AF14"/>
    <mergeCell ref="AC15:AF15"/>
    <mergeCell ref="AC8:AG10"/>
    <mergeCell ref="AC11:AF11"/>
    <mergeCell ref="AC12:AF12"/>
    <mergeCell ref="AC13:AF13"/>
  </mergeCells>
  <conditionalFormatting sqref="Z20:Z21 Z37:Z38">
    <cfRule type="expression" dxfId="3" priority="1">
      <formula>Z20&lt;0</formula>
    </cfRule>
    <cfRule type="expression" dxfId="2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V42"/>
  <sheetViews>
    <sheetView tabSelected="1"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W28" sqref="W28"/>
    </sheetView>
  </sheetViews>
  <sheetFormatPr defaultRowHeight="15"/>
  <cols>
    <col min="1" max="26" width="20.7109375" style="2" customWidth="1"/>
    <col min="27" max="38" width="12.7109375" style="2" customWidth="1"/>
    <col min="39" max="16384" width="9.140625" style="2"/>
  </cols>
  <sheetData>
    <row r="1" spans="1:48" ht="60.75" customHeight="1">
      <c r="A1" s="133" t="s">
        <v>66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spans="1:48" ht="45" customHeight="1">
      <c r="A2" s="143" t="s">
        <v>0</v>
      </c>
      <c r="B2" s="143" t="s">
        <v>1</v>
      </c>
      <c r="C2" s="138" t="s">
        <v>9</v>
      </c>
      <c r="D2" s="138" t="s">
        <v>29</v>
      </c>
      <c r="E2" s="138" t="s">
        <v>10</v>
      </c>
      <c r="F2" s="138" t="s">
        <v>33</v>
      </c>
      <c r="G2" s="138" t="s">
        <v>34</v>
      </c>
      <c r="H2" s="138" t="s">
        <v>11</v>
      </c>
      <c r="I2" s="139" t="s">
        <v>30</v>
      </c>
      <c r="J2" s="139" t="s">
        <v>12</v>
      </c>
      <c r="K2" s="140" t="s">
        <v>24</v>
      </c>
      <c r="L2" s="140" t="s">
        <v>23</v>
      </c>
      <c r="M2" s="140" t="s">
        <v>13</v>
      </c>
      <c r="N2" s="140" t="s">
        <v>14</v>
      </c>
      <c r="O2" s="140" t="s">
        <v>15</v>
      </c>
      <c r="P2" s="140" t="s">
        <v>16</v>
      </c>
      <c r="Q2" s="140" t="s">
        <v>28</v>
      </c>
      <c r="R2" s="140" t="s">
        <v>17</v>
      </c>
      <c r="S2" s="140" t="s">
        <v>18</v>
      </c>
      <c r="T2" s="140" t="s">
        <v>25</v>
      </c>
      <c r="U2" s="140" t="s">
        <v>25</v>
      </c>
      <c r="V2" s="140" t="s">
        <v>26</v>
      </c>
      <c r="W2" s="141" t="s">
        <v>60</v>
      </c>
      <c r="X2" s="142" t="s">
        <v>22</v>
      </c>
      <c r="Y2" s="142" t="s">
        <v>19</v>
      </c>
      <c r="Z2" s="142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134">
        <v>3</v>
      </c>
      <c r="B3" s="135" t="s">
        <v>4</v>
      </c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7">
        <f>SUM(C3:V3)</f>
        <v>0</v>
      </c>
      <c r="Y3" s="144"/>
      <c r="Z3" s="131"/>
    </row>
    <row r="4" spans="1:48" ht="15.75">
      <c r="A4" s="66">
        <v>4</v>
      </c>
      <c r="B4" s="67" t="s">
        <v>5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88">
        <f>SUM(C4:V4)</f>
        <v>0</v>
      </c>
      <c r="Y4" s="145"/>
      <c r="Z4" s="131"/>
    </row>
    <row r="5" spans="1:48" ht="15.75">
      <c r="A5" s="62">
        <v>5</v>
      </c>
      <c r="B5" s="63" t="s">
        <v>6</v>
      </c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87">
        <f t="shared" ref="X5:X19" si="0">SUM(C5:V5)</f>
        <v>0</v>
      </c>
      <c r="Y5" s="145"/>
      <c r="Z5" s="131"/>
    </row>
    <row r="6" spans="1:48" ht="15.75">
      <c r="A6" s="66">
        <v>6</v>
      </c>
      <c r="B6" s="67" t="s">
        <v>7</v>
      </c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88">
        <f t="shared" si="0"/>
        <v>0</v>
      </c>
      <c r="Y6" s="145"/>
      <c r="Z6" s="131"/>
    </row>
    <row r="7" spans="1:48" ht="15" customHeight="1">
      <c r="A7" s="62">
        <v>7</v>
      </c>
      <c r="B7" s="63" t="s">
        <v>8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87">
        <f t="shared" si="0"/>
        <v>0</v>
      </c>
      <c r="Y7" s="145"/>
      <c r="Z7" s="131"/>
    </row>
    <row r="8" spans="1:48" ht="15.75">
      <c r="A8" s="66">
        <v>8</v>
      </c>
      <c r="B8" s="67" t="s">
        <v>2</v>
      </c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88">
        <f t="shared" si="0"/>
        <v>0</v>
      </c>
      <c r="Y8" s="145"/>
      <c r="Z8" s="131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87">
        <f t="shared" si="0"/>
        <v>0</v>
      </c>
      <c r="Y9" s="145"/>
      <c r="Z9" s="131"/>
    </row>
    <row r="10" spans="1:48" ht="15.75">
      <c r="A10" s="66">
        <v>10</v>
      </c>
      <c r="B10" s="67" t="s">
        <v>4</v>
      </c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88">
        <f t="shared" si="0"/>
        <v>0</v>
      </c>
      <c r="Y10" s="145"/>
      <c r="Z10" s="131"/>
    </row>
    <row r="11" spans="1:48" ht="15.75">
      <c r="A11" s="62">
        <v>11</v>
      </c>
      <c r="B11" s="63" t="s">
        <v>5</v>
      </c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87">
        <f t="shared" si="0"/>
        <v>0</v>
      </c>
      <c r="Y11" s="145"/>
      <c r="Z11" s="131"/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88">
        <f t="shared" si="0"/>
        <v>0</v>
      </c>
      <c r="Y12" s="145"/>
      <c r="Z12" s="131"/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87">
        <f t="shared" si="0"/>
        <v>0</v>
      </c>
      <c r="Y13" s="145"/>
      <c r="Z13" s="131"/>
    </row>
    <row r="14" spans="1:48" ht="15.75">
      <c r="A14" s="66">
        <v>14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88">
        <f t="shared" si="0"/>
        <v>0</v>
      </c>
      <c r="Y14" s="146"/>
      <c r="Z14" s="131"/>
    </row>
    <row r="15" spans="1:48" ht="15.75">
      <c r="A15" s="62">
        <v>15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87">
        <f t="shared" si="0"/>
        <v>0</v>
      </c>
      <c r="Y15" s="145"/>
      <c r="Z15" s="131"/>
    </row>
    <row r="16" spans="1:48" ht="15.75">
      <c r="A16" s="66">
        <v>16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86"/>
      <c r="V16" s="72"/>
      <c r="W16" s="72"/>
      <c r="X16" s="88">
        <f t="shared" si="0"/>
        <v>0</v>
      </c>
      <c r="Y16" s="145"/>
      <c r="Z16" s="131"/>
    </row>
    <row r="17" spans="1:28" ht="15.75">
      <c r="A17" s="62">
        <v>17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87">
        <f t="shared" si="0"/>
        <v>0</v>
      </c>
      <c r="Y17" s="145"/>
      <c r="Z17" s="131"/>
    </row>
    <row r="18" spans="1:28" ht="15.75">
      <c r="A18" s="66">
        <v>18</v>
      </c>
      <c r="B18" s="67" t="s">
        <v>5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86"/>
      <c r="U18" s="72"/>
      <c r="V18" s="72"/>
      <c r="W18" s="72"/>
      <c r="X18" s="88">
        <f t="shared" si="0"/>
        <v>0</v>
      </c>
      <c r="Y18" s="145"/>
      <c r="Z18" s="131"/>
    </row>
    <row r="19" spans="1:28" ht="15.75">
      <c r="A19" s="62">
        <v>19</v>
      </c>
      <c r="B19" s="63" t="s">
        <v>6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87">
        <f t="shared" si="0"/>
        <v>0</v>
      </c>
      <c r="Y19" s="145"/>
      <c r="Z19" s="132"/>
    </row>
    <row r="20" spans="1:28" ht="14.25" customHeight="1">
      <c r="A20" s="123" t="s">
        <v>35</v>
      </c>
      <c r="B20" s="123"/>
      <c r="C20" s="79">
        <f t="shared" ref="C20:Y20" si="1">SUM(C3:C17)</f>
        <v>0</v>
      </c>
      <c r="D20" s="79">
        <f t="shared" si="1"/>
        <v>0</v>
      </c>
      <c r="E20" s="79">
        <f t="shared" si="1"/>
        <v>0</v>
      </c>
      <c r="F20" s="79">
        <f t="shared" si="1"/>
        <v>0</v>
      </c>
      <c r="G20" s="79">
        <f t="shared" si="1"/>
        <v>0</v>
      </c>
      <c r="H20" s="79">
        <f t="shared" si="1"/>
        <v>0</v>
      </c>
      <c r="I20" s="79">
        <f t="shared" si="1"/>
        <v>0</v>
      </c>
      <c r="J20" s="79">
        <f t="shared" si="1"/>
        <v>0</v>
      </c>
      <c r="K20" s="79">
        <f t="shared" si="1"/>
        <v>0</v>
      </c>
      <c r="L20" s="79">
        <f t="shared" si="1"/>
        <v>0</v>
      </c>
      <c r="M20" s="79">
        <f t="shared" si="1"/>
        <v>0</v>
      </c>
      <c r="N20" s="79">
        <f t="shared" si="1"/>
        <v>0</v>
      </c>
      <c r="O20" s="79">
        <f t="shared" si="1"/>
        <v>0</v>
      </c>
      <c r="P20" s="79">
        <f t="shared" si="1"/>
        <v>0</v>
      </c>
      <c r="Q20" s="79">
        <f t="shared" si="1"/>
        <v>0</v>
      </c>
      <c r="R20" s="79">
        <f t="shared" si="1"/>
        <v>0</v>
      </c>
      <c r="S20" s="79">
        <f t="shared" si="1"/>
        <v>0</v>
      </c>
      <c r="T20" s="79">
        <f t="shared" si="1"/>
        <v>0</v>
      </c>
      <c r="U20" s="79">
        <f t="shared" si="1"/>
        <v>0</v>
      </c>
      <c r="V20" s="79">
        <f t="shared" si="1"/>
        <v>0</v>
      </c>
      <c r="W20" s="79"/>
      <c r="X20" s="81">
        <f t="shared" si="1"/>
        <v>0</v>
      </c>
      <c r="Y20" s="90">
        <f t="shared" si="1"/>
        <v>0</v>
      </c>
      <c r="Z20" s="82">
        <f>Y20-X20</f>
        <v>0</v>
      </c>
    </row>
    <row r="21" spans="1:28" ht="15.75">
      <c r="A21" s="62">
        <v>20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87"/>
      <c r="Y21" s="146"/>
      <c r="Z21" s="130"/>
    </row>
    <row r="22" spans="1:28" ht="15.75">
      <c r="A22" s="66">
        <v>21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88"/>
      <c r="Y22" s="145"/>
      <c r="Z22" s="131"/>
      <c r="AB22" s="44"/>
    </row>
    <row r="23" spans="1:28" ht="15.75">
      <c r="A23" s="62">
        <v>22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87"/>
      <c r="Y23" s="145"/>
      <c r="Z23" s="131"/>
    </row>
    <row r="24" spans="1:28" ht="15.75">
      <c r="A24" s="66">
        <v>23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88"/>
      <c r="Y24" s="145"/>
      <c r="Z24" s="131"/>
    </row>
    <row r="25" spans="1:28" ht="15.75">
      <c r="A25" s="62">
        <v>24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87"/>
      <c r="Y25" s="145"/>
      <c r="Z25" s="131"/>
    </row>
    <row r="26" spans="1:28" ht="15.75">
      <c r="A26" s="66">
        <v>25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88"/>
      <c r="Y26" s="145"/>
      <c r="Z26" s="131"/>
    </row>
    <row r="27" spans="1:28" ht="15.75">
      <c r="A27" s="62">
        <v>26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87"/>
      <c r="Y27" s="146"/>
      <c r="Z27" s="131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88"/>
      <c r="Y28" s="145"/>
      <c r="Z28" s="131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87"/>
      <c r="Y29" s="145"/>
      <c r="Z29" s="131"/>
    </row>
    <row r="30" spans="1:28" ht="15.75">
      <c r="A30" s="66">
        <v>29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88"/>
      <c r="Y30" s="145"/>
      <c r="Z30" s="131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87"/>
      <c r="Y31" s="145"/>
      <c r="Z31" s="131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88"/>
      <c r="Y32" s="145"/>
      <c r="Z32" s="131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87"/>
      <c r="Y33" s="145"/>
      <c r="Z33" s="131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88"/>
      <c r="Y34" s="145"/>
      <c r="Z34" s="131"/>
    </row>
    <row r="35" spans="1:26" ht="15.75">
      <c r="A35" s="62">
        <v>3</v>
      </c>
      <c r="B35" s="63" t="s">
        <v>7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87"/>
      <c r="Y35" s="145"/>
      <c r="Z35" s="131"/>
    </row>
    <row r="36" spans="1:26" ht="15.75">
      <c r="A36" s="66">
        <v>4</v>
      </c>
      <c r="B36" s="67" t="s">
        <v>8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88"/>
      <c r="Y36" s="145"/>
      <c r="Z36" s="132"/>
    </row>
    <row r="37" spans="1:26">
      <c r="A37" s="123" t="s">
        <v>36</v>
      </c>
      <c r="B37" s="123"/>
      <c r="C37" s="79">
        <f>SUM(C21:C36)</f>
        <v>0</v>
      </c>
      <c r="D37" s="79">
        <f t="shared" ref="D37:V37" si="2">SUM(D21:D36)</f>
        <v>0</v>
      </c>
      <c r="E37" s="79">
        <f t="shared" si="2"/>
        <v>0</v>
      </c>
      <c r="F37" s="79">
        <f t="shared" si="2"/>
        <v>0</v>
      </c>
      <c r="G37" s="79">
        <f t="shared" si="2"/>
        <v>0</v>
      </c>
      <c r="H37" s="79">
        <f t="shared" si="2"/>
        <v>0</v>
      </c>
      <c r="I37" s="79">
        <f t="shared" si="2"/>
        <v>0</v>
      </c>
      <c r="J37" s="79">
        <f t="shared" si="2"/>
        <v>0</v>
      </c>
      <c r="K37" s="79">
        <f t="shared" si="2"/>
        <v>0</v>
      </c>
      <c r="L37" s="79">
        <f t="shared" si="2"/>
        <v>0</v>
      </c>
      <c r="M37" s="79">
        <f t="shared" si="2"/>
        <v>0</v>
      </c>
      <c r="N37" s="79">
        <f t="shared" si="2"/>
        <v>0</v>
      </c>
      <c r="O37" s="79">
        <f t="shared" si="2"/>
        <v>0</v>
      </c>
      <c r="P37" s="79">
        <f t="shared" si="2"/>
        <v>0</v>
      </c>
      <c r="Q37" s="79">
        <f t="shared" si="2"/>
        <v>0</v>
      </c>
      <c r="R37" s="79">
        <f t="shared" si="2"/>
        <v>0</v>
      </c>
      <c r="S37" s="79">
        <f t="shared" si="2"/>
        <v>0</v>
      </c>
      <c r="T37" s="79">
        <f>SUM(T21:T36)</f>
        <v>0</v>
      </c>
      <c r="U37" s="79">
        <f t="shared" si="2"/>
        <v>0</v>
      </c>
      <c r="V37" s="79">
        <f t="shared" si="2"/>
        <v>0</v>
      </c>
      <c r="W37" s="79"/>
      <c r="X37" s="81">
        <f>SUM(X21:X36)</f>
        <v>0</v>
      </c>
      <c r="Y37" s="89">
        <f>SUM(Y21:Y36)</f>
        <v>0</v>
      </c>
      <c r="Z37" s="83">
        <f>Y37-X37</f>
        <v>0</v>
      </c>
    </row>
    <row r="38" spans="1:26" ht="31.5" customHeight="1">
      <c r="A38" s="128" t="s">
        <v>37</v>
      </c>
      <c r="B38" s="128"/>
      <c r="C38" s="78">
        <f>SUM(C20,C37)</f>
        <v>0</v>
      </c>
      <c r="D38" s="78">
        <f t="shared" ref="D38:X38" si="3">SUM(D20,D37)</f>
        <v>0</v>
      </c>
      <c r="E38" s="78">
        <f t="shared" si="3"/>
        <v>0</v>
      </c>
      <c r="F38" s="78">
        <f t="shared" si="3"/>
        <v>0</v>
      </c>
      <c r="G38" s="78">
        <f t="shared" si="3"/>
        <v>0</v>
      </c>
      <c r="H38" s="78">
        <f t="shared" si="3"/>
        <v>0</v>
      </c>
      <c r="I38" s="78">
        <f t="shared" si="3"/>
        <v>0</v>
      </c>
      <c r="J38" s="78">
        <f t="shared" si="3"/>
        <v>0</v>
      </c>
      <c r="K38" s="78">
        <f t="shared" si="3"/>
        <v>0</v>
      </c>
      <c r="L38" s="78">
        <f t="shared" si="3"/>
        <v>0</v>
      </c>
      <c r="M38" s="78">
        <f t="shared" si="3"/>
        <v>0</v>
      </c>
      <c r="N38" s="78">
        <f t="shared" si="3"/>
        <v>0</v>
      </c>
      <c r="O38" s="78">
        <f t="shared" si="3"/>
        <v>0</v>
      </c>
      <c r="P38" s="78">
        <f t="shared" si="3"/>
        <v>0</v>
      </c>
      <c r="Q38" s="78">
        <f t="shared" si="3"/>
        <v>0</v>
      </c>
      <c r="R38" s="78">
        <f t="shared" si="3"/>
        <v>0</v>
      </c>
      <c r="S38" s="78">
        <f>SUM(S20,S37)</f>
        <v>0</v>
      </c>
      <c r="T38" s="78">
        <f t="shared" si="3"/>
        <v>0</v>
      </c>
      <c r="U38" s="78">
        <f t="shared" si="3"/>
        <v>0</v>
      </c>
      <c r="V38" s="78">
        <f t="shared" si="3"/>
        <v>0</v>
      </c>
      <c r="W38" s="78"/>
      <c r="X38" s="84">
        <f t="shared" si="3"/>
        <v>0</v>
      </c>
      <c r="Y38" s="84">
        <f>SUM(Y20,Y37)</f>
        <v>0</v>
      </c>
      <c r="Z38" s="85">
        <f>SUM(Z20,Z37)</f>
        <v>0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6">
    <mergeCell ref="A38:B38"/>
    <mergeCell ref="A1:Z1"/>
    <mergeCell ref="Z3:Z19"/>
    <mergeCell ref="A20:B20"/>
    <mergeCell ref="Z21:Z36"/>
    <mergeCell ref="A37:B37"/>
  </mergeCells>
  <conditionalFormatting sqref="Z20:Z21 Z37:Z38">
    <cfRule type="expression" dxfId="1" priority="1">
      <formula>Z20&lt;0</formula>
    </cfRule>
    <cfRule type="expression" dxfId="0" priority="2">
      <formula>Z20&gt;0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2026-08-06T12:31:53Z</dcterms:modified>
</cp:coreProperties>
</file>