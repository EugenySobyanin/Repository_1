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4000" windowHeight="10530" activeTab="1"/>
  </bookViews>
  <sheets>
    <sheet name="Июнь" sheetId="1" r:id="rId1"/>
    <sheet name="Июль" sheetId="4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2" i="4"/>
  <c r="AC42"/>
  <c r="AD42"/>
  <c r="AE42"/>
  <c r="AF42"/>
  <c r="M42"/>
  <c r="AG22"/>
  <c r="AG21"/>
  <c r="AG11"/>
  <c r="AG12"/>
  <c r="AG13"/>
  <c r="AG14"/>
  <c r="AG15"/>
  <c r="AG16"/>
  <c r="AG17"/>
  <c r="AG18"/>
  <c r="AG19"/>
  <c r="AG20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L42"/>
  <c r="N42"/>
  <c r="O42"/>
  <c r="P42"/>
  <c r="Q42"/>
  <c r="R42"/>
  <c r="S42"/>
  <c r="T42"/>
  <c r="U42"/>
  <c r="V42"/>
  <c r="W42"/>
  <c r="X42"/>
  <c r="Y42"/>
  <c r="Z42"/>
  <c r="AA42"/>
  <c r="AG42" l="1"/>
  <c r="K42"/>
  <c r="L22" i="1" l="1"/>
  <c r="M22"/>
  <c r="N22"/>
  <c r="O22"/>
  <c r="P22"/>
  <c r="Q22"/>
  <c r="K22"/>
</calcChain>
</file>

<file path=xl/comments1.xml><?xml version="1.0" encoding="utf-8"?>
<comments xmlns="http://schemas.openxmlformats.org/spreadsheetml/2006/main">
  <authors>
    <author>Собянин Евгений Андреевич (new)</author>
  </authors>
  <commentList>
    <comment ref="AF21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Контроль 100%.
Срыв был недавно, весь день был рядом с Аней, раздрожителей не было, в телефоне не сидел.</t>
        </r>
      </text>
    </comment>
    <comment ref="AF22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Контроль 100%.
Срыв был недавно, весь день был рядом с Аней, раздрожителей не было, в телефоне не сидел.
</t>
        </r>
      </text>
    </comment>
    <comment ref="AF23" authorId="0">
      <text>
        <r>
          <rPr>
            <b/>
            <sz val="9"/>
            <color indexed="81"/>
            <rFont val="Tahoma"/>
            <charset val="1"/>
          </rPr>
          <t>Собянин Евгений Андреевич (new):</t>
        </r>
        <r>
          <rPr>
            <sz val="9"/>
            <color indexed="81"/>
            <rFont val="Tahoma"/>
            <charset val="1"/>
          </rPr>
          <t xml:space="preserve">
Контроль уже не 100%,
но мыслей о срыве не было.
Упражнения, помогающие отогнать навязчивые мысли пока, что работают хорошо.
Отсутствие телефона так же помогает
сохранить концетрацию</t>
        </r>
      </text>
    </comment>
  </commentList>
</comments>
</file>

<file path=xl/sharedStrings.xml><?xml version="1.0" encoding="utf-8"?>
<sst xmlns="http://schemas.openxmlformats.org/spreadsheetml/2006/main" count="165" uniqueCount="35">
  <si>
    <t>СТАТИСТИКА</t>
  </si>
  <si>
    <t>№</t>
  </si>
  <si>
    <t>День недели</t>
  </si>
  <si>
    <t>Дата</t>
  </si>
  <si>
    <t>Медитация</t>
  </si>
  <si>
    <t>Сметы</t>
  </si>
  <si>
    <t>Стройка</t>
  </si>
  <si>
    <t>Codewars</t>
  </si>
  <si>
    <t>Трекер задач</t>
  </si>
  <si>
    <t>Fram 25</t>
  </si>
  <si>
    <t>C</t>
  </si>
  <si>
    <t>Сб</t>
  </si>
  <si>
    <t>+</t>
  </si>
  <si>
    <t>Вс</t>
  </si>
  <si>
    <t>Пн</t>
  </si>
  <si>
    <t>Вт</t>
  </si>
  <si>
    <t>Ср</t>
  </si>
  <si>
    <t>Чт</t>
  </si>
  <si>
    <t>Пт</t>
  </si>
  <si>
    <t>Итого за отчетный период:</t>
  </si>
  <si>
    <t>Зарядка</t>
  </si>
  <si>
    <t>Осанка</t>
  </si>
  <si>
    <t>Встать в 6 утра</t>
  </si>
  <si>
    <t>Встать с первого будильника</t>
  </si>
  <si>
    <t>Утреннее чтение</t>
  </si>
  <si>
    <t>Вовремя прийти на работу</t>
  </si>
  <si>
    <t>Распланировать день</t>
  </si>
  <si>
    <t>Не сидеть в телефоне на работе</t>
  </si>
  <si>
    <t>Подбить таблицу с расходами</t>
  </si>
  <si>
    <t>ИТОГО</t>
  </si>
  <si>
    <t>Отбой до 22:30</t>
  </si>
  <si>
    <t>Чтение перед сном</t>
  </si>
  <si>
    <t>Не сидеть утром в телефоне</t>
  </si>
  <si>
    <t>Спорт (хотя бы одно упражнение)</t>
  </si>
  <si>
    <t>Воздержание</t>
  </si>
</sst>
</file>

<file path=xl/styles.xml><?xml version="1.0" encoding="utf-8"?>
<styleSheet xmlns="http://schemas.openxmlformats.org/spreadsheetml/2006/main">
  <numFmts count="1">
    <numFmt numFmtId="164" formatCode="dd\.mmm"/>
  </numFmts>
  <fonts count="17">
    <font>
      <sz val="11"/>
      <color theme="1"/>
      <name val="Calibri"/>
      <charset val="204"/>
      <scheme val="minor"/>
    </font>
    <font>
      <b/>
      <sz val="20"/>
      <color rgb="FF1C1917"/>
      <name val="Impact"/>
      <family val="2"/>
      <charset val="204"/>
    </font>
    <font>
      <b/>
      <sz val="11"/>
      <color rgb="FF1C1917"/>
      <name val="Courier New"/>
      <family val="3"/>
      <charset val="204"/>
    </font>
    <font>
      <sz val="11"/>
      <color rgb="FF1C1917"/>
      <name val="Courier New"/>
      <family val="3"/>
      <charset val="204"/>
    </font>
    <font>
      <b/>
      <sz val="11"/>
      <color rgb="FF1C1917"/>
      <name val="Courier New"/>
      <family val="3"/>
      <charset val="204"/>
    </font>
    <font>
      <sz val="11"/>
      <color rgb="FF1C1917"/>
      <name val="Courier New"/>
      <family val="3"/>
      <charset val="204"/>
    </font>
    <font>
      <b/>
      <sz val="11"/>
      <color theme="0"/>
      <name val="Courier New"/>
      <family val="3"/>
      <charset val="204"/>
    </font>
    <font>
      <b/>
      <sz val="11"/>
      <color rgb="FFFFFF00"/>
      <name val="Courier New"/>
      <family val="3"/>
      <charset val="204"/>
    </font>
    <font>
      <b/>
      <sz val="11"/>
      <color theme="1" tint="0.14999847407452621"/>
      <name val="Courier New"/>
      <family val="3"/>
      <charset val="204"/>
    </font>
    <font>
      <b/>
      <sz val="20"/>
      <color theme="1" tint="0.34998626667073579"/>
      <name val="Impact"/>
      <family val="2"/>
      <charset val="204"/>
    </font>
    <font>
      <sz val="12"/>
      <name val="Impact"/>
      <family val="2"/>
      <charset val="204"/>
    </font>
    <font>
      <sz val="11"/>
      <color rgb="FF1C1917"/>
      <name val="Impact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680000"/>
      <name val="Courier New"/>
      <family val="3"/>
      <charset val="204"/>
    </font>
  </fonts>
  <fills count="13">
    <fill>
      <patternFill patternType="none"/>
    </fill>
    <fill>
      <patternFill patternType="gray125"/>
    </fill>
    <fill>
      <patternFill patternType="solid">
        <fgColor rgb="FF3A2E2A"/>
        <bgColor indexed="64"/>
      </patternFill>
    </fill>
    <fill>
      <patternFill patternType="solid">
        <fgColor rgb="FFE6A817"/>
        <bgColor indexed="64"/>
      </patternFill>
    </fill>
    <fill>
      <patternFill patternType="solid">
        <fgColor rgb="FFF4EFE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4A3B32"/>
      </left>
      <right/>
      <top style="thin">
        <color rgb="FF4A3B32"/>
      </top>
      <bottom style="thin">
        <color rgb="FF4A3B32"/>
      </bottom>
      <diagonal/>
    </border>
    <border>
      <left style="thin">
        <color rgb="FF4A3B32"/>
      </left>
      <right style="thin">
        <color rgb="FF4A3B32"/>
      </right>
      <top style="thin">
        <color rgb="FF4A3B32"/>
      </top>
      <bottom style="thin">
        <color rgb="FF4A3B32"/>
      </bottom>
      <diagonal/>
    </border>
    <border>
      <left/>
      <right/>
      <top style="thin">
        <color rgb="FF4A3B32"/>
      </top>
      <bottom style="thin">
        <color rgb="FF4A3B32"/>
      </bottom>
      <diagonal/>
    </border>
    <border>
      <left/>
      <right style="thin">
        <color rgb="FF4A3B32"/>
      </right>
      <top style="thin">
        <color rgb="FF4A3B32"/>
      </top>
      <bottom style="thin">
        <color rgb="FF4A3B3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4A3B3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/>
    <xf numFmtId="0" fontId="3" fillId="5" borderId="2" xfId="0" applyFont="1" applyFill="1" applyBorder="1" applyAlignment="1">
      <alignment horizontal="center"/>
    </xf>
    <xf numFmtId="164" fontId="3" fillId="5" borderId="2" xfId="0" applyNumberFormat="1" applyFont="1" applyFill="1" applyBorder="1"/>
    <xf numFmtId="0" fontId="3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3" fillId="6" borderId="5" xfId="0" applyFont="1" applyFill="1" applyBorder="1"/>
    <xf numFmtId="0" fontId="3" fillId="6" borderId="5" xfId="0" applyFont="1" applyFill="1" applyBorder="1" applyAlignment="1">
      <alignment horizontal="center"/>
    </xf>
    <xf numFmtId="164" fontId="3" fillId="6" borderId="5" xfId="0" applyNumberFormat="1" applyFont="1" applyFill="1" applyBorder="1"/>
    <xf numFmtId="0" fontId="3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0" fontId="3" fillId="5" borderId="5" xfId="0" applyFont="1" applyFill="1" applyBorder="1"/>
    <xf numFmtId="0" fontId="3" fillId="5" borderId="5" xfId="0" applyFont="1" applyFill="1" applyBorder="1" applyAlignment="1">
      <alignment horizontal="center"/>
    </xf>
    <xf numFmtId="164" fontId="3" fillId="5" borderId="5" xfId="0" applyNumberFormat="1" applyFont="1" applyFill="1" applyBorder="1"/>
    <xf numFmtId="0" fontId="3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164" fontId="3" fillId="6" borderId="5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4" fillId="4" borderId="5" xfId="0" applyFont="1" applyFill="1" applyBorder="1" applyAlignment="1">
      <alignment horizontal="right"/>
    </xf>
    <xf numFmtId="0" fontId="9" fillId="12" borderId="6" xfId="0" applyFont="1" applyFill="1" applyBorder="1" applyAlignment="1">
      <alignment horizontal="center" vertical="center" wrapText="1"/>
    </xf>
    <xf numFmtId="0" fontId="9" fillId="12" borderId="0" xfId="0" applyFont="1" applyFill="1" applyBorder="1" applyAlignment="1">
      <alignment horizontal="center"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4">
    <dxf>
      <fill>
        <patternFill>
          <bgColor rgb="FFA7FFA7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colors>
    <mruColors>
      <color rgb="FF680000"/>
      <color rgb="FFFF99CC"/>
      <color rgb="FFA7FFA7"/>
      <color rgb="FFB7FFB7"/>
      <color rgb="FF1C1917"/>
      <color rgb="FFE6A817"/>
      <color rgb="FFC1292E"/>
      <color rgb="FF1B4965"/>
      <color rgb="FF4A3B32"/>
      <color rgb="FFF4EF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H9:Q22"/>
  <sheetViews>
    <sheetView topLeftCell="B1" workbookViewId="0">
      <selection activeCell="O30" sqref="O30"/>
    </sheetView>
  </sheetViews>
  <sheetFormatPr defaultColWidth="9.140625" defaultRowHeight="15"/>
  <cols>
    <col min="1" max="7" width="9.140625" style="1"/>
    <col min="8" max="8" width="5" style="1" customWidth="1"/>
    <col min="9" max="9" width="14.7109375" style="1" customWidth="1"/>
    <col min="10" max="10" width="16.85546875" style="1" customWidth="1"/>
    <col min="11" max="11" width="14.28515625" style="1" customWidth="1"/>
    <col min="12" max="13" width="11.28515625" style="1" customWidth="1"/>
    <col min="14" max="14" width="11.5703125" style="1" customWidth="1"/>
    <col min="15" max="15" width="14.5703125" style="1" customWidth="1"/>
    <col min="16" max="17" width="10" style="1" customWidth="1"/>
    <col min="18" max="16384" width="9.140625" style="1"/>
  </cols>
  <sheetData>
    <row r="9" spans="8:17" ht="45" customHeight="1">
      <c r="H9" s="38" t="s">
        <v>0</v>
      </c>
      <c r="I9" s="39"/>
      <c r="J9" s="39"/>
      <c r="K9" s="39"/>
      <c r="L9" s="39"/>
      <c r="M9" s="39"/>
      <c r="N9" s="39"/>
      <c r="O9" s="39"/>
      <c r="P9" s="39"/>
      <c r="Q9" s="40"/>
    </row>
    <row r="10" spans="8:17" ht="30" customHeight="1">
      <c r="H10" s="2" t="s">
        <v>1</v>
      </c>
      <c r="I10" s="3" t="s">
        <v>2</v>
      </c>
      <c r="J10" s="2" t="s">
        <v>3</v>
      </c>
      <c r="K10" s="2" t="s">
        <v>4</v>
      </c>
      <c r="L10" s="2" t="s">
        <v>5</v>
      </c>
      <c r="M10" s="2" t="s">
        <v>6</v>
      </c>
      <c r="N10" s="2" t="s">
        <v>7</v>
      </c>
      <c r="O10" s="3" t="s">
        <v>8</v>
      </c>
      <c r="P10" s="2" t="s">
        <v>9</v>
      </c>
      <c r="Q10" s="2" t="s">
        <v>10</v>
      </c>
    </row>
    <row r="11" spans="8:17">
      <c r="H11" s="5">
        <v>1</v>
      </c>
      <c r="I11" s="6" t="s">
        <v>11</v>
      </c>
      <c r="J11" s="7">
        <v>46193</v>
      </c>
      <c r="K11" s="8" t="s">
        <v>12</v>
      </c>
      <c r="L11" s="8" t="s">
        <v>12</v>
      </c>
      <c r="M11" s="8" t="s">
        <v>12</v>
      </c>
      <c r="N11" s="8" t="s">
        <v>12</v>
      </c>
      <c r="O11" s="8"/>
      <c r="P11" s="8"/>
      <c r="Q11" s="8"/>
    </row>
    <row r="12" spans="8:17">
      <c r="H12" s="5">
        <v>2</v>
      </c>
      <c r="I12" s="6" t="s">
        <v>13</v>
      </c>
      <c r="J12" s="7">
        <v>46194</v>
      </c>
      <c r="K12" s="8" t="s">
        <v>12</v>
      </c>
      <c r="L12" s="8"/>
      <c r="M12" s="8"/>
      <c r="N12" s="8" t="s">
        <v>12</v>
      </c>
      <c r="O12" s="8" t="s">
        <v>12</v>
      </c>
      <c r="P12" s="8"/>
      <c r="Q12" s="8"/>
    </row>
    <row r="13" spans="8:17">
      <c r="H13" s="5">
        <v>3</v>
      </c>
      <c r="I13" s="6" t="s">
        <v>14</v>
      </c>
      <c r="J13" s="7">
        <v>46195</v>
      </c>
      <c r="K13" s="9" t="s">
        <v>12</v>
      </c>
      <c r="L13" s="8"/>
      <c r="M13" s="8"/>
      <c r="N13" s="9" t="s">
        <v>12</v>
      </c>
      <c r="O13" s="8"/>
      <c r="P13" s="8"/>
      <c r="Q13" s="8"/>
    </row>
    <row r="14" spans="8:17">
      <c r="H14" s="5">
        <v>4</v>
      </c>
      <c r="I14" s="6" t="s">
        <v>15</v>
      </c>
      <c r="J14" s="7">
        <v>46196</v>
      </c>
      <c r="K14" s="9"/>
      <c r="L14" s="8" t="s">
        <v>12</v>
      </c>
      <c r="M14" s="8"/>
      <c r="N14" s="9" t="s">
        <v>12</v>
      </c>
      <c r="O14" s="8"/>
      <c r="P14" s="8"/>
      <c r="Q14" s="8"/>
    </row>
    <row r="15" spans="8:17">
      <c r="H15" s="5">
        <v>5</v>
      </c>
      <c r="I15" s="6" t="s">
        <v>16</v>
      </c>
      <c r="J15" s="7">
        <v>46197</v>
      </c>
      <c r="K15" s="8" t="s">
        <v>12</v>
      </c>
      <c r="L15" s="8"/>
      <c r="M15" s="8"/>
      <c r="N15" s="8"/>
      <c r="O15" s="8"/>
      <c r="P15" s="8"/>
      <c r="Q15" s="8"/>
    </row>
    <row r="16" spans="8:17">
      <c r="H16" s="5">
        <v>6</v>
      </c>
      <c r="I16" s="6" t="s">
        <v>17</v>
      </c>
      <c r="J16" s="7">
        <v>46198</v>
      </c>
      <c r="K16" s="8" t="s">
        <v>12</v>
      </c>
      <c r="L16" s="8" t="s">
        <v>12</v>
      </c>
      <c r="M16" s="8" t="s">
        <v>12</v>
      </c>
      <c r="N16" s="8"/>
      <c r="O16" s="8"/>
      <c r="P16" s="8"/>
      <c r="Q16" s="8"/>
    </row>
    <row r="17" spans="8:17">
      <c r="H17" s="5">
        <v>7</v>
      </c>
      <c r="I17" s="6" t="s">
        <v>18</v>
      </c>
      <c r="J17" s="7">
        <v>46199</v>
      </c>
      <c r="K17" s="8"/>
      <c r="L17" s="8" t="s">
        <v>12</v>
      </c>
      <c r="M17" s="8" t="s">
        <v>12</v>
      </c>
      <c r="N17" s="8"/>
      <c r="O17" s="8"/>
      <c r="P17" s="8"/>
      <c r="Q17" s="8"/>
    </row>
    <row r="18" spans="8:17">
      <c r="H18" s="5">
        <v>8</v>
      </c>
      <c r="I18" s="6" t="s">
        <v>11</v>
      </c>
      <c r="J18" s="7">
        <v>46200</v>
      </c>
      <c r="K18" s="8"/>
      <c r="L18" s="8"/>
      <c r="M18" s="8"/>
      <c r="N18" s="8"/>
      <c r="O18" s="8"/>
      <c r="P18" s="8"/>
      <c r="Q18" s="8"/>
    </row>
    <row r="19" spans="8:17">
      <c r="H19" s="5">
        <v>9</v>
      </c>
      <c r="I19" s="6" t="s">
        <v>13</v>
      </c>
      <c r="J19" s="7">
        <v>46201</v>
      </c>
      <c r="K19" s="8" t="s">
        <v>12</v>
      </c>
      <c r="L19" s="8"/>
      <c r="M19" s="8"/>
      <c r="N19" s="8"/>
      <c r="O19" s="8"/>
      <c r="P19" s="8"/>
      <c r="Q19" s="8"/>
    </row>
    <row r="20" spans="8:17">
      <c r="H20" s="5">
        <v>10</v>
      </c>
      <c r="I20" s="6" t="s">
        <v>14</v>
      </c>
      <c r="J20" s="7">
        <v>46202</v>
      </c>
      <c r="K20" s="8"/>
      <c r="L20" s="8"/>
      <c r="M20" s="8"/>
      <c r="N20" s="8"/>
      <c r="O20" s="8"/>
      <c r="P20" s="8"/>
      <c r="Q20" s="8"/>
    </row>
    <row r="21" spans="8:17">
      <c r="H21" s="5">
        <v>11</v>
      </c>
      <c r="I21" s="6" t="s">
        <v>15</v>
      </c>
      <c r="J21" s="7">
        <v>46203</v>
      </c>
      <c r="K21" s="8"/>
      <c r="L21" s="8"/>
      <c r="M21" s="8"/>
      <c r="N21" s="8"/>
      <c r="O21" s="8"/>
      <c r="P21" s="8"/>
      <c r="Q21" s="8"/>
    </row>
    <row r="22" spans="8:17" ht="15.75">
      <c r="H22" s="41" t="s">
        <v>19</v>
      </c>
      <c r="I22" s="42"/>
      <c r="J22" s="43"/>
      <c r="K22" s="4">
        <f>COUNTA(K11:K21)</f>
        <v>6</v>
      </c>
      <c r="L22" s="4">
        <f t="shared" ref="L22:Q22" si="0">COUNTA(L11:L21)</f>
        <v>4</v>
      </c>
      <c r="M22" s="4">
        <f t="shared" si="0"/>
        <v>3</v>
      </c>
      <c r="N22" s="4">
        <f t="shared" si="0"/>
        <v>4</v>
      </c>
      <c r="O22" s="4">
        <f t="shared" si="0"/>
        <v>1</v>
      </c>
      <c r="P22" s="4">
        <f t="shared" si="0"/>
        <v>0</v>
      </c>
      <c r="Q22" s="4">
        <f t="shared" si="0"/>
        <v>0</v>
      </c>
    </row>
  </sheetData>
  <mergeCells count="2">
    <mergeCell ref="H9:Q9"/>
    <mergeCell ref="H22:J22"/>
  </mergeCells>
  <conditionalFormatting sqref="K11:Q21">
    <cfRule type="expression" dxfId="3" priority="2">
      <formula>Q11="+"</formula>
    </cfRule>
  </conditionalFormatting>
  <conditionalFormatting sqref="K22:Q22">
    <cfRule type="expression" dxfId="2" priority="1">
      <formula>Q22="+"</formula>
    </cfRule>
  </conditionalFormatting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H9:AG42"/>
  <sheetViews>
    <sheetView tabSelected="1" topLeftCell="A9" workbookViewId="0">
      <selection activeCell="H9" sqref="H9:AG9"/>
    </sheetView>
  </sheetViews>
  <sheetFormatPr defaultColWidth="9.140625" defaultRowHeight="15"/>
  <cols>
    <col min="1" max="7" width="9.140625" style="1"/>
    <col min="8" max="8" width="5" style="1" customWidth="1"/>
    <col min="9" max="9" width="14.7109375" style="1" customWidth="1"/>
    <col min="10" max="11" width="16.85546875" style="1" customWidth="1"/>
    <col min="12" max="13" width="24.140625" style="1" customWidth="1"/>
    <col min="14" max="17" width="14.28515625" style="1" customWidth="1"/>
    <col min="18" max="18" width="20.5703125" style="1" customWidth="1"/>
    <col min="19" max="20" width="23.28515625" style="1" customWidth="1"/>
    <col min="21" max="22" width="11.28515625" style="1" customWidth="1"/>
    <col min="23" max="23" width="30.28515625" style="1" customWidth="1"/>
    <col min="24" max="24" width="11.5703125" style="1" customWidth="1"/>
    <col min="25" max="25" width="14.5703125" style="1" customWidth="1"/>
    <col min="26" max="27" width="10" style="1" customWidth="1"/>
    <col min="28" max="28" width="28" style="1" customWidth="1"/>
    <col min="29" max="29" width="14.140625" style="1" customWidth="1"/>
    <col min="30" max="30" width="13.85546875" style="1" customWidth="1"/>
    <col min="31" max="32" width="18.42578125" style="1" customWidth="1"/>
    <col min="33" max="33" width="18" style="1" customWidth="1"/>
    <col min="34" max="16384" width="9.140625" style="1"/>
  </cols>
  <sheetData>
    <row r="9" spans="8:33" ht="45" customHeight="1">
      <c r="H9" s="45" t="s">
        <v>0</v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</row>
    <row r="10" spans="8:33" ht="30" customHeight="1">
      <c r="H10" s="10" t="s">
        <v>1</v>
      </c>
      <c r="I10" s="11" t="s">
        <v>2</v>
      </c>
      <c r="J10" s="10" t="s">
        <v>3</v>
      </c>
      <c r="K10" s="18" t="s">
        <v>22</v>
      </c>
      <c r="L10" s="18" t="s">
        <v>23</v>
      </c>
      <c r="M10" s="18" t="s">
        <v>32</v>
      </c>
      <c r="N10" s="19" t="s">
        <v>4</v>
      </c>
      <c r="O10" s="20" t="s">
        <v>24</v>
      </c>
      <c r="P10" s="20" t="s">
        <v>20</v>
      </c>
      <c r="Q10" s="20" t="s">
        <v>21</v>
      </c>
      <c r="R10" s="20" t="s">
        <v>25</v>
      </c>
      <c r="S10" s="22" t="s">
        <v>26</v>
      </c>
      <c r="T10" s="22" t="s">
        <v>28</v>
      </c>
      <c r="U10" s="23" t="s">
        <v>5</v>
      </c>
      <c r="V10" s="23" t="s">
        <v>6</v>
      </c>
      <c r="W10" s="22" t="s">
        <v>27</v>
      </c>
      <c r="X10" s="24" t="s">
        <v>7</v>
      </c>
      <c r="Y10" s="25" t="s">
        <v>8</v>
      </c>
      <c r="Z10" s="24" t="s">
        <v>9</v>
      </c>
      <c r="AA10" s="32" t="s">
        <v>10</v>
      </c>
      <c r="AB10" s="47" t="s">
        <v>33</v>
      </c>
      <c r="AC10" s="48" t="s">
        <v>4</v>
      </c>
      <c r="AD10" s="47" t="s">
        <v>31</v>
      </c>
      <c r="AE10" s="47" t="s">
        <v>30</v>
      </c>
      <c r="AF10" s="47" t="s">
        <v>34</v>
      </c>
      <c r="AG10" s="26" t="s">
        <v>29</v>
      </c>
    </row>
    <row r="11" spans="8:33" ht="15.75">
      <c r="H11" s="27">
        <v>1</v>
      </c>
      <c r="I11" s="28" t="s">
        <v>16</v>
      </c>
      <c r="J11" s="29">
        <v>46204</v>
      </c>
      <c r="K11" s="29"/>
      <c r="L11" s="29"/>
      <c r="M11" s="29"/>
      <c r="N11" s="30"/>
      <c r="O11" s="31"/>
      <c r="P11" s="30"/>
      <c r="Q11" s="30"/>
      <c r="R11" s="30"/>
      <c r="S11" s="31" t="s">
        <v>12</v>
      </c>
      <c r="T11" s="30"/>
      <c r="U11" s="30"/>
      <c r="V11" s="30"/>
      <c r="W11" s="30"/>
      <c r="X11" s="30"/>
      <c r="Y11" s="30"/>
      <c r="Z11" s="30"/>
      <c r="AA11" s="30"/>
      <c r="AB11" s="33"/>
      <c r="AC11" s="33"/>
      <c r="AD11" s="33"/>
      <c r="AE11" s="33"/>
      <c r="AF11" s="33"/>
      <c r="AG11" s="34">
        <f>COUNTA(K11:AF11)</f>
        <v>1</v>
      </c>
    </row>
    <row r="12" spans="8:33" ht="15.75">
      <c r="H12" s="27">
        <v>2</v>
      </c>
      <c r="I12" s="28" t="s">
        <v>17</v>
      </c>
      <c r="J12" s="29">
        <v>46205</v>
      </c>
      <c r="K12" s="29"/>
      <c r="L12" s="29"/>
      <c r="M12" s="29"/>
      <c r="N12" s="30"/>
      <c r="O12" s="30"/>
      <c r="P12" s="30"/>
      <c r="Q12" s="30"/>
      <c r="R12" s="30"/>
      <c r="S12" s="30" t="s">
        <v>12</v>
      </c>
      <c r="T12" s="30"/>
      <c r="U12" s="30" t="s">
        <v>12</v>
      </c>
      <c r="V12" s="30"/>
      <c r="W12" s="30"/>
      <c r="X12" s="30"/>
      <c r="Y12" s="30"/>
      <c r="Z12" s="30"/>
      <c r="AA12" s="30"/>
      <c r="AB12" s="30"/>
      <c r="AC12" s="30"/>
      <c r="AD12" s="30"/>
      <c r="AE12" s="30" t="s">
        <v>12</v>
      </c>
      <c r="AF12" s="30"/>
      <c r="AG12" s="34">
        <f t="shared" ref="AG12:AG41" si="0">COUNTA(K12:AE12)</f>
        <v>3</v>
      </c>
    </row>
    <row r="13" spans="8:33" ht="15.75">
      <c r="H13" s="27">
        <v>3</v>
      </c>
      <c r="I13" s="28" t="s">
        <v>18</v>
      </c>
      <c r="J13" s="29">
        <v>46206</v>
      </c>
      <c r="K13" s="36" t="s">
        <v>12</v>
      </c>
      <c r="L13" s="36" t="s">
        <v>12</v>
      </c>
      <c r="M13" s="36"/>
      <c r="N13" s="31" t="s">
        <v>12</v>
      </c>
      <c r="O13" s="31" t="s">
        <v>12</v>
      </c>
      <c r="P13" s="31" t="s">
        <v>12</v>
      </c>
      <c r="Q13" s="31" t="s">
        <v>12</v>
      </c>
      <c r="R13" s="31" t="s">
        <v>12</v>
      </c>
      <c r="S13" s="31" t="s">
        <v>12</v>
      </c>
      <c r="T13" s="31"/>
      <c r="U13" s="30"/>
      <c r="V13" s="30"/>
      <c r="W13" s="30"/>
      <c r="X13" s="31"/>
      <c r="Y13" s="30"/>
      <c r="Z13" s="30"/>
      <c r="AA13" s="30"/>
      <c r="AB13" s="30"/>
      <c r="AC13" s="30"/>
      <c r="AD13" s="30"/>
      <c r="AE13" s="30"/>
      <c r="AF13" s="30"/>
      <c r="AG13" s="34">
        <f t="shared" si="0"/>
        <v>8</v>
      </c>
    </row>
    <row r="14" spans="8:33" ht="15.75">
      <c r="H14" s="27">
        <v>4</v>
      </c>
      <c r="I14" s="28" t="s">
        <v>11</v>
      </c>
      <c r="J14" s="29">
        <v>46207</v>
      </c>
      <c r="K14" s="37"/>
      <c r="L14" s="37"/>
      <c r="M14" s="37"/>
      <c r="N14" s="31"/>
      <c r="O14" s="31"/>
      <c r="P14" s="31" t="s">
        <v>12</v>
      </c>
      <c r="Q14" s="31" t="s">
        <v>12</v>
      </c>
      <c r="R14" s="31"/>
      <c r="S14" s="31"/>
      <c r="T14" s="31"/>
      <c r="U14" s="30"/>
      <c r="V14" s="30"/>
      <c r="W14" s="30"/>
      <c r="X14" s="31"/>
      <c r="Y14" s="30"/>
      <c r="Z14" s="30"/>
      <c r="AA14" s="30"/>
      <c r="AB14" s="30"/>
      <c r="AC14" s="30"/>
      <c r="AD14" s="30"/>
      <c r="AE14" s="30"/>
      <c r="AF14" s="30"/>
      <c r="AG14" s="34">
        <f t="shared" si="0"/>
        <v>2</v>
      </c>
    </row>
    <row r="15" spans="8:33" ht="15.75">
      <c r="H15" s="27">
        <v>5</v>
      </c>
      <c r="I15" s="28" t="s">
        <v>13</v>
      </c>
      <c r="J15" s="29">
        <v>46208</v>
      </c>
      <c r="K15" s="37"/>
      <c r="L15" s="37"/>
      <c r="M15" s="37"/>
      <c r="N15" s="30"/>
      <c r="O15" s="30" t="s">
        <v>12</v>
      </c>
      <c r="P15" s="30" t="s">
        <v>12</v>
      </c>
      <c r="Q15" s="30" t="s">
        <v>12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4">
        <f t="shared" si="0"/>
        <v>3</v>
      </c>
    </row>
    <row r="16" spans="8:33" ht="15.75">
      <c r="H16" s="27">
        <v>6</v>
      </c>
      <c r="I16" s="28" t="s">
        <v>14</v>
      </c>
      <c r="J16" s="29">
        <v>46209</v>
      </c>
      <c r="K16" s="37" t="s">
        <v>12</v>
      </c>
      <c r="L16" s="37" t="s">
        <v>12</v>
      </c>
      <c r="M16" s="37"/>
      <c r="N16" s="30"/>
      <c r="O16" s="30"/>
      <c r="P16" s="30" t="s">
        <v>12</v>
      </c>
      <c r="Q16" s="30" t="s">
        <v>12</v>
      </c>
      <c r="R16" s="30" t="s">
        <v>12</v>
      </c>
      <c r="S16" s="30" t="s">
        <v>12</v>
      </c>
      <c r="T16" s="30" t="s">
        <v>12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 t="s">
        <v>12</v>
      </c>
      <c r="AF16" s="30"/>
      <c r="AG16" s="34">
        <f t="shared" si="0"/>
        <v>8</v>
      </c>
    </row>
    <row r="17" spans="8:33" ht="15.75">
      <c r="H17" s="27">
        <v>7</v>
      </c>
      <c r="I17" s="28" t="s">
        <v>15</v>
      </c>
      <c r="J17" s="29">
        <v>46210</v>
      </c>
      <c r="K17" s="37"/>
      <c r="L17" s="37" t="s">
        <v>12</v>
      </c>
      <c r="M17" s="37"/>
      <c r="N17" s="30" t="s">
        <v>12</v>
      </c>
      <c r="O17" s="31"/>
      <c r="P17" s="30" t="s">
        <v>12</v>
      </c>
      <c r="Q17" s="30" t="s">
        <v>12</v>
      </c>
      <c r="R17" s="31"/>
      <c r="S17" s="30" t="s">
        <v>12</v>
      </c>
      <c r="T17" s="30"/>
      <c r="U17" s="30"/>
      <c r="V17" s="30"/>
      <c r="W17" s="30" t="s">
        <v>12</v>
      </c>
      <c r="X17" s="30"/>
      <c r="Y17" s="30"/>
      <c r="Z17" s="30"/>
      <c r="AA17" s="30"/>
      <c r="AB17" s="30"/>
      <c r="AC17" s="30"/>
      <c r="AD17" s="30"/>
      <c r="AE17" s="30" t="s">
        <v>12</v>
      </c>
      <c r="AF17" s="30"/>
      <c r="AG17" s="34">
        <f t="shared" si="0"/>
        <v>7</v>
      </c>
    </row>
    <row r="18" spans="8:33" ht="15.75">
      <c r="H18" s="27">
        <v>8</v>
      </c>
      <c r="I18" s="28" t="s">
        <v>16</v>
      </c>
      <c r="J18" s="29">
        <v>46211</v>
      </c>
      <c r="K18" s="37" t="s">
        <v>12</v>
      </c>
      <c r="L18" s="37" t="s">
        <v>12</v>
      </c>
      <c r="M18" s="37"/>
      <c r="N18" s="30" t="s">
        <v>12</v>
      </c>
      <c r="O18" s="31"/>
      <c r="P18" s="30" t="s">
        <v>12</v>
      </c>
      <c r="Q18" s="30" t="s">
        <v>12</v>
      </c>
      <c r="R18" s="31"/>
      <c r="S18" s="30" t="s">
        <v>12</v>
      </c>
      <c r="T18" s="30"/>
      <c r="U18" s="30"/>
      <c r="V18" s="30"/>
      <c r="W18" s="30" t="s">
        <v>12</v>
      </c>
      <c r="X18" s="30" t="s">
        <v>12</v>
      </c>
      <c r="Y18" s="30"/>
      <c r="Z18" s="30"/>
      <c r="AA18" s="30"/>
      <c r="AB18" s="30"/>
      <c r="AC18" s="30"/>
      <c r="AD18" s="30"/>
      <c r="AE18" s="30"/>
      <c r="AF18" s="30"/>
      <c r="AG18" s="34">
        <f t="shared" si="0"/>
        <v>8</v>
      </c>
    </row>
    <row r="19" spans="8:33" ht="15.75">
      <c r="H19" s="27">
        <v>9</v>
      </c>
      <c r="I19" s="28" t="s">
        <v>17</v>
      </c>
      <c r="J19" s="29">
        <v>46212</v>
      </c>
      <c r="K19" s="37"/>
      <c r="L19" s="37"/>
      <c r="M19" s="37"/>
      <c r="N19" s="30"/>
      <c r="O19" s="30"/>
      <c r="P19" s="30"/>
      <c r="Q19" s="30"/>
      <c r="R19" s="30"/>
      <c r="S19" s="15" t="s">
        <v>12</v>
      </c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4">
        <f t="shared" si="0"/>
        <v>1</v>
      </c>
    </row>
    <row r="20" spans="8:33" ht="15.75">
      <c r="H20" s="27">
        <v>10</v>
      </c>
      <c r="I20" s="28" t="s">
        <v>18</v>
      </c>
      <c r="J20" s="29">
        <v>46213</v>
      </c>
      <c r="K20" s="37"/>
      <c r="L20" s="37"/>
      <c r="M20" s="37"/>
      <c r="N20" s="30"/>
      <c r="O20" s="30"/>
      <c r="P20" s="30"/>
      <c r="Q20" s="30"/>
      <c r="R20" s="30"/>
      <c r="S20" s="30" t="s">
        <v>12</v>
      </c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4">
        <f t="shared" si="0"/>
        <v>1</v>
      </c>
    </row>
    <row r="21" spans="8:33" ht="15.75">
      <c r="H21" s="27">
        <v>11</v>
      </c>
      <c r="I21" s="28" t="s">
        <v>11</v>
      </c>
      <c r="J21" s="29">
        <v>46214</v>
      </c>
      <c r="K21" s="37"/>
      <c r="L21" s="37"/>
      <c r="M21" s="37"/>
      <c r="N21" s="31"/>
      <c r="O21" s="31"/>
      <c r="P21" s="31"/>
      <c r="Q21" s="31"/>
      <c r="R21" s="31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15" t="s">
        <v>12</v>
      </c>
      <c r="AG21" s="34">
        <f>COUNTA(K21:AF21)</f>
        <v>1</v>
      </c>
    </row>
    <row r="22" spans="8:33" ht="15.75">
      <c r="H22" s="27">
        <v>12</v>
      </c>
      <c r="I22" s="28" t="s">
        <v>13</v>
      </c>
      <c r="J22" s="29">
        <v>46215</v>
      </c>
      <c r="K22" s="37"/>
      <c r="L22" s="37"/>
      <c r="M22" s="37"/>
      <c r="N22" s="30" t="s">
        <v>12</v>
      </c>
      <c r="O22" s="30" t="s">
        <v>12</v>
      </c>
      <c r="P22" s="30" t="s">
        <v>12</v>
      </c>
      <c r="Q22" s="30" t="s">
        <v>12</v>
      </c>
      <c r="R22" s="31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 t="s">
        <v>12</v>
      </c>
      <c r="AG22" s="34">
        <f>COUNTA(K22:AF22)</f>
        <v>5</v>
      </c>
    </row>
    <row r="23" spans="8:33" ht="15.75">
      <c r="H23" s="27">
        <v>13</v>
      </c>
      <c r="I23" s="28" t="s">
        <v>14</v>
      </c>
      <c r="J23" s="29">
        <v>46216</v>
      </c>
      <c r="K23" s="37" t="s">
        <v>12</v>
      </c>
      <c r="L23" s="37" t="s">
        <v>12</v>
      </c>
      <c r="M23" s="37" t="s">
        <v>12</v>
      </c>
      <c r="N23" s="30" t="s">
        <v>12</v>
      </c>
      <c r="O23" s="30"/>
      <c r="P23" s="30" t="s">
        <v>12</v>
      </c>
      <c r="Q23" s="30" t="s">
        <v>12</v>
      </c>
      <c r="R23" s="30"/>
      <c r="S23" s="30" t="s">
        <v>12</v>
      </c>
      <c r="T23" s="30"/>
      <c r="U23" s="30" t="s">
        <v>12</v>
      </c>
      <c r="V23" s="30"/>
      <c r="W23" s="30" t="s">
        <v>12</v>
      </c>
      <c r="X23" s="30"/>
      <c r="Y23" s="30" t="s">
        <v>12</v>
      </c>
      <c r="Z23" s="30"/>
      <c r="AA23" s="30"/>
      <c r="AB23" s="30"/>
      <c r="AC23" s="30"/>
      <c r="AD23" s="30" t="s">
        <v>12</v>
      </c>
      <c r="AE23" s="30" t="s">
        <v>12</v>
      </c>
      <c r="AF23" s="30" t="s">
        <v>12</v>
      </c>
      <c r="AG23" s="34">
        <f t="shared" si="0"/>
        <v>12</v>
      </c>
    </row>
    <row r="24" spans="8:33" ht="15.75">
      <c r="H24" s="12">
        <v>14</v>
      </c>
      <c r="I24" s="13" t="s">
        <v>15</v>
      </c>
      <c r="J24" s="14">
        <v>46217</v>
      </c>
      <c r="K24" s="35"/>
      <c r="L24" s="35"/>
      <c r="M24" s="35" t="s">
        <v>12</v>
      </c>
      <c r="N24" s="15" t="s">
        <v>12</v>
      </c>
      <c r="O24" s="15"/>
      <c r="P24" s="15" t="s">
        <v>12</v>
      </c>
      <c r="Q24" s="15" t="s">
        <v>12</v>
      </c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34">
        <f t="shared" si="0"/>
        <v>4</v>
      </c>
    </row>
    <row r="25" spans="8:33" ht="15.75">
      <c r="H25" s="12">
        <v>15</v>
      </c>
      <c r="I25" s="13" t="s">
        <v>16</v>
      </c>
      <c r="J25" s="14">
        <v>46218</v>
      </c>
      <c r="K25" s="35"/>
      <c r="L25" s="35"/>
      <c r="M25" s="35"/>
      <c r="N25" s="16"/>
      <c r="O25" s="16"/>
      <c r="P25" s="16"/>
      <c r="Q25" s="16"/>
      <c r="R25" s="16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34">
        <f t="shared" si="0"/>
        <v>0</v>
      </c>
    </row>
    <row r="26" spans="8:33" ht="15.75">
      <c r="H26" s="12">
        <v>16</v>
      </c>
      <c r="I26" s="13" t="s">
        <v>17</v>
      </c>
      <c r="J26" s="14">
        <v>46219</v>
      </c>
      <c r="K26" s="35"/>
      <c r="L26" s="35"/>
      <c r="M26" s="35"/>
      <c r="N26" s="16"/>
      <c r="O26" s="16"/>
      <c r="P26" s="16"/>
      <c r="Q26" s="16"/>
      <c r="R26" s="16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34">
        <f t="shared" si="0"/>
        <v>0</v>
      </c>
    </row>
    <row r="27" spans="8:33" ht="15.75">
      <c r="H27" s="12">
        <v>17</v>
      </c>
      <c r="I27" s="13" t="s">
        <v>18</v>
      </c>
      <c r="J27" s="14">
        <v>46220</v>
      </c>
      <c r="K27" s="35"/>
      <c r="L27" s="35"/>
      <c r="M27" s="3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34">
        <f t="shared" si="0"/>
        <v>0</v>
      </c>
    </row>
    <row r="28" spans="8:33" ht="15.75">
      <c r="H28" s="12">
        <v>18</v>
      </c>
      <c r="I28" s="13" t="s">
        <v>11</v>
      </c>
      <c r="J28" s="14">
        <v>46221</v>
      </c>
      <c r="K28" s="35"/>
      <c r="L28" s="35"/>
      <c r="M28" s="3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34">
        <f t="shared" si="0"/>
        <v>0</v>
      </c>
    </row>
    <row r="29" spans="8:33" ht="15.75">
      <c r="H29" s="12">
        <v>19</v>
      </c>
      <c r="I29" s="13" t="s">
        <v>13</v>
      </c>
      <c r="J29" s="14">
        <v>46222</v>
      </c>
      <c r="K29" s="35"/>
      <c r="L29" s="35"/>
      <c r="M29" s="35"/>
      <c r="N29" s="16"/>
      <c r="O29" s="16"/>
      <c r="P29" s="16"/>
      <c r="Q29" s="16"/>
      <c r="R29" s="16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34">
        <f t="shared" si="0"/>
        <v>0</v>
      </c>
    </row>
    <row r="30" spans="8:33" ht="15.75">
      <c r="H30" s="12">
        <v>20</v>
      </c>
      <c r="I30" s="13" t="s">
        <v>14</v>
      </c>
      <c r="J30" s="14">
        <v>46223</v>
      </c>
      <c r="K30" s="35"/>
      <c r="L30" s="35"/>
      <c r="M30" s="35"/>
      <c r="N30" s="16"/>
      <c r="O30" s="16"/>
      <c r="P30" s="16"/>
      <c r="Q30" s="16"/>
      <c r="R30" s="16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34">
        <f t="shared" si="0"/>
        <v>0</v>
      </c>
    </row>
    <row r="31" spans="8:33" ht="15.75">
      <c r="H31" s="12">
        <v>21</v>
      </c>
      <c r="I31" s="13" t="s">
        <v>15</v>
      </c>
      <c r="J31" s="14">
        <v>46224</v>
      </c>
      <c r="K31" s="35"/>
      <c r="L31" s="35"/>
      <c r="M31" s="3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34">
        <f t="shared" si="0"/>
        <v>0</v>
      </c>
    </row>
    <row r="32" spans="8:33" ht="15.75">
      <c r="H32" s="12">
        <v>22</v>
      </c>
      <c r="I32" s="13" t="s">
        <v>16</v>
      </c>
      <c r="J32" s="14">
        <v>46225</v>
      </c>
      <c r="K32" s="35"/>
      <c r="L32" s="35"/>
      <c r="M32" s="3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34">
        <f t="shared" si="0"/>
        <v>0</v>
      </c>
    </row>
    <row r="33" spans="8:33" ht="15.75">
      <c r="H33" s="12">
        <v>23</v>
      </c>
      <c r="I33" s="13" t="s">
        <v>17</v>
      </c>
      <c r="J33" s="14">
        <v>46226</v>
      </c>
      <c r="K33" s="35"/>
      <c r="L33" s="35"/>
      <c r="M33" s="35"/>
      <c r="N33" s="16"/>
      <c r="O33" s="16"/>
      <c r="P33" s="16"/>
      <c r="Q33" s="16"/>
      <c r="R33" s="16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34">
        <f t="shared" si="0"/>
        <v>0</v>
      </c>
    </row>
    <row r="34" spans="8:33" ht="15.75">
      <c r="H34" s="12">
        <v>24</v>
      </c>
      <c r="I34" s="13" t="s">
        <v>18</v>
      </c>
      <c r="J34" s="14">
        <v>46227</v>
      </c>
      <c r="K34" s="35"/>
      <c r="L34" s="35"/>
      <c r="M34" s="35"/>
      <c r="N34" s="16"/>
      <c r="O34" s="16"/>
      <c r="P34" s="16"/>
      <c r="Q34" s="16"/>
      <c r="R34" s="16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34">
        <f t="shared" si="0"/>
        <v>0</v>
      </c>
    </row>
    <row r="35" spans="8:33" ht="15.75">
      <c r="H35" s="12">
        <v>25</v>
      </c>
      <c r="I35" s="13" t="s">
        <v>11</v>
      </c>
      <c r="J35" s="14">
        <v>46228</v>
      </c>
      <c r="K35" s="35"/>
      <c r="L35" s="35"/>
      <c r="M35" s="3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34">
        <f t="shared" si="0"/>
        <v>0</v>
      </c>
    </row>
    <row r="36" spans="8:33" ht="15.75">
      <c r="H36" s="12">
        <v>26</v>
      </c>
      <c r="I36" s="13" t="s">
        <v>13</v>
      </c>
      <c r="J36" s="14">
        <v>46229</v>
      </c>
      <c r="K36" s="35"/>
      <c r="L36" s="35"/>
      <c r="M36" s="3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34">
        <f t="shared" si="0"/>
        <v>0</v>
      </c>
    </row>
    <row r="37" spans="8:33" ht="15.75">
      <c r="H37" s="12">
        <v>27</v>
      </c>
      <c r="I37" s="13" t="s">
        <v>14</v>
      </c>
      <c r="J37" s="14">
        <v>46230</v>
      </c>
      <c r="K37" s="35"/>
      <c r="L37" s="35"/>
      <c r="M37" s="35"/>
      <c r="N37" s="16"/>
      <c r="O37" s="16"/>
      <c r="P37" s="16"/>
      <c r="Q37" s="16"/>
      <c r="R37" s="16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34">
        <f t="shared" si="0"/>
        <v>0</v>
      </c>
    </row>
    <row r="38" spans="8:33" ht="15.75">
      <c r="H38" s="12">
        <v>28</v>
      </c>
      <c r="I38" s="13" t="s">
        <v>15</v>
      </c>
      <c r="J38" s="14">
        <v>46231</v>
      </c>
      <c r="K38" s="35"/>
      <c r="L38" s="35"/>
      <c r="M38" s="35"/>
      <c r="N38" s="16"/>
      <c r="O38" s="16"/>
      <c r="P38" s="16"/>
      <c r="Q38" s="16"/>
      <c r="R38" s="16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34">
        <f t="shared" si="0"/>
        <v>0</v>
      </c>
    </row>
    <row r="39" spans="8:33" ht="15.75">
      <c r="H39" s="12">
        <v>29</v>
      </c>
      <c r="I39" s="13" t="s">
        <v>16</v>
      </c>
      <c r="J39" s="14">
        <v>46232</v>
      </c>
      <c r="K39" s="35"/>
      <c r="L39" s="35"/>
      <c r="M39" s="3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34">
        <f t="shared" si="0"/>
        <v>0</v>
      </c>
    </row>
    <row r="40" spans="8:33" ht="15.75">
      <c r="H40" s="12">
        <v>30</v>
      </c>
      <c r="I40" s="13" t="s">
        <v>17</v>
      </c>
      <c r="J40" s="14">
        <v>46233</v>
      </c>
      <c r="K40" s="35"/>
      <c r="L40" s="35"/>
      <c r="M40" s="3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34">
        <f t="shared" si="0"/>
        <v>0</v>
      </c>
    </row>
    <row r="41" spans="8:33" ht="15.75">
      <c r="H41" s="12">
        <v>31</v>
      </c>
      <c r="I41" s="13" t="s">
        <v>18</v>
      </c>
      <c r="J41" s="14">
        <v>46234</v>
      </c>
      <c r="K41" s="35"/>
      <c r="L41" s="35"/>
      <c r="M41" s="35"/>
      <c r="N41" s="16"/>
      <c r="O41" s="16"/>
      <c r="P41" s="16"/>
      <c r="Q41" s="16"/>
      <c r="R41" s="16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34">
        <f t="shared" si="0"/>
        <v>0</v>
      </c>
    </row>
    <row r="42" spans="8:33" ht="15.75">
      <c r="H42" s="44" t="s">
        <v>19</v>
      </c>
      <c r="I42" s="44"/>
      <c r="J42" s="44"/>
      <c r="K42" s="21">
        <f>COUNTA(K11:K41)</f>
        <v>4</v>
      </c>
      <c r="L42" s="21">
        <f t="shared" ref="L42:AF42" si="1">COUNTA(L11:L41)</f>
        <v>5</v>
      </c>
      <c r="M42" s="21">
        <f t="shared" si="1"/>
        <v>2</v>
      </c>
      <c r="N42" s="21">
        <f t="shared" si="1"/>
        <v>6</v>
      </c>
      <c r="O42" s="21">
        <f t="shared" si="1"/>
        <v>3</v>
      </c>
      <c r="P42" s="21">
        <f t="shared" si="1"/>
        <v>9</v>
      </c>
      <c r="Q42" s="21">
        <f t="shared" si="1"/>
        <v>9</v>
      </c>
      <c r="R42" s="21">
        <f t="shared" si="1"/>
        <v>2</v>
      </c>
      <c r="S42" s="21">
        <f t="shared" si="1"/>
        <v>9</v>
      </c>
      <c r="T42" s="21">
        <f t="shared" si="1"/>
        <v>1</v>
      </c>
      <c r="U42" s="21">
        <f t="shared" si="1"/>
        <v>2</v>
      </c>
      <c r="V42" s="21">
        <f t="shared" si="1"/>
        <v>0</v>
      </c>
      <c r="W42" s="21">
        <f t="shared" si="1"/>
        <v>3</v>
      </c>
      <c r="X42" s="21">
        <f t="shared" si="1"/>
        <v>1</v>
      </c>
      <c r="Y42" s="21">
        <f t="shared" si="1"/>
        <v>1</v>
      </c>
      <c r="Z42" s="21">
        <f t="shared" si="1"/>
        <v>0</v>
      </c>
      <c r="AA42" s="21">
        <f t="shared" si="1"/>
        <v>0</v>
      </c>
      <c r="AB42" s="21">
        <f t="shared" si="1"/>
        <v>0</v>
      </c>
      <c r="AC42" s="21">
        <f t="shared" si="1"/>
        <v>0</v>
      </c>
      <c r="AD42" s="21">
        <f t="shared" si="1"/>
        <v>1</v>
      </c>
      <c r="AE42" s="21">
        <f t="shared" si="1"/>
        <v>4</v>
      </c>
      <c r="AF42" s="21">
        <f t="shared" si="1"/>
        <v>3</v>
      </c>
      <c r="AG42" s="17">
        <f t="shared" ref="AG42" si="2">COUNTA(AG11:AG41)</f>
        <v>31</v>
      </c>
    </row>
  </sheetData>
  <mergeCells count="2">
    <mergeCell ref="H42:J42"/>
    <mergeCell ref="H9:AG9"/>
  </mergeCells>
  <conditionalFormatting sqref="AG42">
    <cfRule type="expression" dxfId="1" priority="10">
      <formula>AP42="+"</formula>
    </cfRule>
  </conditionalFormatting>
  <conditionalFormatting sqref="K11:AF41">
    <cfRule type="expression" dxfId="0" priority="1">
      <formula>K11&lt;&gt;""</formula>
    </cfRule>
  </conditionalFormatting>
  <pageMargins left="0.7" right="0.7" top="0.75" bottom="0.75" header="0.3" footer="0.3"/>
  <pageSetup paperSize="9" orientation="portrait" horizontalDpi="180" verticalDpi="18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Июнь</vt:lpstr>
      <vt:lpstr>Июль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Собянин Евгений Андреевич (new)</cp:lastModifiedBy>
  <dcterms:created xsi:type="dcterms:W3CDTF">2006-09-28T05:33:00Z</dcterms:created>
  <dcterms:modified xsi:type="dcterms:W3CDTF">2026-07-14T06:29:36Z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BC8F425CFE974C4A9DFFCB8633E46B6C_12</vt:lpwstr>
  </property>
  <property fmtid="{D5CDD505-2E9C-101B-9397-08002B2CF9AE}" pid="3" name="KSOProductBuildVer">
    <vt:lpwstr>1033-12.2.0.20326</vt:lpwstr>
  </property>
</Properties>
</file>