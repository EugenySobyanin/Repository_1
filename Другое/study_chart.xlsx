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5" i="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4"/>
  <c r="AL42" i="4"/>
  <c r="AK42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sharedStrings.xml><?xml version="1.0" encoding="utf-8"?>
<sst xmlns="http://schemas.openxmlformats.org/spreadsheetml/2006/main" count="376" uniqueCount="66">
  <si>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</si>
  <si>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</si>
  <si>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</si>
  <si>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</si>
  <si>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</si>
  <si>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</si>
  <si>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</si>
  <si>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</si>
  <si>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</si>
  <si>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</si>
  <si>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</si>
  <si>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</si>
  <si>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</si>
  <si>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</si>
  <si>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</si>
  <si>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</si>
  <si>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</si>
  <si>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</si>
  <si>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</si>
  <si>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</si>
  <si>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</si>
  <si>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</si>
  <si>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</si>
  <si>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</si>
  <si>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</si>
  <si>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</si>
  <si>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</si>
  <si>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</si>
  <si>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</si>
  <si>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</si>
  <si>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</si>
  <si>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</si>
  <si>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</si>
  <si>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</si>
  <si>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</si>
  <si>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</si>
  <si>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</si>
  <si>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</si>
  <si>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</si>
  <si>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</si>
  <si>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</si>
  <si>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</si>
  <si>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</si>
  <si>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</si>
  <si>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</si>
  <si>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</si>
  <si>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</si>
  <si>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Балл за выполнение</t>
  </si>
  <si>
    <t>Таск трекер</t>
  </si>
  <si>
    <t>IT</t>
  </si>
  <si>
    <t>Приготовить обед на завтра</t>
  </si>
  <si>
    <t>Приготовить одежду на завтра</t>
  </si>
  <si>
    <t>Чтение</t>
  </si>
  <si>
    <t>Вечерняя рутина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</si>
  <si>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</si>
  <si>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</si>
  <si>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</si>
  <si>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</si>
  <si>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Умывание лица</t>
  </si>
  <si>
    <t>Контрль/спорт/здоровье</t>
  </si>
  <si>
    <t>Заввление в суд и в МТС</t>
  </si>
  <si>
    <t>Допы на август</t>
  </si>
  <si>
    <t>Дневные допы</t>
  </si>
  <si>
    <t>-</t>
  </si>
  <si>
    <t>90.00</t>
  </si>
  <si>
    <t>89.8</t>
  </si>
</sst>
</file>

<file path=xl/styles.xml><?xml version="1.0" encoding="utf-8"?>
<styleSheet xmlns="http://schemas.openxmlformats.org/spreadsheetml/2006/main">
  <numFmts count="1">
    <numFmt numFmtId="164" formatCode="dd\.mmm"/>
  </numFmts>
  <fonts count="33">
    <font>
      <sz val="11"/>
      <color theme="1"/>
      <name val="Calibri"/>
      <charset val="204"/>
      <scheme val="minor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6795556505021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b/>
      <sz val="9"/>
      <name val="Tahoma"/>
      <charset val="1"/>
    </font>
    <font>
      <sz val="11"/>
      <color theme="1"/>
      <name val="Tw Cen MT Condensed Extra Bold"/>
      <family val="2"/>
    </font>
    <font>
      <sz val="11"/>
      <color rgb="FF5C650B"/>
      <name val="Tw Cen MT Condensed Extra Bold"/>
      <family val="2"/>
    </font>
    <font>
      <sz val="11"/>
      <color rgb="FFBD07B4"/>
      <name val="Tw Cen MT Condensed Extra Bold"/>
      <family val="2"/>
    </font>
    <font>
      <sz val="11"/>
      <color rgb="FF05254B"/>
      <name val="Tw Cen MT Condensed Extra Bold"/>
      <family val="2"/>
    </font>
    <font>
      <sz val="11"/>
      <color rgb="FF3A0000"/>
      <name val="Tw Cen MT Condensed Extra Bold"/>
      <family val="2"/>
    </font>
    <font>
      <b/>
      <i/>
      <sz val="11"/>
      <color rgb="FF5C650B"/>
      <name val="Tw Cen MT Condensed Extra Bold"/>
      <family val="2"/>
    </font>
    <font>
      <b/>
      <i/>
      <sz val="11"/>
      <color theme="1"/>
      <name val="Tw Cen MT Condensed Extra Bold"/>
      <family val="2"/>
    </font>
    <font>
      <b/>
      <i/>
      <sz val="11"/>
      <color rgb="FFBD07B4"/>
      <name val="Tw Cen MT Condensed Extra Bold"/>
      <family val="2"/>
    </font>
    <font>
      <b/>
      <i/>
      <sz val="11"/>
      <color rgb="FF05254B"/>
      <name val="Tw Cen MT Condensed Extra Bold"/>
      <family val="2"/>
    </font>
    <font>
      <b/>
      <i/>
      <sz val="11"/>
      <color rgb="FF3A0000"/>
      <name val="Tw Cen MT Condensed Extra Bold"/>
      <family val="2"/>
    </font>
    <font>
      <b/>
      <i/>
      <sz val="14"/>
      <color rgb="FF5C650B"/>
      <name val="Tw Cen MT Condensed Extra Bold"/>
      <family val="2"/>
    </font>
    <font>
      <b/>
      <i/>
      <sz val="14"/>
      <color theme="1"/>
      <name val="Tw Cen MT Condensed Extra Bold"/>
      <family val="2"/>
    </font>
    <font>
      <b/>
      <i/>
      <sz val="14"/>
      <color rgb="FFBD07B4"/>
      <name val="Tw Cen MT Condensed Extra Bold"/>
      <family val="2"/>
    </font>
    <font>
      <b/>
      <i/>
      <sz val="14"/>
      <color rgb="FF05254B"/>
      <name val="Tw Cen MT Condensed Extra Bold"/>
      <family val="2"/>
    </font>
    <font>
      <b/>
      <i/>
      <sz val="14"/>
      <color rgb="FF3A0000"/>
      <name val="Tw Cen MT Condensed Extra Bold"/>
      <family val="2"/>
    </font>
    <font>
      <sz val="11"/>
      <name val="Tw Cen MT Condensed Extra Bold"/>
      <family val="2"/>
    </font>
    <font>
      <b/>
      <i/>
      <u/>
      <sz val="11"/>
      <color theme="0"/>
      <name val="Tw Cen MT Condensed Extra Bold"/>
      <family val="2"/>
    </font>
  </fonts>
  <fills count="26">
    <fill>
      <patternFill patternType="none"/>
    </fill>
    <fill>
      <patternFill patternType="gray125"/>
    </fill>
    <fill>
      <patternFill patternType="solid">
        <fgColor rgb="FF3A2E2A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</fills>
  <borders count="24">
    <border>
      <left/>
      <right/>
      <top/>
      <bottom/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0" fillId="2" borderId="0" xfId="0" applyFill="1"/>
    <xf numFmtId="0" fontId="2" fillId="4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6" fillId="9" borderId="4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/>
    </xf>
    <xf numFmtId="0" fontId="7" fillId="10" borderId="4" xfId="0" applyFont="1" applyFill="1" applyBorder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9" fillId="8" borderId="2" xfId="0" applyFont="1" applyFill="1" applyBorder="1"/>
    <xf numFmtId="0" fontId="9" fillId="8" borderId="2" xfId="0" applyFont="1" applyFill="1" applyBorder="1" applyAlignment="1">
      <alignment horizontal="center"/>
    </xf>
    <xf numFmtId="164" fontId="9" fillId="8" borderId="2" xfId="0" applyNumberFormat="1" applyFont="1" applyFill="1" applyBorder="1"/>
    <xf numFmtId="0" fontId="9" fillId="8" borderId="2" xfId="0" applyFont="1" applyFill="1" applyBorder="1" applyAlignment="1">
      <alignment horizontal="center" vertical="center"/>
    </xf>
    <xf numFmtId="0" fontId="9" fillId="8" borderId="5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164" fontId="9" fillId="8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0" fontId="9" fillId="13" borderId="2" xfId="0" applyFont="1" applyFill="1" applyBorder="1"/>
    <xf numFmtId="0" fontId="9" fillId="13" borderId="2" xfId="0" applyFont="1" applyFill="1" applyBorder="1" applyAlignment="1">
      <alignment horizontal="center"/>
    </xf>
    <xf numFmtId="164" fontId="9" fillId="13" borderId="2" xfId="0" applyNumberFormat="1" applyFont="1" applyFill="1" applyBorder="1"/>
    <xf numFmtId="164" fontId="9" fillId="13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 wrapText="1"/>
    </xf>
    <xf numFmtId="0" fontId="9" fillId="8" borderId="9" xfId="0" applyFont="1" applyFill="1" applyBorder="1"/>
    <xf numFmtId="0" fontId="9" fillId="8" borderId="9" xfId="0" applyFont="1" applyFill="1" applyBorder="1" applyAlignment="1">
      <alignment horizontal="center"/>
    </xf>
    <xf numFmtId="164" fontId="9" fillId="8" borderId="9" xfId="0" applyNumberFormat="1" applyFont="1" applyFill="1" applyBorder="1"/>
    <xf numFmtId="0" fontId="9" fillId="8" borderId="9" xfId="0" applyFont="1" applyFill="1" applyBorder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0" fontId="0" fillId="16" borderId="0" xfId="0" applyFill="1"/>
    <xf numFmtId="0" fontId="0" fillId="16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/>
    </xf>
    <xf numFmtId="0" fontId="16" fillId="0" borderId="11" xfId="0" applyFont="1" applyBorder="1"/>
    <xf numFmtId="0" fontId="21" fillId="17" borderId="10" xfId="0" applyFont="1" applyFill="1" applyBorder="1" applyAlignment="1">
      <alignment horizontal="center" vertical="center" wrapText="1"/>
    </xf>
    <xf numFmtId="0" fontId="22" fillId="18" borderId="10" xfId="0" applyFont="1" applyFill="1" applyBorder="1" applyAlignment="1">
      <alignment horizontal="center" vertical="center" wrapText="1"/>
    </xf>
    <xf numFmtId="0" fontId="24" fillId="20" borderId="10" xfId="0" applyFont="1" applyFill="1" applyBorder="1" applyAlignment="1">
      <alignment horizontal="center" vertical="center" wrapText="1"/>
    </xf>
    <xf numFmtId="0" fontId="23" fillId="19" borderId="10" xfId="0" applyFont="1" applyFill="1" applyBorder="1" applyAlignment="1">
      <alignment horizontal="center" vertical="center" wrapText="1"/>
    </xf>
    <xf numFmtId="0" fontId="25" fillId="21" borderId="10" xfId="0" applyFont="1" applyFill="1" applyBorder="1" applyAlignment="1">
      <alignment horizontal="center" vertical="center" wrapText="1"/>
    </xf>
    <xf numFmtId="0" fontId="22" fillId="22" borderId="10" xfId="0" applyFont="1" applyFill="1" applyBorder="1" applyAlignment="1">
      <alignment horizontal="center" vertical="center" wrapText="1"/>
    </xf>
    <xf numFmtId="0" fontId="22" fillId="15" borderId="10" xfId="0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wrapText="1"/>
    </xf>
    <xf numFmtId="0" fontId="16" fillId="0" borderId="11" xfId="0" applyFont="1" applyBorder="1" applyAlignment="1">
      <alignment horizontal="center" vertical="center"/>
    </xf>
    <xf numFmtId="16" fontId="16" fillId="0" borderId="11" xfId="0" applyNumberFormat="1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17" fillId="17" borderId="12" xfId="0" applyFont="1" applyFill="1" applyBorder="1" applyAlignment="1">
      <alignment horizontal="center" vertical="center"/>
    </xf>
    <xf numFmtId="0" fontId="16" fillId="18" borderId="12" xfId="0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center" vertical="center"/>
    </xf>
    <xf numFmtId="0" fontId="19" fillId="20" borderId="12" xfId="0" applyFont="1" applyFill="1" applyBorder="1" applyAlignment="1">
      <alignment horizontal="center" vertical="center"/>
    </xf>
    <xf numFmtId="0" fontId="20" fillId="21" borderId="12" xfId="0" applyFont="1" applyFill="1" applyBorder="1" applyAlignment="1">
      <alignment horizontal="center" vertical="center"/>
    </xf>
    <xf numFmtId="0" fontId="16" fillId="22" borderId="12" xfId="0" applyFont="1" applyFill="1" applyBorder="1" applyAlignment="1">
      <alignment horizontal="center" vertical="center"/>
    </xf>
    <xf numFmtId="0" fontId="16" fillId="15" borderId="12" xfId="0" applyFont="1" applyFill="1" applyBorder="1" applyAlignment="1">
      <alignment horizontal="center" vertical="center"/>
    </xf>
    <xf numFmtId="0" fontId="16" fillId="24" borderId="11" xfId="0" applyFont="1" applyFill="1" applyBorder="1" applyAlignment="1">
      <alignment horizontal="center" vertical="center"/>
    </xf>
    <xf numFmtId="0" fontId="31" fillId="25" borderId="11" xfId="0" applyFont="1" applyFill="1" applyBorder="1" applyAlignment="1">
      <alignment horizontal="center" vertical="center"/>
    </xf>
    <xf numFmtId="0" fontId="16" fillId="0" borderId="11" xfId="0" applyFont="1" applyBorder="1" applyAlignment="1">
      <alignment horizontal="center"/>
    </xf>
    <xf numFmtId="0" fontId="11" fillId="14" borderId="6" xfId="0" applyFont="1" applyFill="1" applyBorder="1" applyAlignment="1">
      <alignment horizontal="center" vertical="center" wrapText="1"/>
    </xf>
    <xf numFmtId="0" fontId="11" fillId="14" borderId="7" xfId="0" applyFont="1" applyFill="1" applyBorder="1" applyAlignment="1">
      <alignment horizontal="center" vertical="center" wrapText="1"/>
    </xf>
    <xf numFmtId="0" fontId="11" fillId="14" borderId="8" xfId="0" applyFont="1" applyFill="1" applyBorder="1" applyAlignment="1">
      <alignment horizontal="center" vertical="center" wrapText="1"/>
    </xf>
    <xf numFmtId="0" fontId="2" fillId="4" borderId="6" xfId="0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1" fillId="3" borderId="1" xfId="0" applyFont="1" applyFill="1" applyBorder="1" applyAlignment="1">
      <alignment horizontal="center" vertical="center" wrapText="1"/>
    </xf>
    <xf numFmtId="0" fontId="1" fillId="3" borderId="0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right"/>
    </xf>
    <xf numFmtId="0" fontId="27" fillId="22" borderId="10" xfId="0" applyFont="1" applyFill="1" applyBorder="1" applyAlignment="1">
      <alignment horizontal="center" vertical="center"/>
    </xf>
    <xf numFmtId="0" fontId="27" fillId="15" borderId="10" xfId="0" applyFont="1" applyFill="1" applyBorder="1" applyAlignment="1">
      <alignment horizontal="center" vertical="center"/>
    </xf>
    <xf numFmtId="0" fontId="32" fillId="23" borderId="12" xfId="0" applyFont="1" applyFill="1" applyBorder="1" applyAlignment="1">
      <alignment horizontal="center" vertical="center"/>
    </xf>
    <xf numFmtId="0" fontId="32" fillId="23" borderId="19" xfId="0" applyFont="1" applyFill="1" applyBorder="1" applyAlignment="1">
      <alignment horizontal="center" vertical="center"/>
    </xf>
    <xf numFmtId="0" fontId="32" fillId="23" borderId="20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29" fillId="20" borderId="21" xfId="0" applyFont="1" applyFill="1" applyBorder="1" applyAlignment="1">
      <alignment horizontal="center" vertical="center"/>
    </xf>
    <xf numFmtId="0" fontId="29" fillId="20" borderId="22" xfId="0" applyFont="1" applyFill="1" applyBorder="1" applyAlignment="1">
      <alignment horizontal="center" vertical="center"/>
    </xf>
    <xf numFmtId="0" fontId="29" fillId="20" borderId="23" xfId="0" applyFont="1" applyFill="1" applyBorder="1" applyAlignment="1">
      <alignment horizontal="center" vertical="center"/>
    </xf>
    <xf numFmtId="0" fontId="26" fillId="17" borderId="10" xfId="0" applyFont="1" applyFill="1" applyBorder="1" applyAlignment="1">
      <alignment horizontal="center" vertical="center"/>
    </xf>
    <xf numFmtId="0" fontId="27" fillId="18" borderId="10" xfId="0" applyFont="1" applyFill="1" applyBorder="1" applyAlignment="1">
      <alignment horizontal="center" vertical="center"/>
    </xf>
    <xf numFmtId="0" fontId="28" fillId="19" borderId="10" xfId="0" applyFont="1" applyFill="1" applyBorder="1" applyAlignment="1">
      <alignment horizontal="center" vertical="center"/>
    </xf>
    <xf numFmtId="0" fontId="30" fillId="21" borderId="10" xfId="0" applyFont="1" applyFill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B6EA86"/>
      <color rgb="FFBCFCCD"/>
      <color rgb="FFB9FFF2"/>
      <color rgb="FFFDDBF7"/>
      <color rgb="FF3A0000"/>
      <color rgb="FFF8B2F8"/>
      <color rgb="FF5C650B"/>
      <color rgb="FFEFF6A8"/>
      <color rgb="FFFCF7B2"/>
      <color rgb="FFBD07B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0" width="16.85546875" style="1" customWidth="1"/>
    <col min="11" max="11" width="14.28515625" style="1" customWidth="1"/>
    <col min="12" max="13" width="11.28515625" style="1" customWidth="1"/>
    <col min="14" max="14" width="11.5703125" style="1" customWidth="1"/>
    <col min="15" max="15" width="14.5703125" style="1" customWidth="1"/>
    <col min="16" max="17" width="10" style="1" customWidth="1"/>
    <col min="18" max="16384" width="9.140625" style="1"/>
  </cols>
  <sheetData>
    <row r="9" spans="8:17" ht="45" customHeight="1">
      <c r="H9" s="63" t="s">
        <v>0</v>
      </c>
      <c r="I9" s="64"/>
      <c r="J9" s="64"/>
      <c r="K9" s="64"/>
      <c r="L9" s="64"/>
      <c r="M9" s="64"/>
      <c r="N9" s="64"/>
      <c r="O9" s="64"/>
      <c r="P9" s="64"/>
      <c r="Q9" s="65"/>
    </row>
    <row r="10" spans="8:17" ht="30" customHeight="1">
      <c r="H10" s="30" t="s">
        <v>1</v>
      </c>
      <c r="I10" s="31" t="s">
        <v>2</v>
      </c>
      <c r="J10" s="30" t="s">
        <v>3</v>
      </c>
      <c r="K10" s="30" t="s">
        <v>4</v>
      </c>
      <c r="L10" s="30" t="s">
        <v>5</v>
      </c>
      <c r="M10" s="30" t="s">
        <v>6</v>
      </c>
      <c r="N10" s="30" t="s">
        <v>7</v>
      </c>
      <c r="O10" s="31" t="s">
        <v>8</v>
      </c>
      <c r="P10" s="30" t="s">
        <v>9</v>
      </c>
      <c r="Q10" s="30" t="s">
        <v>10</v>
      </c>
    </row>
    <row r="11" spans="8:17">
      <c r="H11" s="32">
        <v>1</v>
      </c>
      <c r="I11" s="33" t="s">
        <v>11</v>
      </c>
      <c r="J11" s="34">
        <v>46193</v>
      </c>
      <c r="K11" s="35" t="s">
        <v>12</v>
      </c>
      <c r="L11" s="35" t="s">
        <v>12</v>
      </c>
      <c r="M11" s="35" t="s">
        <v>12</v>
      </c>
      <c r="N11" s="35" t="s">
        <v>12</v>
      </c>
      <c r="O11" s="35"/>
      <c r="P11" s="35"/>
      <c r="Q11" s="35"/>
    </row>
    <row r="12" spans="8:17">
      <c r="H12" s="32">
        <v>2</v>
      </c>
      <c r="I12" s="33" t="s">
        <v>13</v>
      </c>
      <c r="J12" s="34">
        <v>46194</v>
      </c>
      <c r="K12" s="35" t="s">
        <v>12</v>
      </c>
      <c r="L12" s="35"/>
      <c r="M12" s="35"/>
      <c r="N12" s="35" t="s">
        <v>12</v>
      </c>
      <c r="O12" s="35" t="s">
        <v>12</v>
      </c>
      <c r="P12" s="35"/>
      <c r="Q12" s="35"/>
    </row>
    <row r="13" spans="8:17">
      <c r="H13" s="32">
        <v>3</v>
      </c>
      <c r="I13" s="33" t="s">
        <v>14</v>
      </c>
      <c r="J13" s="34">
        <v>46195</v>
      </c>
      <c r="K13" s="35" t="s">
        <v>12</v>
      </c>
      <c r="L13" s="35"/>
      <c r="M13" s="35"/>
      <c r="N13" s="35" t="s">
        <v>12</v>
      </c>
      <c r="O13" s="35"/>
      <c r="P13" s="35"/>
      <c r="Q13" s="35"/>
    </row>
    <row r="14" spans="8:17">
      <c r="H14" s="32">
        <v>4</v>
      </c>
      <c r="I14" s="33" t="s">
        <v>15</v>
      </c>
      <c r="J14" s="34">
        <v>46196</v>
      </c>
      <c r="K14" s="35"/>
      <c r="L14" s="35" t="s">
        <v>12</v>
      </c>
      <c r="M14" s="35"/>
      <c r="N14" s="35" t="s">
        <v>12</v>
      </c>
      <c r="O14" s="35"/>
      <c r="P14" s="35"/>
      <c r="Q14" s="35"/>
    </row>
    <row r="15" spans="8:17">
      <c r="H15" s="32">
        <v>5</v>
      </c>
      <c r="I15" s="33" t="s">
        <v>16</v>
      </c>
      <c r="J15" s="34">
        <v>46197</v>
      </c>
      <c r="K15" s="35" t="s">
        <v>12</v>
      </c>
      <c r="L15" s="35"/>
      <c r="M15" s="35"/>
      <c r="N15" s="35"/>
      <c r="O15" s="35"/>
      <c r="P15" s="35"/>
      <c r="Q15" s="35"/>
    </row>
    <row r="16" spans="8:17">
      <c r="H16" s="32">
        <v>6</v>
      </c>
      <c r="I16" s="33" t="s">
        <v>17</v>
      </c>
      <c r="J16" s="34">
        <v>46198</v>
      </c>
      <c r="K16" s="35" t="s">
        <v>12</v>
      </c>
      <c r="L16" s="35" t="s">
        <v>12</v>
      </c>
      <c r="M16" s="35" t="s">
        <v>12</v>
      </c>
      <c r="N16" s="35"/>
      <c r="O16" s="35"/>
      <c r="P16" s="35"/>
      <c r="Q16" s="35"/>
    </row>
    <row r="17" spans="8:17">
      <c r="H17" s="32">
        <v>7</v>
      </c>
      <c r="I17" s="33" t="s">
        <v>18</v>
      </c>
      <c r="J17" s="34">
        <v>46199</v>
      </c>
      <c r="K17" s="35"/>
      <c r="L17" s="35" t="s">
        <v>12</v>
      </c>
      <c r="M17" s="35" t="s">
        <v>12</v>
      </c>
      <c r="N17" s="35"/>
      <c r="O17" s="35"/>
      <c r="P17" s="35"/>
      <c r="Q17" s="35"/>
    </row>
    <row r="18" spans="8:17">
      <c r="H18" s="32">
        <v>8</v>
      </c>
      <c r="I18" s="33" t="s">
        <v>11</v>
      </c>
      <c r="J18" s="34">
        <v>46200</v>
      </c>
      <c r="K18" s="35"/>
      <c r="L18" s="35"/>
      <c r="M18" s="35"/>
      <c r="N18" s="35"/>
      <c r="O18" s="35"/>
      <c r="P18" s="35"/>
      <c r="Q18" s="35"/>
    </row>
    <row r="19" spans="8:17">
      <c r="H19" s="32">
        <v>9</v>
      </c>
      <c r="I19" s="33" t="s">
        <v>13</v>
      </c>
      <c r="J19" s="34">
        <v>46201</v>
      </c>
      <c r="K19" s="35" t="s">
        <v>12</v>
      </c>
      <c r="L19" s="35"/>
      <c r="M19" s="35"/>
      <c r="N19" s="35"/>
      <c r="O19" s="35"/>
      <c r="P19" s="35"/>
      <c r="Q19" s="35"/>
    </row>
    <row r="20" spans="8:17">
      <c r="H20" s="32">
        <v>10</v>
      </c>
      <c r="I20" s="33" t="s">
        <v>14</v>
      </c>
      <c r="J20" s="34">
        <v>46202</v>
      </c>
      <c r="K20" s="35"/>
      <c r="L20" s="35"/>
      <c r="M20" s="35"/>
      <c r="N20" s="35"/>
      <c r="O20" s="35"/>
      <c r="P20" s="35"/>
      <c r="Q20" s="35"/>
    </row>
    <row r="21" spans="8:17">
      <c r="H21" s="32">
        <v>11</v>
      </c>
      <c r="I21" s="33" t="s">
        <v>15</v>
      </c>
      <c r="J21" s="34">
        <v>46203</v>
      </c>
      <c r="K21" s="35"/>
      <c r="L21" s="35"/>
      <c r="M21" s="35"/>
      <c r="N21" s="35"/>
      <c r="O21" s="35"/>
      <c r="P21" s="35"/>
      <c r="Q21" s="35"/>
    </row>
    <row r="22" spans="8:17" ht="15.75">
      <c r="H22" s="66" t="s">
        <v>19</v>
      </c>
      <c r="I22" s="67"/>
      <c r="J22" s="68"/>
      <c r="K22" s="36">
        <f>COUNTA(K11:K21)</f>
        <v>6</v>
      </c>
      <c r="L22" s="36">
        <f t="shared" ref="L22:Q22" si="0">COUNTA(L11:L21)</f>
        <v>4</v>
      </c>
      <c r="M22" s="36">
        <f t="shared" si="0"/>
        <v>3</v>
      </c>
      <c r="N22" s="36">
        <f t="shared" si="0"/>
        <v>4</v>
      </c>
      <c r="O22" s="36">
        <f t="shared" si="0"/>
        <v>1</v>
      </c>
      <c r="P22" s="36">
        <f t="shared" si="0"/>
        <v>0</v>
      </c>
      <c r="Q22" s="36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1"/>
    <col min="8" max="8" width="5" style="1" customWidth="1"/>
    <col min="9" max="9" width="14.7109375" style="1" customWidth="1"/>
    <col min="10" max="11" width="16.85546875" style="1" customWidth="1"/>
    <col min="12" max="13" width="24.140625" style="1" customWidth="1"/>
    <col min="14" max="17" width="14.28515625" style="1" customWidth="1"/>
    <col min="18" max="18" width="20.5703125" style="1" customWidth="1"/>
    <col min="19" max="20" width="23.28515625" style="1" customWidth="1"/>
    <col min="21" max="22" width="11.28515625" style="1" customWidth="1"/>
    <col min="23" max="23" width="30.28515625" style="1" customWidth="1"/>
    <col min="24" max="24" width="11.5703125" style="1" customWidth="1"/>
    <col min="25" max="25" width="14.5703125" style="1" customWidth="1"/>
    <col min="26" max="27" width="10" style="1" customWidth="1"/>
    <col min="28" max="28" width="28" style="1" customWidth="1"/>
    <col min="29" max="29" width="14.140625" style="1" customWidth="1"/>
    <col min="30" max="30" width="13.85546875" style="1" customWidth="1"/>
    <col min="31" max="37" width="18.42578125" style="1" customWidth="1"/>
    <col min="38" max="38" width="18" style="1" customWidth="1"/>
    <col min="39" max="16384" width="9.140625" style="1"/>
  </cols>
  <sheetData>
    <row r="9" spans="8:38" ht="45" customHeight="1">
      <c r="H9" s="69" t="s">
        <v>0</v>
      </c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70"/>
      <c r="AF9" s="70"/>
      <c r="AG9" s="70"/>
      <c r="AH9" s="70"/>
      <c r="AI9" s="70"/>
      <c r="AJ9" s="70"/>
      <c r="AK9" s="70"/>
      <c r="AL9" s="70"/>
    </row>
    <row r="10" spans="8:38" ht="30" customHeight="1">
      <c r="H10" s="2" t="s">
        <v>1</v>
      </c>
      <c r="I10" s="3" t="s">
        <v>2</v>
      </c>
      <c r="J10" s="2" t="s">
        <v>3</v>
      </c>
      <c r="K10" s="4" t="s">
        <v>20</v>
      </c>
      <c r="L10" s="4" t="s">
        <v>21</v>
      </c>
      <c r="M10" s="4" t="s">
        <v>22</v>
      </c>
      <c r="N10" s="5" t="s">
        <v>4</v>
      </c>
      <c r="O10" s="6" t="s">
        <v>23</v>
      </c>
      <c r="P10" s="6" t="s">
        <v>24</v>
      </c>
      <c r="Q10" s="6" t="s">
        <v>25</v>
      </c>
      <c r="R10" s="6" t="s">
        <v>26</v>
      </c>
      <c r="S10" s="7" t="s">
        <v>27</v>
      </c>
      <c r="T10" s="7" t="s">
        <v>28</v>
      </c>
      <c r="U10" s="8" t="s">
        <v>5</v>
      </c>
      <c r="V10" s="8" t="s">
        <v>6</v>
      </c>
      <c r="W10" s="7" t="s">
        <v>29</v>
      </c>
      <c r="X10" s="9" t="s">
        <v>7</v>
      </c>
      <c r="Y10" s="10" t="s">
        <v>8</v>
      </c>
      <c r="Z10" s="9" t="s">
        <v>9</v>
      </c>
      <c r="AA10" s="11" t="s">
        <v>10</v>
      </c>
      <c r="AB10" s="12" t="s">
        <v>30</v>
      </c>
      <c r="AC10" s="13" t="s">
        <v>4</v>
      </c>
      <c r="AD10" s="12" t="s">
        <v>31</v>
      </c>
      <c r="AE10" s="12" t="s">
        <v>32</v>
      </c>
      <c r="AF10" s="12" t="s">
        <v>33</v>
      </c>
      <c r="AG10" s="14" t="s">
        <v>34</v>
      </c>
      <c r="AH10" s="14" t="s">
        <v>34</v>
      </c>
      <c r="AI10" s="14" t="s">
        <v>34</v>
      </c>
      <c r="AJ10" s="14" t="s">
        <v>34</v>
      </c>
      <c r="AK10" s="14" t="s">
        <v>34</v>
      </c>
      <c r="AL10" s="15" t="s">
        <v>35</v>
      </c>
    </row>
    <row r="11" spans="8:38" ht="15.75">
      <c r="H11" s="16">
        <v>1</v>
      </c>
      <c r="I11" s="17" t="s">
        <v>16</v>
      </c>
      <c r="J11" s="18">
        <v>46204</v>
      </c>
      <c r="K11" s="18"/>
      <c r="L11" s="18"/>
      <c r="M11" s="18"/>
      <c r="N11" s="19"/>
      <c r="O11" s="19"/>
      <c r="P11" s="19"/>
      <c r="Q11" s="19"/>
      <c r="R11" s="19"/>
      <c r="S11" s="19" t="s">
        <v>12</v>
      </c>
      <c r="T11" s="19"/>
      <c r="U11" s="19"/>
      <c r="V11" s="19"/>
      <c r="W11" s="19"/>
      <c r="X11" s="19"/>
      <c r="Y11" s="19"/>
      <c r="Z11" s="19"/>
      <c r="AA11" s="19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1">
        <f>COUNTA(K11:AK11)</f>
        <v>1</v>
      </c>
    </row>
    <row r="12" spans="8:38" ht="15.75">
      <c r="H12" s="16">
        <v>2</v>
      </c>
      <c r="I12" s="17" t="s">
        <v>17</v>
      </c>
      <c r="J12" s="18">
        <v>46205</v>
      </c>
      <c r="K12" s="18"/>
      <c r="L12" s="18"/>
      <c r="M12" s="18"/>
      <c r="N12" s="19"/>
      <c r="O12" s="19"/>
      <c r="P12" s="19"/>
      <c r="Q12" s="19"/>
      <c r="R12" s="19"/>
      <c r="S12" s="19" t="s">
        <v>12</v>
      </c>
      <c r="T12" s="19"/>
      <c r="U12" s="19" t="s">
        <v>12</v>
      </c>
      <c r="V12" s="19"/>
      <c r="W12" s="19"/>
      <c r="X12" s="19"/>
      <c r="Y12" s="19"/>
      <c r="Z12" s="19"/>
      <c r="AA12" s="19"/>
      <c r="AB12" s="19"/>
      <c r="AC12" s="19"/>
      <c r="AD12" s="19"/>
      <c r="AE12" s="19" t="s">
        <v>12</v>
      </c>
      <c r="AF12" s="19"/>
      <c r="AG12" s="19"/>
      <c r="AH12" s="19"/>
      <c r="AI12" s="19"/>
      <c r="AJ12" s="19"/>
      <c r="AK12" s="19"/>
      <c r="AL12" s="21">
        <f t="shared" ref="AL12:AL41" si="0">COUNTA(K12:AK12)</f>
        <v>3</v>
      </c>
    </row>
    <row r="13" spans="8:38" ht="15.75">
      <c r="H13" s="16">
        <v>3</v>
      </c>
      <c r="I13" s="17" t="s">
        <v>18</v>
      </c>
      <c r="J13" s="18">
        <v>46206</v>
      </c>
      <c r="K13" s="22" t="s">
        <v>12</v>
      </c>
      <c r="L13" s="22" t="s">
        <v>12</v>
      </c>
      <c r="M13" s="22"/>
      <c r="N13" s="19" t="s">
        <v>12</v>
      </c>
      <c r="O13" s="19" t="s">
        <v>12</v>
      </c>
      <c r="P13" s="19" t="s">
        <v>12</v>
      </c>
      <c r="Q13" s="19" t="s">
        <v>12</v>
      </c>
      <c r="R13" s="19" t="s">
        <v>12</v>
      </c>
      <c r="S13" s="19" t="s">
        <v>12</v>
      </c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21">
        <f t="shared" si="0"/>
        <v>8</v>
      </c>
    </row>
    <row r="14" spans="8:38" ht="15.75">
      <c r="H14" s="16">
        <v>4</v>
      </c>
      <c r="I14" s="17" t="s">
        <v>11</v>
      </c>
      <c r="J14" s="18">
        <v>46207</v>
      </c>
      <c r="K14" s="22"/>
      <c r="L14" s="22"/>
      <c r="M14" s="22"/>
      <c r="N14" s="19"/>
      <c r="O14" s="19"/>
      <c r="P14" s="19" t="s">
        <v>12</v>
      </c>
      <c r="Q14" s="19" t="s">
        <v>12</v>
      </c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21">
        <f t="shared" si="0"/>
        <v>2</v>
      </c>
    </row>
    <row r="15" spans="8:38" ht="15.75">
      <c r="H15" s="16">
        <v>5</v>
      </c>
      <c r="I15" s="17" t="s">
        <v>13</v>
      </c>
      <c r="J15" s="18">
        <v>46208</v>
      </c>
      <c r="K15" s="22"/>
      <c r="L15" s="22"/>
      <c r="M15" s="22"/>
      <c r="N15" s="19"/>
      <c r="O15" s="19" t="s">
        <v>12</v>
      </c>
      <c r="P15" s="19" t="s">
        <v>12</v>
      </c>
      <c r="Q15" s="19" t="s">
        <v>12</v>
      </c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21">
        <f t="shared" si="0"/>
        <v>3</v>
      </c>
    </row>
    <row r="16" spans="8:38" ht="15.75">
      <c r="H16" s="16">
        <v>6</v>
      </c>
      <c r="I16" s="17" t="s">
        <v>14</v>
      </c>
      <c r="J16" s="18">
        <v>46209</v>
      </c>
      <c r="K16" s="22" t="s">
        <v>12</v>
      </c>
      <c r="L16" s="22" t="s">
        <v>12</v>
      </c>
      <c r="M16" s="22"/>
      <c r="N16" s="19"/>
      <c r="O16" s="19"/>
      <c r="P16" s="19" t="s">
        <v>12</v>
      </c>
      <c r="Q16" s="19" t="s">
        <v>12</v>
      </c>
      <c r="R16" s="19" t="s">
        <v>12</v>
      </c>
      <c r="S16" s="19" t="s">
        <v>12</v>
      </c>
      <c r="T16" s="19" t="s">
        <v>12</v>
      </c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 t="s">
        <v>12</v>
      </c>
      <c r="AF16" s="19"/>
      <c r="AG16" s="19"/>
      <c r="AH16" s="19"/>
      <c r="AI16" s="19"/>
      <c r="AJ16" s="19"/>
      <c r="AK16" s="19"/>
      <c r="AL16" s="21">
        <f t="shared" si="0"/>
        <v>8</v>
      </c>
    </row>
    <row r="17" spans="8:38" ht="15.75">
      <c r="H17" s="16">
        <v>7</v>
      </c>
      <c r="I17" s="17" t="s">
        <v>15</v>
      </c>
      <c r="J17" s="18">
        <v>46210</v>
      </c>
      <c r="K17" s="22"/>
      <c r="L17" s="22" t="s">
        <v>12</v>
      </c>
      <c r="M17" s="22"/>
      <c r="N17" s="19" t="s">
        <v>12</v>
      </c>
      <c r="O17" s="19"/>
      <c r="P17" s="19" t="s">
        <v>12</v>
      </c>
      <c r="Q17" s="19" t="s">
        <v>12</v>
      </c>
      <c r="R17" s="19"/>
      <c r="S17" s="19" t="s">
        <v>12</v>
      </c>
      <c r="T17" s="19"/>
      <c r="U17" s="19"/>
      <c r="V17" s="19"/>
      <c r="W17" s="19" t="s">
        <v>12</v>
      </c>
      <c r="X17" s="19"/>
      <c r="Y17" s="19"/>
      <c r="Z17" s="19"/>
      <c r="AA17" s="19"/>
      <c r="AB17" s="19"/>
      <c r="AC17" s="19"/>
      <c r="AD17" s="19"/>
      <c r="AE17" s="19" t="s">
        <v>12</v>
      </c>
      <c r="AF17" s="19"/>
      <c r="AG17" s="19"/>
      <c r="AH17" s="19"/>
      <c r="AI17" s="19"/>
      <c r="AJ17" s="19"/>
      <c r="AK17" s="19"/>
      <c r="AL17" s="21">
        <f t="shared" si="0"/>
        <v>7</v>
      </c>
    </row>
    <row r="18" spans="8:38" ht="15.75">
      <c r="H18" s="16">
        <v>8</v>
      </c>
      <c r="I18" s="17" t="s">
        <v>16</v>
      </c>
      <c r="J18" s="18">
        <v>46211</v>
      </c>
      <c r="K18" s="22" t="s">
        <v>12</v>
      </c>
      <c r="L18" s="22" t="s">
        <v>12</v>
      </c>
      <c r="M18" s="22"/>
      <c r="N18" s="19" t="s">
        <v>12</v>
      </c>
      <c r="O18" s="19"/>
      <c r="P18" s="19" t="s">
        <v>12</v>
      </c>
      <c r="Q18" s="19" t="s">
        <v>12</v>
      </c>
      <c r="R18" s="19"/>
      <c r="S18" s="19" t="s">
        <v>12</v>
      </c>
      <c r="T18" s="19"/>
      <c r="U18" s="19"/>
      <c r="V18" s="19"/>
      <c r="W18" s="19" t="s">
        <v>12</v>
      </c>
      <c r="X18" s="19" t="s">
        <v>12</v>
      </c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21">
        <f t="shared" si="0"/>
        <v>8</v>
      </c>
    </row>
    <row r="19" spans="8:38" ht="15.75">
      <c r="H19" s="16">
        <v>9</v>
      </c>
      <c r="I19" s="17" t="s">
        <v>17</v>
      </c>
      <c r="J19" s="18">
        <v>46212</v>
      </c>
      <c r="K19" s="22"/>
      <c r="L19" s="22"/>
      <c r="M19" s="22"/>
      <c r="N19" s="19"/>
      <c r="O19" s="19"/>
      <c r="P19" s="19"/>
      <c r="Q19" s="19"/>
      <c r="R19" s="19"/>
      <c r="S19" s="23" t="s">
        <v>12</v>
      </c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21">
        <f t="shared" si="0"/>
        <v>1</v>
      </c>
    </row>
    <row r="20" spans="8:38" ht="15.75">
      <c r="H20" s="16">
        <v>10</v>
      </c>
      <c r="I20" s="17" t="s">
        <v>18</v>
      </c>
      <c r="J20" s="18">
        <v>46213</v>
      </c>
      <c r="K20" s="22"/>
      <c r="L20" s="22"/>
      <c r="M20" s="22"/>
      <c r="N20" s="19"/>
      <c r="O20" s="19"/>
      <c r="P20" s="19"/>
      <c r="Q20" s="19"/>
      <c r="R20" s="19"/>
      <c r="S20" s="19" t="s">
        <v>12</v>
      </c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21">
        <f t="shared" si="0"/>
        <v>1</v>
      </c>
    </row>
    <row r="21" spans="8:38" ht="15.75">
      <c r="H21" s="16">
        <v>11</v>
      </c>
      <c r="I21" s="17" t="s">
        <v>11</v>
      </c>
      <c r="J21" s="18">
        <v>46214</v>
      </c>
      <c r="K21" s="22"/>
      <c r="L21" s="22"/>
      <c r="M21" s="22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23" t="s">
        <v>12</v>
      </c>
      <c r="AG21" s="19"/>
      <c r="AH21" s="19"/>
      <c r="AI21" s="19"/>
      <c r="AJ21" s="19"/>
      <c r="AK21" s="19"/>
      <c r="AL21" s="21">
        <f t="shared" si="0"/>
        <v>1</v>
      </c>
    </row>
    <row r="22" spans="8:38" ht="15.75">
      <c r="H22" s="16">
        <v>12</v>
      </c>
      <c r="I22" s="17" t="s">
        <v>13</v>
      </c>
      <c r="J22" s="18">
        <v>46215</v>
      </c>
      <c r="K22" s="22"/>
      <c r="L22" s="22"/>
      <c r="M22" s="22"/>
      <c r="N22" s="19" t="s">
        <v>12</v>
      </c>
      <c r="O22" s="19" t="s">
        <v>12</v>
      </c>
      <c r="P22" s="19" t="s">
        <v>12</v>
      </c>
      <c r="Q22" s="19" t="s">
        <v>12</v>
      </c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 t="s">
        <v>12</v>
      </c>
      <c r="AG22" s="19"/>
      <c r="AH22" s="19"/>
      <c r="AI22" s="19"/>
      <c r="AJ22" s="19"/>
      <c r="AK22" s="19"/>
      <c r="AL22" s="21">
        <f t="shared" si="0"/>
        <v>5</v>
      </c>
    </row>
    <row r="23" spans="8:38" ht="15.75">
      <c r="H23" s="16">
        <v>13</v>
      </c>
      <c r="I23" s="17" t="s">
        <v>14</v>
      </c>
      <c r="J23" s="18">
        <v>46216</v>
      </c>
      <c r="K23" s="22" t="s">
        <v>12</v>
      </c>
      <c r="L23" s="22" t="s">
        <v>12</v>
      </c>
      <c r="M23" s="22" t="s">
        <v>12</v>
      </c>
      <c r="N23" s="19" t="s">
        <v>12</v>
      </c>
      <c r="O23" s="19"/>
      <c r="P23" s="19" t="s">
        <v>12</v>
      </c>
      <c r="Q23" s="19" t="s">
        <v>12</v>
      </c>
      <c r="R23" s="19"/>
      <c r="S23" s="19" t="s">
        <v>12</v>
      </c>
      <c r="T23" s="19"/>
      <c r="U23" s="19" t="s">
        <v>12</v>
      </c>
      <c r="V23" s="19"/>
      <c r="W23" s="19" t="s">
        <v>12</v>
      </c>
      <c r="X23" s="19"/>
      <c r="Y23" s="19" t="s">
        <v>12</v>
      </c>
      <c r="Z23" s="19"/>
      <c r="AA23" s="19"/>
      <c r="AB23" s="19"/>
      <c r="AC23" s="19"/>
      <c r="AD23" s="19" t="s">
        <v>12</v>
      </c>
      <c r="AE23" s="19" t="s">
        <v>12</v>
      </c>
      <c r="AF23" s="19" t="s">
        <v>12</v>
      </c>
      <c r="AG23" s="19"/>
      <c r="AH23" s="19"/>
      <c r="AI23" s="19"/>
      <c r="AJ23" s="19"/>
      <c r="AK23" s="19"/>
      <c r="AL23" s="21">
        <f t="shared" si="0"/>
        <v>13</v>
      </c>
    </row>
    <row r="24" spans="8:38" ht="15.75">
      <c r="H24" s="16">
        <v>14</v>
      </c>
      <c r="I24" s="17" t="s">
        <v>15</v>
      </c>
      <c r="J24" s="18">
        <v>46217</v>
      </c>
      <c r="K24" s="22"/>
      <c r="L24" s="22"/>
      <c r="M24" s="22" t="s">
        <v>12</v>
      </c>
      <c r="N24" s="19" t="s">
        <v>12</v>
      </c>
      <c r="O24" s="19"/>
      <c r="P24" s="19" t="s">
        <v>12</v>
      </c>
      <c r="Q24" s="19" t="s">
        <v>12</v>
      </c>
      <c r="R24" s="19"/>
      <c r="S24" s="23" t="s">
        <v>12</v>
      </c>
      <c r="T24" s="23" t="s">
        <v>12</v>
      </c>
      <c r="U24" s="19"/>
      <c r="V24" s="19"/>
      <c r="W24" s="19" t="s">
        <v>12</v>
      </c>
      <c r="X24" s="19"/>
      <c r="Y24" s="19"/>
      <c r="Z24" s="19"/>
      <c r="AA24" s="19"/>
      <c r="AB24" s="19"/>
      <c r="AC24" s="19"/>
      <c r="AD24" s="19"/>
      <c r="AE24" s="19"/>
      <c r="AF24" s="19" t="s">
        <v>12</v>
      </c>
      <c r="AG24" s="19"/>
      <c r="AH24" s="19"/>
      <c r="AI24" s="19"/>
      <c r="AJ24" s="19"/>
      <c r="AK24" s="19"/>
      <c r="AL24" s="21">
        <f t="shared" si="0"/>
        <v>8</v>
      </c>
    </row>
    <row r="25" spans="8:38" ht="15.75">
      <c r="H25" s="16">
        <v>15</v>
      </c>
      <c r="I25" s="17" t="s">
        <v>16</v>
      </c>
      <c r="J25" s="18">
        <v>46218</v>
      </c>
      <c r="K25" s="22"/>
      <c r="L25" s="22" t="s">
        <v>12</v>
      </c>
      <c r="M25" s="22" t="s">
        <v>12</v>
      </c>
      <c r="N25" s="19"/>
      <c r="O25" s="19"/>
      <c r="P25" s="19" t="s">
        <v>12</v>
      </c>
      <c r="Q25" s="19" t="s">
        <v>12</v>
      </c>
      <c r="R25" s="19"/>
      <c r="S25" s="19" t="s">
        <v>12</v>
      </c>
      <c r="T25" s="19" t="s">
        <v>12</v>
      </c>
      <c r="U25" s="19"/>
      <c r="V25" s="19"/>
      <c r="W25" s="19" t="s">
        <v>12</v>
      </c>
      <c r="X25" s="19"/>
      <c r="Y25" s="19"/>
      <c r="Z25" s="19"/>
      <c r="AA25" s="19"/>
      <c r="AB25" s="19"/>
      <c r="AC25" s="19"/>
      <c r="AD25" s="19"/>
      <c r="AE25" s="19"/>
      <c r="AF25" s="19" t="s">
        <v>12</v>
      </c>
      <c r="AG25" s="19"/>
      <c r="AH25" s="19"/>
      <c r="AI25" s="19"/>
      <c r="AJ25" s="19"/>
      <c r="AK25" s="19" t="s">
        <v>12</v>
      </c>
      <c r="AL25" s="21">
        <f t="shared" si="0"/>
        <v>9</v>
      </c>
    </row>
    <row r="26" spans="8:38" ht="15.75">
      <c r="H26" s="16">
        <v>16</v>
      </c>
      <c r="I26" s="17" t="s">
        <v>17</v>
      </c>
      <c r="J26" s="18">
        <v>46219</v>
      </c>
      <c r="K26" s="22"/>
      <c r="L26" s="22"/>
      <c r="M26" s="22" t="s">
        <v>12</v>
      </c>
      <c r="N26" s="19"/>
      <c r="O26" s="19"/>
      <c r="P26" s="19"/>
      <c r="Q26" s="19"/>
      <c r="R26" s="19"/>
      <c r="S26" s="19" t="s">
        <v>12</v>
      </c>
      <c r="T26" s="19" t="s">
        <v>12</v>
      </c>
      <c r="U26" s="19"/>
      <c r="V26" s="19"/>
      <c r="W26" s="19" t="s">
        <v>12</v>
      </c>
      <c r="X26" s="19"/>
      <c r="Y26" s="19"/>
      <c r="Z26" s="19"/>
      <c r="AA26" s="19"/>
      <c r="AB26" s="19"/>
      <c r="AC26" s="19"/>
      <c r="AD26" s="19"/>
      <c r="AE26" s="19" t="s">
        <v>12</v>
      </c>
      <c r="AF26" s="19" t="s">
        <v>12</v>
      </c>
      <c r="AG26" s="19"/>
      <c r="AH26" s="19" t="s">
        <v>12</v>
      </c>
      <c r="AI26" s="19"/>
      <c r="AJ26" s="19"/>
      <c r="AK26" s="19" t="s">
        <v>12</v>
      </c>
      <c r="AL26" s="21">
        <f t="shared" si="0"/>
        <v>8</v>
      </c>
    </row>
    <row r="27" spans="8:38" ht="15.75">
      <c r="H27" s="16">
        <v>17</v>
      </c>
      <c r="I27" s="17" t="s">
        <v>18</v>
      </c>
      <c r="J27" s="18">
        <v>46220</v>
      </c>
      <c r="K27" s="22" t="s">
        <v>12</v>
      </c>
      <c r="L27" s="22" t="s">
        <v>12</v>
      </c>
      <c r="M27" s="22" t="s">
        <v>12</v>
      </c>
      <c r="N27" s="19" t="s">
        <v>12</v>
      </c>
      <c r="O27" s="19"/>
      <c r="P27" s="19" t="s">
        <v>12</v>
      </c>
      <c r="Q27" s="19" t="s">
        <v>12</v>
      </c>
      <c r="R27" s="19"/>
      <c r="S27" s="19" t="s">
        <v>12</v>
      </c>
      <c r="T27" s="19" t="s">
        <v>12</v>
      </c>
      <c r="U27" s="19" t="s">
        <v>12</v>
      </c>
      <c r="V27" s="19"/>
      <c r="W27" s="19" t="s">
        <v>12</v>
      </c>
      <c r="X27" s="19"/>
      <c r="Y27" s="19"/>
      <c r="Z27" s="19"/>
      <c r="AA27" s="19"/>
      <c r="AB27" s="19"/>
      <c r="AC27" s="19"/>
      <c r="AD27" s="19"/>
      <c r="AE27" s="19"/>
      <c r="AF27" s="19" t="s">
        <v>12</v>
      </c>
      <c r="AG27" s="19" t="s">
        <v>12</v>
      </c>
      <c r="AH27" s="19" t="s">
        <v>12</v>
      </c>
      <c r="AI27" s="19"/>
      <c r="AJ27" s="19"/>
      <c r="AK27" s="19"/>
      <c r="AL27" s="21">
        <f t="shared" si="0"/>
        <v>13</v>
      </c>
    </row>
    <row r="28" spans="8:38" ht="15.75">
      <c r="H28" s="16">
        <v>18</v>
      </c>
      <c r="I28" s="17" t="s">
        <v>11</v>
      </c>
      <c r="J28" s="18">
        <v>46221</v>
      </c>
      <c r="K28" s="22"/>
      <c r="L28" s="22"/>
      <c r="M28" s="22" t="s">
        <v>12</v>
      </c>
      <c r="N28" s="19" t="s">
        <v>12</v>
      </c>
      <c r="O28" s="19"/>
      <c r="P28" s="19" t="s">
        <v>12</v>
      </c>
      <c r="Q28" s="19" t="s">
        <v>12</v>
      </c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 t="s">
        <v>12</v>
      </c>
      <c r="AG28" s="19"/>
      <c r="AH28" s="19"/>
      <c r="AI28" s="19"/>
      <c r="AJ28" s="19"/>
      <c r="AK28" s="19"/>
      <c r="AL28" s="21">
        <f t="shared" si="0"/>
        <v>5</v>
      </c>
    </row>
    <row r="29" spans="8:38" ht="15.75">
      <c r="H29" s="16">
        <v>19</v>
      </c>
      <c r="I29" s="17" t="s">
        <v>13</v>
      </c>
      <c r="J29" s="18">
        <v>46222</v>
      </c>
      <c r="K29" s="22"/>
      <c r="L29" s="22"/>
      <c r="M29" s="22"/>
      <c r="N29" s="19"/>
      <c r="O29" s="19"/>
      <c r="P29" s="19"/>
      <c r="Q29" s="19"/>
      <c r="R29" s="19"/>
      <c r="S29" s="19"/>
      <c r="T29" s="19" t="s">
        <v>12</v>
      </c>
      <c r="U29" s="19"/>
      <c r="V29" s="19"/>
      <c r="W29" s="19"/>
      <c r="X29" s="19"/>
      <c r="Y29" s="19"/>
      <c r="Z29" s="19"/>
      <c r="AA29" s="19"/>
      <c r="AB29" s="19"/>
      <c r="AC29" s="19"/>
      <c r="AD29" s="19" t="s">
        <v>12</v>
      </c>
      <c r="AE29" s="19"/>
      <c r="AF29" s="19" t="s">
        <v>12</v>
      </c>
      <c r="AG29" s="19"/>
      <c r="AH29" s="19"/>
      <c r="AI29" s="19"/>
      <c r="AJ29" s="19"/>
      <c r="AK29" s="19"/>
      <c r="AL29" s="21">
        <f t="shared" si="0"/>
        <v>3</v>
      </c>
    </row>
    <row r="30" spans="8:38" ht="15.75">
      <c r="H30" s="16">
        <v>20</v>
      </c>
      <c r="I30" s="17" t="s">
        <v>14</v>
      </c>
      <c r="J30" s="18">
        <v>46223</v>
      </c>
      <c r="K30" s="22"/>
      <c r="L30" s="22" t="s">
        <v>12</v>
      </c>
      <c r="M30" s="22" t="s">
        <v>12</v>
      </c>
      <c r="N30" s="19" t="s">
        <v>12</v>
      </c>
      <c r="O30" s="19"/>
      <c r="P30" s="19" t="s">
        <v>12</v>
      </c>
      <c r="Q30" s="19"/>
      <c r="R30" s="19"/>
      <c r="S30" s="1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  <c r="AL30" s="21">
        <f t="shared" si="0"/>
        <v>4</v>
      </c>
    </row>
    <row r="31" spans="8:38" ht="15.75">
      <c r="H31" s="16">
        <v>21</v>
      </c>
      <c r="I31" s="17" t="s">
        <v>15</v>
      </c>
      <c r="J31" s="18">
        <v>46224</v>
      </c>
      <c r="K31" s="22"/>
      <c r="L31" s="22"/>
      <c r="M31" s="22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21">
        <f t="shared" si="0"/>
        <v>0</v>
      </c>
    </row>
    <row r="32" spans="8:38" ht="15.75">
      <c r="H32" s="16">
        <v>22</v>
      </c>
      <c r="I32" s="17" t="s">
        <v>16</v>
      </c>
      <c r="J32" s="18">
        <v>46225</v>
      </c>
      <c r="K32" s="22"/>
      <c r="L32" s="22"/>
      <c r="M32" s="22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21">
        <f t="shared" si="0"/>
        <v>0</v>
      </c>
    </row>
    <row r="33" spans="8:38" ht="15.75">
      <c r="H33" s="16">
        <v>23</v>
      </c>
      <c r="I33" s="17" t="s">
        <v>17</v>
      </c>
      <c r="J33" s="18">
        <v>46226</v>
      </c>
      <c r="K33" s="22"/>
      <c r="L33" s="22"/>
      <c r="M33" s="22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21">
        <f t="shared" si="0"/>
        <v>0</v>
      </c>
    </row>
    <row r="34" spans="8:38" ht="15.75">
      <c r="H34" s="16">
        <v>24</v>
      </c>
      <c r="I34" s="17" t="s">
        <v>18</v>
      </c>
      <c r="J34" s="18">
        <v>46227</v>
      </c>
      <c r="K34" s="22" t="s">
        <v>12</v>
      </c>
      <c r="L34" s="22" t="s">
        <v>12</v>
      </c>
      <c r="M34" s="22" t="s">
        <v>12</v>
      </c>
      <c r="N34" s="19"/>
      <c r="O34" s="19"/>
      <c r="P34" s="19" t="s">
        <v>12</v>
      </c>
      <c r="Q34" s="19" t="s">
        <v>12</v>
      </c>
      <c r="R34" s="19" t="s">
        <v>12</v>
      </c>
      <c r="S34" s="19" t="s">
        <v>12</v>
      </c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21">
        <f t="shared" si="0"/>
        <v>7</v>
      </c>
    </row>
    <row r="35" spans="8:38" ht="15.75">
      <c r="H35" s="16">
        <v>25</v>
      </c>
      <c r="I35" s="17" t="s">
        <v>11</v>
      </c>
      <c r="J35" s="18">
        <v>46228</v>
      </c>
      <c r="K35" s="22"/>
      <c r="L35" s="22"/>
      <c r="M35" s="22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  <c r="AF35" s="19" t="s">
        <v>12</v>
      </c>
      <c r="AG35" s="19"/>
      <c r="AH35" s="19"/>
      <c r="AI35" s="19"/>
      <c r="AJ35" s="19"/>
      <c r="AK35" s="19"/>
      <c r="AL35" s="21">
        <f t="shared" si="0"/>
        <v>1</v>
      </c>
    </row>
    <row r="36" spans="8:38" ht="15.75">
      <c r="H36" s="16">
        <v>26</v>
      </c>
      <c r="I36" s="17" t="s">
        <v>13</v>
      </c>
      <c r="J36" s="18">
        <v>46229</v>
      </c>
      <c r="K36" s="22"/>
      <c r="L36" s="22"/>
      <c r="M36" s="22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  <c r="AA36" s="19"/>
      <c r="AB36" s="19" t="s">
        <v>12</v>
      </c>
      <c r="AC36" s="19"/>
      <c r="AD36" s="19" t="s">
        <v>12</v>
      </c>
      <c r="AE36" s="19"/>
      <c r="AF36" s="19" t="s">
        <v>12</v>
      </c>
      <c r="AG36" s="19"/>
      <c r="AH36" s="19"/>
      <c r="AI36" s="19"/>
      <c r="AJ36" s="19"/>
      <c r="AK36" s="19"/>
      <c r="AL36" s="21">
        <f t="shared" si="0"/>
        <v>3</v>
      </c>
    </row>
    <row r="37" spans="8:38" ht="15.75">
      <c r="H37" s="16">
        <v>27</v>
      </c>
      <c r="I37" s="17" t="s">
        <v>14</v>
      </c>
      <c r="J37" s="18">
        <v>46230</v>
      </c>
      <c r="K37" s="22"/>
      <c r="L37" s="22"/>
      <c r="M37" s="22"/>
      <c r="N37" s="19"/>
      <c r="O37" s="19" t="s">
        <v>12</v>
      </c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21">
        <f t="shared" si="0"/>
        <v>1</v>
      </c>
    </row>
    <row r="38" spans="8:38" ht="15.75">
      <c r="H38" s="16">
        <v>28</v>
      </c>
      <c r="I38" s="17" t="s">
        <v>15</v>
      </c>
      <c r="J38" s="18">
        <v>46231</v>
      </c>
      <c r="K38" s="22"/>
      <c r="L38" s="22"/>
      <c r="M38" s="22"/>
      <c r="N38" s="19"/>
      <c r="O38" s="19"/>
      <c r="P38" s="19"/>
      <c r="Q38" s="19"/>
      <c r="R38" s="19" t="s">
        <v>12</v>
      </c>
      <c r="S38" s="19" t="s">
        <v>12</v>
      </c>
      <c r="T38" s="19"/>
      <c r="U38" s="19" t="s">
        <v>12</v>
      </c>
      <c r="V38" s="19" t="s">
        <v>12</v>
      </c>
      <c r="W38" s="19"/>
      <c r="X38" s="19"/>
      <c r="Y38" s="19"/>
      <c r="Z38" s="19"/>
      <c r="AA38" s="19"/>
      <c r="AB38" s="19"/>
      <c r="AC38" s="19"/>
      <c r="AD38" s="19" t="s">
        <v>12</v>
      </c>
      <c r="AE38" s="19"/>
      <c r="AF38" s="19"/>
      <c r="AG38" s="19"/>
      <c r="AH38" s="19"/>
      <c r="AI38" s="19"/>
      <c r="AJ38" s="19"/>
      <c r="AK38" s="19"/>
      <c r="AL38" s="21">
        <f t="shared" si="0"/>
        <v>5</v>
      </c>
    </row>
    <row r="39" spans="8:38" ht="15.75">
      <c r="H39" s="16">
        <v>29</v>
      </c>
      <c r="I39" s="17" t="s">
        <v>16</v>
      </c>
      <c r="J39" s="18">
        <v>46232</v>
      </c>
      <c r="K39" s="22"/>
      <c r="L39" s="22"/>
      <c r="M39" s="22"/>
      <c r="N39" s="19"/>
      <c r="O39" s="19"/>
      <c r="P39" s="24"/>
      <c r="Q39" s="24"/>
      <c r="R39" s="24" t="s">
        <v>12</v>
      </c>
      <c r="S39" s="24" t="s">
        <v>12</v>
      </c>
      <c r="T39" s="24" t="s">
        <v>12</v>
      </c>
      <c r="U39" s="24"/>
      <c r="V39" s="24"/>
      <c r="W39" s="24" t="s">
        <v>12</v>
      </c>
      <c r="X39" s="24"/>
      <c r="Y39" s="24"/>
      <c r="Z39" s="24"/>
      <c r="AA39" s="24"/>
      <c r="AB39" s="24"/>
      <c r="AC39" s="24"/>
      <c r="AD39" s="24"/>
      <c r="AE39" s="24"/>
      <c r="AF39" s="24" t="s">
        <v>12</v>
      </c>
      <c r="AG39" s="24"/>
      <c r="AH39" s="24"/>
      <c r="AI39" s="24"/>
      <c r="AJ39" s="24"/>
      <c r="AK39" s="24"/>
      <c r="AL39" s="21">
        <f t="shared" si="0"/>
        <v>5</v>
      </c>
    </row>
    <row r="40" spans="8:38" ht="15.75">
      <c r="H40" s="25">
        <v>30</v>
      </c>
      <c r="I40" s="26" t="s">
        <v>17</v>
      </c>
      <c r="J40" s="27">
        <v>46233</v>
      </c>
      <c r="K40" s="28"/>
      <c r="L40" s="28"/>
      <c r="M40" s="28"/>
      <c r="N40" s="24"/>
      <c r="O40" s="24"/>
      <c r="P40" s="24"/>
      <c r="Q40" s="24"/>
      <c r="R40" s="24"/>
      <c r="S40" s="24" t="s">
        <v>12</v>
      </c>
      <c r="T40" s="24"/>
      <c r="U40" s="24"/>
      <c r="V40" s="24"/>
      <c r="W40" s="24" t="s">
        <v>12</v>
      </c>
      <c r="X40" s="24"/>
      <c r="Y40" s="24"/>
      <c r="Z40" s="24"/>
      <c r="AA40" s="24"/>
      <c r="AB40" s="24"/>
      <c r="AC40" s="24"/>
      <c r="AD40" s="24" t="s">
        <v>12</v>
      </c>
      <c r="AE40" s="24"/>
      <c r="AF40" s="24"/>
      <c r="AG40" s="24"/>
      <c r="AH40" s="24"/>
      <c r="AI40" s="24"/>
      <c r="AJ40" s="24"/>
      <c r="AK40" s="24"/>
      <c r="AL40" s="21">
        <f t="shared" si="0"/>
        <v>3</v>
      </c>
    </row>
    <row r="41" spans="8:38" ht="15.75">
      <c r="H41" s="25">
        <v>31</v>
      </c>
      <c r="I41" s="26" t="s">
        <v>18</v>
      </c>
      <c r="J41" s="27">
        <v>46234</v>
      </c>
      <c r="K41" s="28"/>
      <c r="L41" s="28"/>
      <c r="M41" s="28" t="s">
        <v>12</v>
      </c>
      <c r="N41" s="24"/>
      <c r="O41" s="24"/>
      <c r="P41" s="24"/>
      <c r="Q41" s="24"/>
      <c r="R41" s="24"/>
      <c r="S41" s="24"/>
      <c r="T41" s="24"/>
      <c r="U41" s="24"/>
      <c r="V41" s="24"/>
      <c r="W41" s="24" t="s">
        <v>12</v>
      </c>
      <c r="X41" s="24"/>
      <c r="Y41" s="24"/>
      <c r="Z41" s="24"/>
      <c r="AA41" s="24"/>
      <c r="AB41" s="24"/>
      <c r="AC41" s="24"/>
      <c r="AD41" s="24" t="s">
        <v>12</v>
      </c>
      <c r="AE41" s="24"/>
      <c r="AF41" s="24" t="s">
        <v>12</v>
      </c>
      <c r="AG41" s="24"/>
      <c r="AH41" s="24"/>
      <c r="AI41" s="24"/>
      <c r="AJ41" s="24"/>
      <c r="AK41" s="24"/>
      <c r="AL41" s="21">
        <f t="shared" si="0"/>
        <v>4</v>
      </c>
    </row>
    <row r="42" spans="8:38" ht="15.75">
      <c r="H42" s="71" t="s">
        <v>19</v>
      </c>
      <c r="I42" s="71"/>
      <c r="J42" s="71"/>
      <c r="K42" s="2">
        <f>COUNTA(K11:K41)</f>
        <v>6</v>
      </c>
      <c r="L42" s="2">
        <f t="shared" ref="L42:AK42" si="1">COUNTA(L11:L41)</f>
        <v>9</v>
      </c>
      <c r="M42" s="2">
        <f t="shared" si="1"/>
        <v>9</v>
      </c>
      <c r="N42" s="2">
        <f t="shared" si="1"/>
        <v>9</v>
      </c>
      <c r="O42" s="2">
        <f t="shared" si="1"/>
        <v>4</v>
      </c>
      <c r="P42" s="2">
        <f t="shared" si="1"/>
        <v>14</v>
      </c>
      <c r="Q42" s="2">
        <f t="shared" si="1"/>
        <v>13</v>
      </c>
      <c r="R42" s="2">
        <f t="shared" si="1"/>
        <v>5</v>
      </c>
      <c r="S42" s="2">
        <f t="shared" si="1"/>
        <v>17</v>
      </c>
      <c r="T42" s="2">
        <f t="shared" si="1"/>
        <v>7</v>
      </c>
      <c r="U42" s="2">
        <f t="shared" si="1"/>
        <v>4</v>
      </c>
      <c r="V42" s="2">
        <f t="shared" si="1"/>
        <v>1</v>
      </c>
      <c r="W42" s="2">
        <f t="shared" si="1"/>
        <v>10</v>
      </c>
      <c r="X42" s="2">
        <f t="shared" si="1"/>
        <v>1</v>
      </c>
      <c r="Y42" s="2">
        <f t="shared" si="1"/>
        <v>1</v>
      </c>
      <c r="Z42" s="2">
        <f t="shared" si="1"/>
        <v>0</v>
      </c>
      <c r="AA42" s="2">
        <f t="shared" si="1"/>
        <v>0</v>
      </c>
      <c r="AB42" s="2">
        <f t="shared" si="1"/>
        <v>1</v>
      </c>
      <c r="AC42" s="2">
        <f t="shared" si="1"/>
        <v>0</v>
      </c>
      <c r="AD42" s="2">
        <f t="shared" si="1"/>
        <v>6</v>
      </c>
      <c r="AE42" s="2">
        <f t="shared" si="1"/>
        <v>5</v>
      </c>
      <c r="AF42" s="2">
        <f t="shared" si="1"/>
        <v>13</v>
      </c>
      <c r="AG42" s="2">
        <f t="shared" si="1"/>
        <v>1</v>
      </c>
      <c r="AH42" s="2">
        <f t="shared" si="1"/>
        <v>2</v>
      </c>
      <c r="AI42" s="2"/>
      <c r="AJ42" s="2"/>
      <c r="AK42" s="2">
        <f t="shared" si="1"/>
        <v>2</v>
      </c>
      <c r="AL42" s="29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selection activeCell="N19" sqref="N19"/>
    </sheetView>
  </sheetViews>
  <sheetFormatPr defaultColWidth="9" defaultRowHeight="15"/>
  <cols>
    <col min="1" max="3" width="15.7109375" style="37" customWidth="1"/>
    <col min="4" max="4" width="26" style="37" customWidth="1"/>
    <col min="5" max="6" width="15.7109375" style="37" customWidth="1"/>
    <col min="7" max="7" width="21.140625" style="37" customWidth="1"/>
    <col min="8" max="11" width="15.7109375" style="37" customWidth="1"/>
    <col min="12" max="12" width="20.28515625" style="37" customWidth="1"/>
    <col min="13" max="13" width="20.42578125" style="37" customWidth="1"/>
    <col min="14" max="14" width="26.140625" style="37" customWidth="1"/>
    <col min="15" max="15" width="26.7109375" style="37" customWidth="1"/>
    <col min="16" max="16" width="15.7109375" style="37" customWidth="1"/>
    <col min="17" max="17" width="16.42578125" style="37" customWidth="1"/>
    <col min="18" max="18" width="21.140625" style="37" customWidth="1"/>
    <col min="19" max="20" width="15.7109375" style="37" customWidth="1"/>
    <col min="21" max="21" width="23.7109375" style="37" customWidth="1"/>
    <col min="22" max="22" width="21.5703125" style="37" customWidth="1"/>
    <col min="23" max="25" width="15.7109375" style="37" customWidth="1"/>
    <col min="26" max="26" width="21.42578125" style="37" customWidth="1"/>
    <col min="27" max="27" width="15.7109375" style="37" customWidth="1"/>
    <col min="28" max="28" width="27.140625" style="37" customWidth="1"/>
    <col min="29" max="29" width="15.7109375" style="37" customWidth="1"/>
    <col min="30" max="30" width="29.28515625" style="37" customWidth="1"/>
    <col min="31" max="31" width="24.42578125" style="37" customWidth="1"/>
    <col min="32" max="36" width="15.7109375" style="37" customWidth="1"/>
    <col min="37" max="37" width="24.5703125" style="37" customWidth="1"/>
    <col min="38" max="38" width="20.7109375" style="37" customWidth="1"/>
    <col min="39" max="16384" width="9" style="37"/>
  </cols>
  <sheetData>
    <row r="1" spans="1:37" s="39" customFormat="1" ht="30" customHeight="1">
      <c r="A1" s="77"/>
      <c r="B1" s="78"/>
      <c r="C1" s="79"/>
      <c r="D1" s="48" t="s">
        <v>36</v>
      </c>
      <c r="E1" s="86" t="s">
        <v>37</v>
      </c>
      <c r="F1" s="86"/>
      <c r="G1" s="86"/>
      <c r="H1" s="86"/>
      <c r="I1" s="86"/>
      <c r="J1" s="86"/>
      <c r="K1" s="86"/>
      <c r="L1" s="87" t="s">
        <v>38</v>
      </c>
      <c r="M1" s="87"/>
      <c r="N1" s="87"/>
      <c r="O1" s="87"/>
      <c r="P1" s="87"/>
      <c r="Q1" s="87"/>
      <c r="R1" s="87"/>
      <c r="S1" s="88" t="s">
        <v>49</v>
      </c>
      <c r="T1" s="88"/>
      <c r="U1" s="83" t="s">
        <v>53</v>
      </c>
      <c r="V1" s="84"/>
      <c r="W1" s="84"/>
      <c r="X1" s="84"/>
      <c r="Y1" s="85"/>
      <c r="Z1" s="89" t="s">
        <v>59</v>
      </c>
      <c r="AA1" s="89"/>
      <c r="AB1" s="89"/>
      <c r="AC1" s="89"/>
      <c r="AD1" s="89"/>
      <c r="AE1" s="72" t="s">
        <v>61</v>
      </c>
      <c r="AF1" s="72"/>
      <c r="AG1" s="72"/>
      <c r="AH1" s="73" t="s">
        <v>62</v>
      </c>
      <c r="AI1" s="73"/>
      <c r="AJ1" s="73"/>
      <c r="AK1" s="74" t="s">
        <v>35</v>
      </c>
    </row>
    <row r="2" spans="1:37" s="38" customFormat="1" ht="30" customHeight="1">
      <c r="A2" s="80"/>
      <c r="B2" s="81"/>
      <c r="C2" s="82"/>
      <c r="D2" s="49" t="s">
        <v>39</v>
      </c>
      <c r="E2" s="41" t="s">
        <v>40</v>
      </c>
      <c r="F2" s="41" t="s">
        <v>41</v>
      </c>
      <c r="G2" s="41" t="s">
        <v>22</v>
      </c>
      <c r="H2" s="41" t="s">
        <v>4</v>
      </c>
      <c r="I2" s="41" t="s">
        <v>24</v>
      </c>
      <c r="J2" s="41" t="s">
        <v>25</v>
      </c>
      <c r="K2" s="41" t="s">
        <v>23</v>
      </c>
      <c r="L2" s="42" t="s">
        <v>26</v>
      </c>
      <c r="M2" s="42" t="s">
        <v>42</v>
      </c>
      <c r="N2" s="42" t="s">
        <v>43</v>
      </c>
      <c r="O2" s="42" t="s">
        <v>29</v>
      </c>
      <c r="P2" s="42" t="s">
        <v>44</v>
      </c>
      <c r="Q2" s="42" t="s">
        <v>45</v>
      </c>
      <c r="R2" s="42" t="s">
        <v>46</v>
      </c>
      <c r="S2" s="44" t="s">
        <v>48</v>
      </c>
      <c r="T2" s="44" t="s">
        <v>7</v>
      </c>
      <c r="U2" s="43" t="s">
        <v>50</v>
      </c>
      <c r="V2" s="43" t="s">
        <v>51</v>
      </c>
      <c r="W2" s="43" t="s">
        <v>4</v>
      </c>
      <c r="X2" s="43" t="s">
        <v>52</v>
      </c>
      <c r="Y2" s="43" t="s">
        <v>58</v>
      </c>
      <c r="Z2" s="45" t="s">
        <v>54</v>
      </c>
      <c r="AA2" s="45" t="s">
        <v>55</v>
      </c>
      <c r="AB2" s="45" t="s">
        <v>56</v>
      </c>
      <c r="AC2" s="45" t="s">
        <v>33</v>
      </c>
      <c r="AD2" s="45" t="s">
        <v>57</v>
      </c>
      <c r="AE2" s="46" t="s">
        <v>60</v>
      </c>
      <c r="AF2" s="46" t="s">
        <v>63</v>
      </c>
      <c r="AG2" s="46" t="s">
        <v>63</v>
      </c>
      <c r="AH2" s="47"/>
      <c r="AI2" s="47"/>
      <c r="AJ2" s="47"/>
      <c r="AK2" s="75"/>
    </row>
    <row r="3" spans="1:37">
      <c r="A3" s="52" t="s">
        <v>1</v>
      </c>
      <c r="B3" s="52" t="s">
        <v>2</v>
      </c>
      <c r="C3" s="52" t="s">
        <v>3</v>
      </c>
      <c r="D3" s="52" t="s">
        <v>47</v>
      </c>
      <c r="E3" s="53">
        <v>3</v>
      </c>
      <c r="F3" s="53">
        <v>1</v>
      </c>
      <c r="G3" s="53">
        <v>2</v>
      </c>
      <c r="H3" s="53">
        <v>2</v>
      </c>
      <c r="I3" s="53">
        <v>1</v>
      </c>
      <c r="J3" s="53">
        <v>2</v>
      </c>
      <c r="K3" s="53">
        <v>1</v>
      </c>
      <c r="L3" s="54">
        <v>3</v>
      </c>
      <c r="M3" s="54">
        <v>1</v>
      </c>
      <c r="N3" s="54">
        <v>2</v>
      </c>
      <c r="O3" s="54">
        <v>1</v>
      </c>
      <c r="P3" s="54">
        <v>2</v>
      </c>
      <c r="Q3" s="54">
        <v>2</v>
      </c>
      <c r="R3" s="54">
        <v>2</v>
      </c>
      <c r="S3" s="55">
        <v>3</v>
      </c>
      <c r="T3" s="55">
        <v>2</v>
      </c>
      <c r="U3" s="56">
        <v>2</v>
      </c>
      <c r="V3" s="56">
        <v>1</v>
      </c>
      <c r="W3" s="56">
        <v>3</v>
      </c>
      <c r="X3" s="56">
        <v>1</v>
      </c>
      <c r="Y3" s="56">
        <v>1</v>
      </c>
      <c r="Z3" s="57">
        <v>3</v>
      </c>
      <c r="AA3" s="57">
        <v>3</v>
      </c>
      <c r="AB3" s="57">
        <v>1</v>
      </c>
      <c r="AC3" s="57">
        <v>3</v>
      </c>
      <c r="AD3" s="57">
        <v>2</v>
      </c>
      <c r="AE3" s="58">
        <v>3</v>
      </c>
      <c r="AF3" s="58"/>
      <c r="AG3" s="58"/>
      <c r="AH3" s="59"/>
      <c r="AI3" s="59"/>
      <c r="AJ3" s="59"/>
      <c r="AK3" s="76"/>
    </row>
    <row r="4" spans="1:37">
      <c r="A4" s="50">
        <v>1</v>
      </c>
      <c r="B4" s="50" t="s">
        <v>11</v>
      </c>
      <c r="C4" s="51">
        <v>46204</v>
      </c>
      <c r="D4" s="40"/>
      <c r="E4" s="60"/>
      <c r="F4" s="60"/>
      <c r="G4" s="60" t="s">
        <v>12</v>
      </c>
      <c r="H4" s="60" t="s">
        <v>12</v>
      </c>
      <c r="I4" s="60" t="s">
        <v>12</v>
      </c>
      <c r="J4" s="60" t="s">
        <v>12</v>
      </c>
      <c r="K4" s="60" t="s">
        <v>12</v>
      </c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0"/>
      <c r="X4" s="60" t="s">
        <v>12</v>
      </c>
      <c r="Y4" s="60"/>
      <c r="Z4" s="60"/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1">
        <f>SUMIF(E4:AJ4, "&lt;&gt;", $E$3:$AJ$3)</f>
        <v>9</v>
      </c>
    </row>
    <row r="5" spans="1:37">
      <c r="A5" s="50">
        <v>2</v>
      </c>
      <c r="B5" s="50" t="s">
        <v>13</v>
      </c>
      <c r="C5" s="51">
        <v>46205</v>
      </c>
      <c r="D5" s="40"/>
      <c r="E5" s="60"/>
      <c r="F5" s="60"/>
      <c r="G5" s="60"/>
      <c r="H5" s="60"/>
      <c r="I5" s="60" t="s">
        <v>12</v>
      </c>
      <c r="J5" s="60" t="s">
        <v>12</v>
      </c>
      <c r="K5" s="60"/>
      <c r="L5" s="60"/>
      <c r="M5" s="60"/>
      <c r="N5" s="60"/>
      <c r="O5" s="60"/>
      <c r="P5" s="60"/>
      <c r="Q5" s="60"/>
      <c r="R5" s="60"/>
      <c r="S5" s="60"/>
      <c r="T5" s="60"/>
      <c r="U5" s="60"/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1">
        <f t="shared" ref="AK5:AK34" si="0">SUMIF(E5:AJ5, "&lt;&gt;", $E$3:$AJ$3)</f>
        <v>3</v>
      </c>
    </row>
    <row r="6" spans="1:37">
      <c r="A6" s="50">
        <v>3</v>
      </c>
      <c r="B6" s="50" t="s">
        <v>14</v>
      </c>
      <c r="C6" s="51">
        <v>46206</v>
      </c>
      <c r="D6" s="62"/>
      <c r="E6" s="60" t="s">
        <v>12</v>
      </c>
      <c r="F6" s="60" t="s">
        <v>12</v>
      </c>
      <c r="G6" s="60" t="s">
        <v>12</v>
      </c>
      <c r="H6" s="60" t="s">
        <v>12</v>
      </c>
      <c r="I6" s="60" t="s">
        <v>12</v>
      </c>
      <c r="J6" s="60" t="s">
        <v>12</v>
      </c>
      <c r="K6" s="60"/>
      <c r="L6" s="60"/>
      <c r="M6" s="60" t="s">
        <v>12</v>
      </c>
      <c r="N6" s="60" t="s">
        <v>12</v>
      </c>
      <c r="O6" s="60" t="s">
        <v>12</v>
      </c>
      <c r="P6" s="60"/>
      <c r="Q6" s="60"/>
      <c r="R6" s="60"/>
      <c r="S6" s="60"/>
      <c r="T6" s="60"/>
      <c r="U6" s="60" t="s">
        <v>12</v>
      </c>
      <c r="V6" s="60"/>
      <c r="W6" s="60" t="s">
        <v>12</v>
      </c>
      <c r="X6" s="60"/>
      <c r="Y6" s="60"/>
      <c r="Z6" s="60" t="s">
        <v>12</v>
      </c>
      <c r="AA6" s="60"/>
      <c r="AB6" s="60"/>
      <c r="AC6" s="60" t="s">
        <v>12</v>
      </c>
      <c r="AD6" s="60" t="s">
        <v>12</v>
      </c>
      <c r="AE6" s="60"/>
      <c r="AF6" s="60"/>
      <c r="AG6" s="60"/>
      <c r="AH6" s="60"/>
      <c r="AI6" s="60"/>
      <c r="AJ6" s="60"/>
      <c r="AK6" s="61">
        <f t="shared" si="0"/>
        <v>28</v>
      </c>
    </row>
    <row r="7" spans="1:37">
      <c r="A7" s="50">
        <v>4</v>
      </c>
      <c r="B7" s="50" t="s">
        <v>15</v>
      </c>
      <c r="C7" s="51">
        <v>46207</v>
      </c>
      <c r="D7" s="50" t="s">
        <v>64</v>
      </c>
      <c r="E7" s="60" t="s">
        <v>12</v>
      </c>
      <c r="F7" s="60" t="s">
        <v>12</v>
      </c>
      <c r="G7" s="60" t="s">
        <v>12</v>
      </c>
      <c r="H7" s="60" t="s">
        <v>12</v>
      </c>
      <c r="I7" s="60" t="s">
        <v>12</v>
      </c>
      <c r="J7" s="60" t="s">
        <v>12</v>
      </c>
      <c r="K7" s="60"/>
      <c r="L7" s="60"/>
      <c r="M7" s="60" t="s">
        <v>12</v>
      </c>
      <c r="N7" s="60" t="s">
        <v>12</v>
      </c>
      <c r="O7" s="60" t="s">
        <v>12</v>
      </c>
      <c r="P7" s="60"/>
      <c r="Q7" s="60"/>
      <c r="R7" s="60"/>
      <c r="S7" s="60"/>
      <c r="T7" s="60"/>
      <c r="U7" s="60"/>
      <c r="V7" s="60"/>
      <c r="W7" s="60"/>
      <c r="X7" s="60"/>
      <c r="Y7" s="60" t="s">
        <v>12</v>
      </c>
      <c r="Z7" s="60"/>
      <c r="AA7" s="60"/>
      <c r="AB7" s="60"/>
      <c r="AC7" s="60" t="s">
        <v>12</v>
      </c>
      <c r="AD7" s="60" t="s">
        <v>12</v>
      </c>
      <c r="AE7" s="60"/>
      <c r="AF7" s="60"/>
      <c r="AG7" s="60"/>
      <c r="AH7" s="60"/>
      <c r="AI7" s="60"/>
      <c r="AJ7" s="60"/>
      <c r="AK7" s="61">
        <f t="shared" si="0"/>
        <v>21</v>
      </c>
    </row>
    <row r="8" spans="1:37">
      <c r="A8" s="50">
        <v>5</v>
      </c>
      <c r="B8" s="50" t="s">
        <v>16</v>
      </c>
      <c r="C8" s="51">
        <v>46208</v>
      </c>
      <c r="D8" s="50" t="s">
        <v>63</v>
      </c>
      <c r="E8" s="60" t="s">
        <v>12</v>
      </c>
      <c r="F8" s="60" t="s">
        <v>12</v>
      </c>
      <c r="G8" s="60" t="s">
        <v>12</v>
      </c>
      <c r="H8" s="60"/>
      <c r="I8" s="60"/>
      <c r="J8" s="60"/>
      <c r="K8" s="60"/>
      <c r="L8" s="60" t="s">
        <v>12</v>
      </c>
      <c r="M8" s="60"/>
      <c r="N8" s="60" t="s">
        <v>12</v>
      </c>
      <c r="O8" s="60" t="s">
        <v>12</v>
      </c>
      <c r="P8" s="60"/>
      <c r="Q8" s="60"/>
      <c r="R8" s="60"/>
      <c r="S8" s="60"/>
      <c r="T8" s="60"/>
      <c r="U8" s="60"/>
      <c r="V8" s="60"/>
      <c r="W8" s="60"/>
      <c r="X8" s="60"/>
      <c r="Y8" s="60" t="s">
        <v>12</v>
      </c>
      <c r="Z8" s="60"/>
      <c r="AA8" s="60" t="s">
        <v>12</v>
      </c>
      <c r="AB8" s="60"/>
      <c r="AC8" s="60" t="s">
        <v>12</v>
      </c>
      <c r="AD8" s="60" t="s">
        <v>12</v>
      </c>
      <c r="AE8" s="60"/>
      <c r="AF8" s="60"/>
      <c r="AG8" s="60"/>
      <c r="AH8" s="60"/>
      <c r="AI8" s="60"/>
      <c r="AJ8" s="60"/>
      <c r="AK8" s="61">
        <f t="shared" si="0"/>
        <v>21</v>
      </c>
    </row>
    <row r="9" spans="1:37">
      <c r="A9" s="50">
        <v>6</v>
      </c>
      <c r="B9" s="50" t="s">
        <v>17</v>
      </c>
      <c r="C9" s="51">
        <v>46209</v>
      </c>
      <c r="D9" s="50" t="s">
        <v>65</v>
      </c>
      <c r="E9" s="60" t="s">
        <v>12</v>
      </c>
      <c r="F9" s="60" t="s">
        <v>12</v>
      </c>
      <c r="G9" s="60" t="s">
        <v>12</v>
      </c>
      <c r="H9" s="60"/>
      <c r="I9" s="60" t="s">
        <v>12</v>
      </c>
      <c r="J9" s="60"/>
      <c r="K9" s="60" t="s">
        <v>12</v>
      </c>
      <c r="L9" s="60"/>
      <c r="M9" s="60" t="s">
        <v>12</v>
      </c>
      <c r="N9" s="60" t="s">
        <v>12</v>
      </c>
      <c r="O9" s="60" t="s">
        <v>12</v>
      </c>
      <c r="P9" s="60"/>
      <c r="Q9" s="60"/>
      <c r="R9" s="60"/>
      <c r="S9" s="60"/>
      <c r="T9" s="60"/>
      <c r="U9" s="60"/>
      <c r="V9" s="60"/>
      <c r="W9" s="60"/>
      <c r="X9" s="60"/>
      <c r="Y9" s="60"/>
      <c r="Z9" s="60"/>
      <c r="AA9" s="60" t="s">
        <v>12</v>
      </c>
      <c r="AB9" s="60"/>
      <c r="AC9" s="60"/>
      <c r="AD9" s="60"/>
      <c r="AE9" s="60"/>
      <c r="AF9" s="60"/>
      <c r="AG9" s="60"/>
      <c r="AH9" s="60"/>
      <c r="AI9" s="60"/>
      <c r="AJ9" s="60"/>
      <c r="AK9" s="61">
        <f t="shared" si="0"/>
        <v>15</v>
      </c>
    </row>
    <row r="10" spans="1:37">
      <c r="A10" s="50">
        <v>7</v>
      </c>
      <c r="B10" s="50" t="s">
        <v>18</v>
      </c>
      <c r="C10" s="51">
        <v>46210</v>
      </c>
      <c r="D10" s="62" t="s">
        <v>63</v>
      </c>
      <c r="E10" s="60"/>
      <c r="F10" s="60"/>
      <c r="G10" s="60"/>
      <c r="H10" s="60"/>
      <c r="I10" s="60"/>
      <c r="J10" s="60"/>
      <c r="K10" s="60"/>
      <c r="L10" s="6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61">
        <f t="shared" si="0"/>
        <v>0</v>
      </c>
    </row>
    <row r="11" spans="1:37">
      <c r="A11" s="50">
        <v>8</v>
      </c>
      <c r="B11" s="50" t="s">
        <v>11</v>
      </c>
      <c r="C11" s="51">
        <v>46211</v>
      </c>
      <c r="D11" s="4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61">
        <f t="shared" si="0"/>
        <v>0</v>
      </c>
    </row>
    <row r="12" spans="1:37">
      <c r="A12" s="50">
        <v>9</v>
      </c>
      <c r="B12" s="50" t="s">
        <v>13</v>
      </c>
      <c r="C12" s="51">
        <v>46212</v>
      </c>
      <c r="D12" s="4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61">
        <f t="shared" si="0"/>
        <v>0</v>
      </c>
    </row>
    <row r="13" spans="1:37">
      <c r="A13" s="50">
        <v>10</v>
      </c>
      <c r="B13" s="50" t="s">
        <v>14</v>
      </c>
      <c r="C13" s="51">
        <v>46213</v>
      </c>
      <c r="D13" s="4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61">
        <f t="shared" si="0"/>
        <v>0</v>
      </c>
    </row>
    <row r="14" spans="1:37">
      <c r="A14" s="50">
        <v>11</v>
      </c>
      <c r="B14" s="50" t="s">
        <v>15</v>
      </c>
      <c r="C14" s="51">
        <v>46214</v>
      </c>
      <c r="D14" s="4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61">
        <f t="shared" si="0"/>
        <v>0</v>
      </c>
    </row>
    <row r="15" spans="1:37">
      <c r="A15" s="50">
        <v>12</v>
      </c>
      <c r="B15" s="50" t="s">
        <v>16</v>
      </c>
      <c r="C15" s="51">
        <v>46215</v>
      </c>
      <c r="D15" s="4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61">
        <f t="shared" si="0"/>
        <v>0</v>
      </c>
    </row>
    <row r="16" spans="1:37">
      <c r="A16" s="50">
        <v>13</v>
      </c>
      <c r="B16" s="50" t="s">
        <v>17</v>
      </c>
      <c r="C16" s="51">
        <v>46216</v>
      </c>
      <c r="D16" s="4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61">
        <f t="shared" si="0"/>
        <v>0</v>
      </c>
    </row>
    <row r="17" spans="1:37">
      <c r="A17" s="50">
        <v>14</v>
      </c>
      <c r="B17" s="50" t="s">
        <v>18</v>
      </c>
      <c r="C17" s="51">
        <v>46217</v>
      </c>
      <c r="D17" s="4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61">
        <f t="shared" si="0"/>
        <v>0</v>
      </c>
    </row>
    <row r="18" spans="1:37">
      <c r="A18" s="50">
        <v>15</v>
      </c>
      <c r="B18" s="50" t="s">
        <v>11</v>
      </c>
      <c r="C18" s="51">
        <v>46218</v>
      </c>
      <c r="D18" s="4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61">
        <f t="shared" si="0"/>
        <v>0</v>
      </c>
    </row>
    <row r="19" spans="1:37">
      <c r="A19" s="50">
        <v>16</v>
      </c>
      <c r="B19" s="50" t="s">
        <v>13</v>
      </c>
      <c r="C19" s="51">
        <v>46219</v>
      </c>
      <c r="D19" s="4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61">
        <f t="shared" si="0"/>
        <v>0</v>
      </c>
    </row>
    <row r="20" spans="1:37">
      <c r="A20" s="50">
        <v>17</v>
      </c>
      <c r="B20" s="50" t="s">
        <v>14</v>
      </c>
      <c r="C20" s="51">
        <v>46220</v>
      </c>
      <c r="D20" s="4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61">
        <f t="shared" si="0"/>
        <v>0</v>
      </c>
    </row>
    <row r="21" spans="1:37">
      <c r="A21" s="50">
        <v>18</v>
      </c>
      <c r="B21" s="50" t="s">
        <v>15</v>
      </c>
      <c r="C21" s="51">
        <v>46221</v>
      </c>
      <c r="D21" s="4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61">
        <f t="shared" si="0"/>
        <v>0</v>
      </c>
    </row>
    <row r="22" spans="1:37">
      <c r="A22" s="50">
        <v>19</v>
      </c>
      <c r="B22" s="50" t="s">
        <v>16</v>
      </c>
      <c r="C22" s="51">
        <v>46222</v>
      </c>
      <c r="D22" s="4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61">
        <f t="shared" si="0"/>
        <v>0</v>
      </c>
    </row>
    <row r="23" spans="1:37">
      <c r="A23" s="50">
        <v>20</v>
      </c>
      <c r="B23" s="50" t="s">
        <v>17</v>
      </c>
      <c r="C23" s="51">
        <v>46223</v>
      </c>
      <c r="D23" s="4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61">
        <f t="shared" si="0"/>
        <v>0</v>
      </c>
    </row>
    <row r="24" spans="1:37">
      <c r="A24" s="50">
        <v>21</v>
      </c>
      <c r="B24" s="50" t="s">
        <v>18</v>
      </c>
      <c r="C24" s="51">
        <v>46224</v>
      </c>
      <c r="D24" s="4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61">
        <f t="shared" si="0"/>
        <v>0</v>
      </c>
    </row>
    <row r="25" spans="1:37">
      <c r="A25" s="50">
        <v>22</v>
      </c>
      <c r="B25" s="50" t="s">
        <v>11</v>
      </c>
      <c r="C25" s="51">
        <v>46225</v>
      </c>
      <c r="D25" s="4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61">
        <f t="shared" si="0"/>
        <v>0</v>
      </c>
    </row>
    <row r="26" spans="1:37">
      <c r="A26" s="50">
        <v>23</v>
      </c>
      <c r="B26" s="50" t="s">
        <v>13</v>
      </c>
      <c r="C26" s="51">
        <v>46226</v>
      </c>
      <c r="D26" s="4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61">
        <f t="shared" si="0"/>
        <v>0</v>
      </c>
    </row>
    <row r="27" spans="1:37">
      <c r="A27" s="50">
        <v>24</v>
      </c>
      <c r="B27" s="50" t="s">
        <v>14</v>
      </c>
      <c r="C27" s="51">
        <v>46227</v>
      </c>
      <c r="D27" s="4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61">
        <f t="shared" si="0"/>
        <v>0</v>
      </c>
    </row>
    <row r="28" spans="1:37">
      <c r="A28" s="50">
        <v>25</v>
      </c>
      <c r="B28" s="50" t="s">
        <v>15</v>
      </c>
      <c r="C28" s="51">
        <v>46228</v>
      </c>
      <c r="D28" s="4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61">
        <f t="shared" si="0"/>
        <v>0</v>
      </c>
    </row>
    <row r="29" spans="1:37">
      <c r="A29" s="50">
        <v>26</v>
      </c>
      <c r="B29" s="50" t="s">
        <v>16</v>
      </c>
      <c r="C29" s="51">
        <v>46229</v>
      </c>
      <c r="D29" s="4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61">
        <f t="shared" si="0"/>
        <v>0</v>
      </c>
    </row>
    <row r="30" spans="1:37">
      <c r="A30" s="50">
        <v>27</v>
      </c>
      <c r="B30" s="50" t="s">
        <v>17</v>
      </c>
      <c r="C30" s="51">
        <v>46230</v>
      </c>
      <c r="D30" s="4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61">
        <f t="shared" si="0"/>
        <v>0</v>
      </c>
    </row>
    <row r="31" spans="1:37">
      <c r="A31" s="50">
        <v>28</v>
      </c>
      <c r="B31" s="50" t="s">
        <v>18</v>
      </c>
      <c r="C31" s="51">
        <v>46231</v>
      </c>
      <c r="D31" s="4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61">
        <f t="shared" si="0"/>
        <v>0</v>
      </c>
    </row>
    <row r="32" spans="1:37">
      <c r="A32" s="50">
        <v>29</v>
      </c>
      <c r="B32" s="50" t="s">
        <v>11</v>
      </c>
      <c r="C32" s="51">
        <v>46232</v>
      </c>
      <c r="D32" s="4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61">
        <f t="shared" si="0"/>
        <v>0</v>
      </c>
    </row>
    <row r="33" spans="1:37">
      <c r="A33" s="50">
        <v>30</v>
      </c>
      <c r="B33" s="50" t="s">
        <v>13</v>
      </c>
      <c r="C33" s="51">
        <v>46233</v>
      </c>
      <c r="D33" s="4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61">
        <f t="shared" si="0"/>
        <v>0</v>
      </c>
    </row>
    <row r="34" spans="1:37">
      <c r="A34" s="50">
        <v>31</v>
      </c>
      <c r="B34" s="50" t="s">
        <v>14</v>
      </c>
      <c r="C34" s="51">
        <v>46234</v>
      </c>
      <c r="D34" s="4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61">
        <f t="shared" si="0"/>
        <v>0</v>
      </c>
    </row>
  </sheetData>
  <mergeCells count="9">
    <mergeCell ref="AE1:AG1"/>
    <mergeCell ref="AH1:AJ1"/>
    <mergeCell ref="AK1:AK3"/>
    <mergeCell ref="A1:C2"/>
    <mergeCell ref="U1:Y1"/>
    <mergeCell ref="E1:K1"/>
    <mergeCell ref="L1:R1"/>
    <mergeCell ref="S1:T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2026-08-07T07:01:49Z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