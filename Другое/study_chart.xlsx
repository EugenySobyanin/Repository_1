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10380" activeTab="2"/>
  </bookViews>
  <sheets>
    <sheet name="Июнь" sheetId="1" r:id="rId1"/>
    <sheet name="Июль" sheetId="4" r:id="rId2"/>
    <sheet name="Август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charset val="1"/>
          </rPr>
          <t xml:space="preserve">Собянин Евгений Андреевич (new):
</t>
        </r>
        <r>
          <rPr>
            <sz val="9"/>
            <rFont val="Tahoma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</t>
        </r>
      </text>
    </comment>
    <comment ref="AG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Было 3 срыва, контроль был потерян из-за соц.сетей и телефона</t>
        </r>
      </text>
    </comment>
  </commentList>
</comments>
</file>

<file path=xl/sharedStrings.xml><?xml version="1.0" encoding="utf-8"?>
<sst xmlns="http://schemas.openxmlformats.org/spreadsheetml/2006/main" count="264" uniqueCount="48">
  <si>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</si>
  <si>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</si>
  <si>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</si>
  <si>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</si>
  <si>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</si>
  <si>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</si>
  <si>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</si>
  <si>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</si>
  <si>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</si>
  <si>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</si>
  <si>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</si>
  <si>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</si>
  <si>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</si>
  <si>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</si>
  <si>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</si>
  <si>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</si>
  <si>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</si>
  <si>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</si>
  <si>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</si>
  <si>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</si>
  <si>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</si>
  <si>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</si>
  <si>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</si>
  <si>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</si>
  <si>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</si>
  <si>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</si>
  <si>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</si>
  <si>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</si>
  <si>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</si>
  <si>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</si>
  <si>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</si>
  <si>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</si>
  <si>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</si>
  <si>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</si>
  <si>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</si>
  <si>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</si>
  <si>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</si>
  <si>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</si>
  <si>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</si>
  <si>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</si>
  <si>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</si>
  <si>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</si>
  <si>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</si>
  <si>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</si>
  <si>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</si>
  <si>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</si>
  <si>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</si>
  <si>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Балл за выполнение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</si>
</sst>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dd\.mmm"/>
  </numFmts>
  <fonts count="36">
    <font>
      <sz val="11"/>
      <color theme="1"/>
      <name val="Calibri"/>
      <charset val="204"/>
      <scheme val="minor"/>
    </font>
    <font>
      <b/>
      <sz val="20"/>
      <color theme="1" tint="0.349986266670736"/>
      <name val="Impact"/>
      <charset val="204"/>
    </font>
    <font>
      <b/>
      <sz val="11"/>
      <color rgb="FF1C1917"/>
      <name val="Courier New"/>
      <charset val="204"/>
    </font>
    <font>
      <b/>
      <sz val="11"/>
      <color theme="0"/>
      <name val="Courier New"/>
      <charset val="204"/>
    </font>
    <font>
      <b/>
      <sz val="11"/>
      <color rgb="FFFFFF00"/>
      <name val="Courier New"/>
      <charset val="204"/>
    </font>
    <font>
      <b/>
      <sz val="11"/>
      <color theme="1" tint="0.149998474074526"/>
      <name val="Courier New"/>
      <charset val="204"/>
    </font>
    <font>
      <b/>
      <sz val="11"/>
      <color rgb="FF680000"/>
      <name val="Courier New"/>
      <charset val="204"/>
    </font>
    <font>
      <b/>
      <sz val="11"/>
      <color rgb="FFF4EFEA"/>
      <name val="Courier New"/>
      <charset val="204"/>
    </font>
    <font>
      <sz val="12"/>
      <name val="Impact"/>
      <charset val="204"/>
    </font>
    <font>
      <sz val="11"/>
      <color rgb="FF1C1917"/>
      <name val="Courier New"/>
      <charset val="204"/>
    </font>
    <font>
      <sz val="11"/>
      <color rgb="FF1C1917"/>
      <name val="Impact"/>
      <charset val="204"/>
    </font>
    <font>
      <b/>
      <sz val="20"/>
      <color rgb="FF1C1917"/>
      <name val="Impact"/>
      <charset val="20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ahoma"/>
      <charset val="1"/>
    </font>
    <font>
      <b/>
      <sz val="9"/>
      <name val="Tahoma"/>
      <charset val="204"/>
    </font>
    <font>
      <sz val="9"/>
      <name val="Tahoma"/>
      <charset val="204"/>
    </font>
    <font>
      <b/>
      <sz val="9"/>
      <name val="Tahoma"/>
      <charset val="1"/>
    </font>
  </fonts>
  <fills count="46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 style="thin">
        <color theme="1" tint="0.349986266670736"/>
      </bottom>
      <diagonal/>
    </border>
    <border>
      <left style="thin">
        <color theme="1" tint="0.349986266670736"/>
      </left>
      <right/>
      <top style="thin">
        <color theme="1" tint="0.349986266670736"/>
      </top>
      <bottom style="thin">
        <color theme="1" tint="0.34998626667073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6"/>
      </left>
      <right style="thin">
        <color theme="1" tint="0.349986266670736"/>
      </right>
      <top/>
      <bottom style="thin">
        <color theme="1" tint="0.349986266670736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15" borderId="10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6" borderId="13" applyNumberFormat="0" applyAlignment="0" applyProtection="0">
      <alignment vertical="center"/>
    </xf>
    <xf numFmtId="0" fontId="22" fillId="17" borderId="14" applyNumberFormat="0" applyAlignment="0" applyProtection="0">
      <alignment vertical="center"/>
    </xf>
    <xf numFmtId="0" fontId="23" fillId="17" borderId="13" applyNumberFormat="0" applyAlignment="0" applyProtection="0">
      <alignment vertical="center"/>
    </xf>
    <xf numFmtId="0" fontId="24" fillId="18" borderId="15" applyNumberFormat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0" fillId="45" borderId="0" applyNumberFormat="0" applyBorder="0" applyAlignment="0" applyProtection="0">
      <alignment vertical="center"/>
    </xf>
  </cellStyleXfs>
  <cellXfs count="47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1" fillId="3" borderId="0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center" vertical="center" wrapText="1"/>
    </xf>
    <xf numFmtId="0" fontId="8" fillId="11" borderId="0" xfId="0" applyFont="1" applyFill="1" applyAlignment="1">
      <alignment horizontal="center" vertical="center"/>
    </xf>
    <xf numFmtId="0" fontId="9" fillId="8" borderId="2" xfId="0" applyFont="1" applyFill="1" applyBorder="1"/>
    <xf numFmtId="0" fontId="9" fillId="8" borderId="2" xfId="0" applyFont="1" applyFill="1" applyBorder="1" applyAlignment="1">
      <alignment horizontal="center"/>
    </xf>
    <xf numFmtId="180" fontId="9" fillId="8" borderId="2" xfId="0" applyNumberFormat="1" applyFont="1" applyFill="1" applyBorder="1"/>
    <xf numFmtId="0" fontId="9" fillId="8" borderId="2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180" fontId="9" fillId="8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0" fontId="9" fillId="13" borderId="2" xfId="0" applyFont="1" applyFill="1" applyBorder="1"/>
    <xf numFmtId="0" fontId="9" fillId="13" borderId="2" xfId="0" applyFont="1" applyFill="1" applyBorder="1" applyAlignment="1">
      <alignment horizontal="center"/>
    </xf>
    <xf numFmtId="180" fontId="9" fillId="13" borderId="2" xfId="0" applyNumberFormat="1" applyFont="1" applyFill="1" applyBorder="1"/>
    <xf numFmtId="180" fontId="9" fillId="13" borderId="2" xfId="0" applyNumberFormat="1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right"/>
    </xf>
    <xf numFmtId="0" fontId="9" fillId="4" borderId="2" xfId="0" applyFont="1" applyFill="1" applyBorder="1" applyAlignment="1">
      <alignment horizontal="center" vertical="center"/>
    </xf>
    <xf numFmtId="0" fontId="11" fillId="14" borderId="6" xfId="0" applyFont="1" applyFill="1" applyBorder="1" applyAlignment="1">
      <alignment horizontal="center" vertical="center" wrapText="1"/>
    </xf>
    <xf numFmtId="0" fontId="11" fillId="14" borderId="7" xfId="0" applyFont="1" applyFill="1" applyBorder="1" applyAlignment="1">
      <alignment horizontal="center" vertical="center" wrapText="1"/>
    </xf>
    <xf numFmtId="0" fontId="11" fillId="1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 wrapText="1"/>
    </xf>
    <xf numFmtId="0" fontId="9" fillId="8" borderId="9" xfId="0" applyFont="1" applyFill="1" applyBorder="1"/>
    <xf numFmtId="0" fontId="9" fillId="8" borderId="9" xfId="0" applyFont="1" applyFill="1" applyBorder="1" applyAlignment="1">
      <alignment horizontal="center"/>
    </xf>
    <xf numFmtId="180" fontId="9" fillId="8" borderId="9" xfId="0" applyNumberFormat="1" applyFont="1" applyFill="1" applyBorder="1"/>
    <xf numFmtId="0" fontId="9" fillId="8" borderId="9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right"/>
    </xf>
    <xf numFmtId="0" fontId="2" fillId="4" borderId="7" xfId="0" applyFont="1" applyFill="1" applyBorder="1" applyAlignment="1">
      <alignment horizontal="right"/>
    </xf>
    <xf numFmtId="0" fontId="2" fillId="4" borderId="8" xfId="0" applyFont="1" applyFill="1" applyBorder="1" applyAlignment="1">
      <alignment horizontal="right"/>
    </xf>
    <xf numFmtId="0" fontId="9" fillId="4" borderId="9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bgColor rgb="FF92D050"/>
        </patternFill>
      </fill>
    </dxf>
    <dxf>
      <fill>
        <patternFill patternType="solid">
          <bgColor rgb="FFA7FFA7"/>
        </patternFill>
      </fill>
    </dxf>
  </dxfs>
  <tableStyles count="0" defaultTableStyle="TableStyleMedium9" defaultPivotStyle="PivotStyleLight16"/>
  <colors>
    <mruColors>
      <color rgb="00F4EFEA"/>
      <color rgb="00680000"/>
      <color rgb="00FF99CC"/>
      <color rgb="00A7FFA7"/>
      <color rgb="00B7FFB7"/>
      <color rgb="001C1917"/>
      <color rgb="00E6A817"/>
      <color rgb="00C1292E"/>
      <color rgb="001B4965"/>
      <color rgb="004A3B3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9:Q22"/>
  <sheetViews>
    <sheetView topLeftCell="B1" workbookViewId="0">
      <selection activeCell="O30" sqref="O30"/>
    </sheetView>
  </sheetViews>
  <sheetFormatPr defaultColWidth="9.14159292035398" defaultRowHeight="14.25"/>
  <cols>
    <col min="1" max="7" width="9.14159292035398" style="2"/>
    <col min="8" max="8" width="5" style="2" customWidth="1"/>
    <col min="9" max="9" width="14.716814159292" style="2" customWidth="1"/>
    <col min="10" max="10" width="16.858407079646" style="2" customWidth="1"/>
    <col min="11" max="11" width="14.283185840708" style="2" customWidth="1"/>
    <col min="12" max="13" width="11.283185840708" style="2" customWidth="1"/>
    <col min="14" max="14" width="11.5752212389381" style="2" customWidth="1"/>
    <col min="15" max="15" width="14.5752212389381" style="2" customWidth="1"/>
    <col min="16" max="17" width="10" style="2" customWidth="1"/>
    <col min="18" max="16384" width="9.14159292035398" style="2"/>
  </cols>
  <sheetData>
    <row r="9" ht="45" customHeight="1" spans="8:17">
      <c r="H9" s="34" t="s">
        <v>0</v>
      </c>
      <c r="I9" s="35"/>
      <c r="J9" s="35"/>
      <c r="K9" s="35"/>
      <c r="L9" s="35"/>
      <c r="M9" s="35"/>
      <c r="N9" s="35"/>
      <c r="O9" s="35"/>
      <c r="P9" s="35"/>
      <c r="Q9" s="36"/>
    </row>
    <row r="10" ht="30" customHeight="1" spans="8:17">
      <c r="H10" s="37" t="s">
        <v>1</v>
      </c>
      <c r="I10" s="38" t="s">
        <v>2</v>
      </c>
      <c r="J10" s="37" t="s">
        <v>3</v>
      </c>
      <c r="K10" s="37" t="s">
        <v>4</v>
      </c>
      <c r="L10" s="37" t="s">
        <v>5</v>
      </c>
      <c r="M10" s="37" t="s">
        <v>6</v>
      </c>
      <c r="N10" s="37" t="s">
        <v>7</v>
      </c>
      <c r="O10" s="38" t="s">
        <v>8</v>
      </c>
      <c r="P10" s="37" t="s">
        <v>9</v>
      </c>
      <c r="Q10" s="37" t="s">
        <v>10</v>
      </c>
    </row>
    <row r="11" spans="8:17">
      <c r="H11" s="39">
        <v>1</v>
      </c>
      <c r="I11" s="40" t="s">
        <v>11</v>
      </c>
      <c r="J11" s="41">
        <v>46193</v>
      </c>
      <c r="K11" s="42" t="s">
        <v>12</v>
      </c>
      <c r="L11" s="42" t="s">
        <v>12</v>
      </c>
      <c r="M11" s="42" t="s">
        <v>12</v>
      </c>
      <c r="N11" s="42" t="s">
        <v>12</v>
      </c>
      <c r="O11" s="42"/>
      <c r="P11" s="42"/>
      <c r="Q11" s="42"/>
    </row>
    <row r="12" spans="8:17">
      <c r="H12" s="39">
        <v>2</v>
      </c>
      <c r="I12" s="40" t="s">
        <v>13</v>
      </c>
      <c r="J12" s="41">
        <v>46194</v>
      </c>
      <c r="K12" s="42" t="s">
        <v>12</v>
      </c>
      <c r="L12" s="42"/>
      <c r="M12" s="42"/>
      <c r="N12" s="42" t="s">
        <v>12</v>
      </c>
      <c r="O12" s="42" t="s">
        <v>12</v>
      </c>
      <c r="P12" s="42"/>
      <c r="Q12" s="42"/>
    </row>
    <row r="13" spans="8:17">
      <c r="H13" s="39">
        <v>3</v>
      </c>
      <c r="I13" s="40" t="s">
        <v>14</v>
      </c>
      <c r="J13" s="41">
        <v>46195</v>
      </c>
      <c r="K13" s="42" t="s">
        <v>12</v>
      </c>
      <c r="L13" s="42"/>
      <c r="M13" s="42"/>
      <c r="N13" s="42" t="s">
        <v>12</v>
      </c>
      <c r="O13" s="42"/>
      <c r="P13" s="42"/>
      <c r="Q13" s="42"/>
    </row>
    <row r="14" spans="8:17">
      <c r="H14" s="39">
        <v>4</v>
      </c>
      <c r="I14" s="40" t="s">
        <v>15</v>
      </c>
      <c r="J14" s="41">
        <v>46196</v>
      </c>
      <c r="K14" s="42"/>
      <c r="L14" s="42" t="s">
        <v>12</v>
      </c>
      <c r="M14" s="42"/>
      <c r="N14" s="42" t="s">
        <v>12</v>
      </c>
      <c r="O14" s="42"/>
      <c r="P14" s="42"/>
      <c r="Q14" s="42"/>
    </row>
    <row r="15" spans="8:17">
      <c r="H15" s="39">
        <v>5</v>
      </c>
      <c r="I15" s="40" t="s">
        <v>16</v>
      </c>
      <c r="J15" s="41">
        <v>46197</v>
      </c>
      <c r="K15" s="42" t="s">
        <v>12</v>
      </c>
      <c r="L15" s="42"/>
      <c r="M15" s="42"/>
      <c r="N15" s="42"/>
      <c r="O15" s="42"/>
      <c r="P15" s="42"/>
      <c r="Q15" s="42"/>
    </row>
    <row r="16" spans="8:17">
      <c r="H16" s="39">
        <v>6</v>
      </c>
      <c r="I16" s="40" t="s">
        <v>17</v>
      </c>
      <c r="J16" s="41">
        <v>46198</v>
      </c>
      <c r="K16" s="42" t="s">
        <v>12</v>
      </c>
      <c r="L16" s="42" t="s">
        <v>12</v>
      </c>
      <c r="M16" s="42" t="s">
        <v>12</v>
      </c>
      <c r="N16" s="42"/>
      <c r="O16" s="42"/>
      <c r="P16" s="42"/>
      <c r="Q16" s="42"/>
    </row>
    <row r="17" spans="8:17">
      <c r="H17" s="39">
        <v>7</v>
      </c>
      <c r="I17" s="40" t="s">
        <v>18</v>
      </c>
      <c r="J17" s="41">
        <v>46199</v>
      </c>
      <c r="K17" s="42"/>
      <c r="L17" s="42" t="s">
        <v>12</v>
      </c>
      <c r="M17" s="42" t="s">
        <v>12</v>
      </c>
      <c r="N17" s="42"/>
      <c r="O17" s="42"/>
      <c r="P17" s="42"/>
      <c r="Q17" s="42"/>
    </row>
    <row r="18" spans="8:17">
      <c r="H18" s="39">
        <v>8</v>
      </c>
      <c r="I18" s="40" t="s">
        <v>11</v>
      </c>
      <c r="J18" s="41">
        <v>46200</v>
      </c>
      <c r="K18" s="42"/>
      <c r="L18" s="42"/>
      <c r="M18" s="42"/>
      <c r="N18" s="42"/>
      <c r="O18" s="42"/>
      <c r="P18" s="42"/>
      <c r="Q18" s="42"/>
    </row>
    <row r="19" spans="8:17">
      <c r="H19" s="39">
        <v>9</v>
      </c>
      <c r="I19" s="40" t="s">
        <v>13</v>
      </c>
      <c r="J19" s="41">
        <v>46201</v>
      </c>
      <c r="K19" s="42" t="s">
        <v>12</v>
      </c>
      <c r="L19" s="42"/>
      <c r="M19" s="42"/>
      <c r="N19" s="42"/>
      <c r="O19" s="42"/>
      <c r="P19" s="42"/>
      <c r="Q19" s="42"/>
    </row>
    <row r="20" spans="8:17">
      <c r="H20" s="39">
        <v>10</v>
      </c>
      <c r="I20" s="40" t="s">
        <v>14</v>
      </c>
      <c r="J20" s="41">
        <v>46202</v>
      </c>
      <c r="K20" s="42"/>
      <c r="L20" s="42"/>
      <c r="M20" s="42"/>
      <c r="N20" s="42"/>
      <c r="O20" s="42"/>
      <c r="P20" s="42"/>
      <c r="Q20" s="42"/>
    </row>
    <row r="21" spans="8:17">
      <c r="H21" s="39">
        <v>11</v>
      </c>
      <c r="I21" s="40" t="s">
        <v>15</v>
      </c>
      <c r="J21" s="41">
        <v>46203</v>
      </c>
      <c r="K21" s="42"/>
      <c r="L21" s="42"/>
      <c r="M21" s="42"/>
      <c r="N21" s="42"/>
      <c r="O21" s="42"/>
      <c r="P21" s="42"/>
      <c r="Q21" s="42"/>
    </row>
    <row r="22" ht="14.6" spans="8:17">
      <c r="H22" s="43" t="s">
        <v>19</v>
      </c>
      <c r="I22" s="44"/>
      <c r="J22" s="45"/>
      <c r="K22" s="46">
        <f>COUNTA(K11:K21)</f>
        <v>6</v>
      </c>
      <c r="L22" s="46">
        <f t="shared" ref="L22:Q22" si="0">COUNTA(L11:L21)</f>
        <v>4</v>
      </c>
      <c r="M22" s="46">
        <f t="shared" si="0"/>
        <v>3</v>
      </c>
      <c r="N22" s="46">
        <f t="shared" si="0"/>
        <v>4</v>
      </c>
      <c r="O22" s="46">
        <f t="shared" si="0"/>
        <v>1</v>
      </c>
      <c r="P22" s="46">
        <f t="shared" si="0"/>
        <v>0</v>
      </c>
      <c r="Q22" s="46">
        <f t="shared" si="0"/>
        <v>0</v>
      </c>
    </row>
  </sheetData>
  <mergeCells count="2">
    <mergeCell ref="H9:Q9"/>
    <mergeCell ref="H22:J22"/>
  </mergeCells>
  <conditionalFormatting sqref="K22:Q22">
    <cfRule type="expression" dxfId="0" priority="1">
      <formula>Q22="+"</formula>
    </cfRule>
  </conditionalFormatting>
  <conditionalFormatting sqref="K11:Q21">
    <cfRule type="expression" dxfId="0" priority="2">
      <formula>Q11="+"</formula>
    </cfRule>
  </conditionalFormatting>
  <pageMargins left="0.7" right="0.7" top="0.75" bottom="0.75" header="0.3" footer="0.3"/>
  <pageSetup paperSize="9" orientation="portrait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9:AL42"/>
  <sheetViews>
    <sheetView zoomScale="80" zoomScaleNormal="80" topLeftCell="S8" workbookViewId="0">
      <selection activeCell="L47" sqref="L47"/>
    </sheetView>
  </sheetViews>
  <sheetFormatPr defaultColWidth="9.14159292035398" defaultRowHeight="14.25"/>
  <cols>
    <col min="1" max="7" width="9.14159292035398" style="2"/>
    <col min="8" max="8" width="5" style="2" customWidth="1"/>
    <col min="9" max="9" width="14.716814159292" style="2" customWidth="1"/>
    <col min="10" max="11" width="16.858407079646" style="2" customWidth="1"/>
    <col min="12" max="13" width="24.141592920354" style="2" customWidth="1"/>
    <col min="14" max="17" width="14.283185840708" style="2" customWidth="1"/>
    <col min="18" max="18" width="20.5752212389381" style="2" customWidth="1"/>
    <col min="19" max="20" width="23.283185840708" style="2" customWidth="1"/>
    <col min="21" max="22" width="11.283185840708" style="2" customWidth="1"/>
    <col min="23" max="23" width="30.283185840708" style="2" customWidth="1"/>
    <col min="24" max="24" width="11.5752212389381" style="2" customWidth="1"/>
    <col min="25" max="25" width="14.5752212389381" style="2" customWidth="1"/>
    <col min="26" max="27" width="10" style="2" customWidth="1"/>
    <col min="28" max="28" width="28" style="2" customWidth="1"/>
    <col min="29" max="29" width="14.141592920354" style="2" customWidth="1"/>
    <col min="30" max="30" width="13.858407079646" style="2" customWidth="1"/>
    <col min="31" max="37" width="18.4247787610619" style="2" customWidth="1"/>
    <col min="38" max="38" width="18" style="2" customWidth="1"/>
    <col min="39" max="16384" width="9.14159292035398" style="2"/>
  </cols>
  <sheetData>
    <row r="9" ht="45" customHeight="1" spans="8:38">
      <c r="H9" s="3" t="s">
        <v>0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ht="30" customHeight="1" spans="8:38">
      <c r="H10" s="5" t="s">
        <v>1</v>
      </c>
      <c r="I10" s="6" t="s">
        <v>2</v>
      </c>
      <c r="J10" s="5" t="s">
        <v>3</v>
      </c>
      <c r="K10" s="7" t="s">
        <v>20</v>
      </c>
      <c r="L10" s="7" t="s">
        <v>21</v>
      </c>
      <c r="M10" s="7" t="s">
        <v>22</v>
      </c>
      <c r="N10" s="8" t="s">
        <v>4</v>
      </c>
      <c r="O10" s="9" t="s">
        <v>23</v>
      </c>
      <c r="P10" s="9" t="s">
        <v>24</v>
      </c>
      <c r="Q10" s="9" t="s">
        <v>25</v>
      </c>
      <c r="R10" s="9" t="s">
        <v>26</v>
      </c>
      <c r="S10" s="10" t="s">
        <v>27</v>
      </c>
      <c r="T10" s="10" t="s">
        <v>28</v>
      </c>
      <c r="U10" s="11" t="s">
        <v>5</v>
      </c>
      <c r="V10" s="11" t="s">
        <v>6</v>
      </c>
      <c r="W10" s="10" t="s">
        <v>29</v>
      </c>
      <c r="X10" s="12" t="s">
        <v>7</v>
      </c>
      <c r="Y10" s="13" t="s">
        <v>8</v>
      </c>
      <c r="Z10" s="12" t="s">
        <v>9</v>
      </c>
      <c r="AA10" s="14" t="s">
        <v>10</v>
      </c>
      <c r="AB10" s="15" t="s">
        <v>30</v>
      </c>
      <c r="AC10" s="16" t="s">
        <v>4</v>
      </c>
      <c r="AD10" s="15" t="s">
        <v>31</v>
      </c>
      <c r="AE10" s="15" t="s">
        <v>32</v>
      </c>
      <c r="AF10" s="15" t="s">
        <v>33</v>
      </c>
      <c r="AG10" s="17" t="s">
        <v>34</v>
      </c>
      <c r="AH10" s="17" t="s">
        <v>34</v>
      </c>
      <c r="AI10" s="17" t="s">
        <v>34</v>
      </c>
      <c r="AJ10" s="17" t="s">
        <v>34</v>
      </c>
      <c r="AK10" s="17" t="s">
        <v>34</v>
      </c>
      <c r="AL10" s="18" t="s">
        <v>35</v>
      </c>
    </row>
    <row r="11" spans="8:38">
      <c r="H11" s="19">
        <v>1</v>
      </c>
      <c r="I11" s="20" t="s">
        <v>16</v>
      </c>
      <c r="J11" s="21">
        <v>46204</v>
      </c>
      <c r="K11" s="21"/>
      <c r="L11" s="21"/>
      <c r="M11" s="21"/>
      <c r="N11" s="22"/>
      <c r="O11" s="22"/>
      <c r="P11" s="22"/>
      <c r="Q11" s="22"/>
      <c r="R11" s="22"/>
      <c r="S11" s="22" t="s">
        <v>12</v>
      </c>
      <c r="T11" s="22"/>
      <c r="U11" s="22"/>
      <c r="V11" s="22"/>
      <c r="W11" s="22"/>
      <c r="X11" s="22"/>
      <c r="Y11" s="22"/>
      <c r="Z11" s="22"/>
      <c r="AA11" s="22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4">
        <f>COUNTA(K11:AK11)</f>
        <v>1</v>
      </c>
    </row>
    <row r="12" spans="8:38">
      <c r="H12" s="19">
        <v>2</v>
      </c>
      <c r="I12" s="20" t="s">
        <v>17</v>
      </c>
      <c r="J12" s="21">
        <v>46205</v>
      </c>
      <c r="K12" s="21"/>
      <c r="L12" s="21"/>
      <c r="M12" s="21"/>
      <c r="N12" s="22"/>
      <c r="O12" s="22"/>
      <c r="P12" s="22"/>
      <c r="Q12" s="22"/>
      <c r="R12" s="22"/>
      <c r="S12" s="22" t="s">
        <v>12</v>
      </c>
      <c r="T12" s="22"/>
      <c r="U12" s="22" t="s">
        <v>12</v>
      </c>
      <c r="V12" s="22"/>
      <c r="W12" s="22"/>
      <c r="X12" s="22"/>
      <c r="Y12" s="22"/>
      <c r="Z12" s="22"/>
      <c r="AA12" s="22"/>
      <c r="AB12" s="22"/>
      <c r="AC12" s="22"/>
      <c r="AD12" s="22"/>
      <c r="AE12" s="22" t="s">
        <v>12</v>
      </c>
      <c r="AF12" s="22"/>
      <c r="AG12" s="22"/>
      <c r="AH12" s="22"/>
      <c r="AI12" s="22"/>
      <c r="AJ12" s="22"/>
      <c r="AK12" s="22"/>
      <c r="AL12" s="24">
        <f t="shared" ref="AL12:AL41" si="0">COUNTA(K12:AK12)</f>
        <v>3</v>
      </c>
    </row>
    <row r="13" spans="8:38">
      <c r="H13" s="19">
        <v>3</v>
      </c>
      <c r="I13" s="20" t="s">
        <v>18</v>
      </c>
      <c r="J13" s="21">
        <v>46206</v>
      </c>
      <c r="K13" s="25" t="s">
        <v>12</v>
      </c>
      <c r="L13" s="25" t="s">
        <v>12</v>
      </c>
      <c r="M13" s="25"/>
      <c r="N13" s="22" t="s">
        <v>12</v>
      </c>
      <c r="O13" s="22" t="s">
        <v>12</v>
      </c>
      <c r="P13" s="22" t="s">
        <v>12</v>
      </c>
      <c r="Q13" s="22" t="s">
        <v>12</v>
      </c>
      <c r="R13" s="22" t="s">
        <v>12</v>
      </c>
      <c r="S13" s="22" t="s">
        <v>12</v>
      </c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4">
        <f t="shared" si="0"/>
        <v>8</v>
      </c>
    </row>
    <row r="14" spans="8:38">
      <c r="H14" s="19">
        <v>4</v>
      </c>
      <c r="I14" s="20" t="s">
        <v>11</v>
      </c>
      <c r="J14" s="21">
        <v>46207</v>
      </c>
      <c r="K14" s="25"/>
      <c r="L14" s="25"/>
      <c r="M14" s="25"/>
      <c r="N14" s="22"/>
      <c r="O14" s="22"/>
      <c r="P14" s="22" t="s">
        <v>12</v>
      </c>
      <c r="Q14" s="22" t="s">
        <v>12</v>
      </c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4">
        <f t="shared" si="0"/>
        <v>2</v>
      </c>
    </row>
    <row r="15" spans="8:38">
      <c r="H15" s="19">
        <v>5</v>
      </c>
      <c r="I15" s="20" t="s">
        <v>13</v>
      </c>
      <c r="J15" s="21">
        <v>46208</v>
      </c>
      <c r="K15" s="25"/>
      <c r="L15" s="25"/>
      <c r="M15" s="25"/>
      <c r="N15" s="22"/>
      <c r="O15" s="22" t="s">
        <v>12</v>
      </c>
      <c r="P15" s="22" t="s">
        <v>12</v>
      </c>
      <c r="Q15" s="22" t="s">
        <v>12</v>
      </c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4">
        <f t="shared" si="0"/>
        <v>3</v>
      </c>
    </row>
    <row r="16" spans="8:38">
      <c r="H16" s="19">
        <v>6</v>
      </c>
      <c r="I16" s="20" t="s">
        <v>14</v>
      </c>
      <c r="J16" s="21">
        <v>46209</v>
      </c>
      <c r="K16" s="25" t="s">
        <v>12</v>
      </c>
      <c r="L16" s="25" t="s">
        <v>12</v>
      </c>
      <c r="M16" s="25"/>
      <c r="N16" s="22"/>
      <c r="O16" s="22"/>
      <c r="P16" s="22" t="s">
        <v>12</v>
      </c>
      <c r="Q16" s="22" t="s">
        <v>12</v>
      </c>
      <c r="R16" s="22" t="s">
        <v>12</v>
      </c>
      <c r="S16" s="22" t="s">
        <v>12</v>
      </c>
      <c r="T16" s="22" t="s">
        <v>12</v>
      </c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 t="s">
        <v>12</v>
      </c>
      <c r="AF16" s="22"/>
      <c r="AG16" s="22"/>
      <c r="AH16" s="22"/>
      <c r="AI16" s="22"/>
      <c r="AJ16" s="22"/>
      <c r="AK16" s="22"/>
      <c r="AL16" s="24">
        <f t="shared" si="0"/>
        <v>8</v>
      </c>
    </row>
    <row r="17" spans="8:38">
      <c r="H17" s="19">
        <v>7</v>
      </c>
      <c r="I17" s="20" t="s">
        <v>15</v>
      </c>
      <c r="J17" s="21">
        <v>46210</v>
      </c>
      <c r="K17" s="25"/>
      <c r="L17" s="25" t="s">
        <v>12</v>
      </c>
      <c r="M17" s="25"/>
      <c r="N17" s="22" t="s">
        <v>12</v>
      </c>
      <c r="O17" s="22"/>
      <c r="P17" s="22" t="s">
        <v>12</v>
      </c>
      <c r="Q17" s="22" t="s">
        <v>12</v>
      </c>
      <c r="R17" s="22"/>
      <c r="S17" s="22" t="s">
        <v>12</v>
      </c>
      <c r="T17" s="22"/>
      <c r="U17" s="22"/>
      <c r="V17" s="22"/>
      <c r="W17" s="22" t="s">
        <v>12</v>
      </c>
      <c r="X17" s="22"/>
      <c r="Y17" s="22"/>
      <c r="Z17" s="22"/>
      <c r="AA17" s="22"/>
      <c r="AB17" s="22"/>
      <c r="AC17" s="22"/>
      <c r="AD17" s="22"/>
      <c r="AE17" s="22" t="s">
        <v>12</v>
      </c>
      <c r="AF17" s="22"/>
      <c r="AG17" s="22"/>
      <c r="AH17" s="22"/>
      <c r="AI17" s="22"/>
      <c r="AJ17" s="22"/>
      <c r="AK17" s="22"/>
      <c r="AL17" s="24">
        <f t="shared" si="0"/>
        <v>7</v>
      </c>
    </row>
    <row r="18" spans="8:38">
      <c r="H18" s="19">
        <v>8</v>
      </c>
      <c r="I18" s="20" t="s">
        <v>16</v>
      </c>
      <c r="J18" s="21">
        <v>46211</v>
      </c>
      <c r="K18" s="25" t="s">
        <v>12</v>
      </c>
      <c r="L18" s="25" t="s">
        <v>12</v>
      </c>
      <c r="M18" s="25"/>
      <c r="N18" s="22" t="s">
        <v>12</v>
      </c>
      <c r="O18" s="22"/>
      <c r="P18" s="22" t="s">
        <v>12</v>
      </c>
      <c r="Q18" s="22" t="s">
        <v>12</v>
      </c>
      <c r="R18" s="22"/>
      <c r="S18" s="22" t="s">
        <v>12</v>
      </c>
      <c r="T18" s="22"/>
      <c r="U18" s="22"/>
      <c r="V18" s="22"/>
      <c r="W18" s="22" t="s">
        <v>12</v>
      </c>
      <c r="X18" s="22" t="s">
        <v>12</v>
      </c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4">
        <f t="shared" si="0"/>
        <v>8</v>
      </c>
    </row>
    <row r="19" spans="8:38">
      <c r="H19" s="19">
        <v>9</v>
      </c>
      <c r="I19" s="20" t="s">
        <v>17</v>
      </c>
      <c r="J19" s="21">
        <v>46212</v>
      </c>
      <c r="K19" s="25"/>
      <c r="L19" s="25"/>
      <c r="M19" s="25"/>
      <c r="N19" s="22"/>
      <c r="O19" s="22"/>
      <c r="P19" s="22"/>
      <c r="Q19" s="22"/>
      <c r="R19" s="22"/>
      <c r="S19" s="26" t="s">
        <v>12</v>
      </c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4">
        <f t="shared" si="0"/>
        <v>1</v>
      </c>
    </row>
    <row r="20" spans="8:38">
      <c r="H20" s="19">
        <v>10</v>
      </c>
      <c r="I20" s="20" t="s">
        <v>18</v>
      </c>
      <c r="J20" s="21">
        <v>46213</v>
      </c>
      <c r="K20" s="25"/>
      <c r="L20" s="25"/>
      <c r="M20" s="25"/>
      <c r="N20" s="22"/>
      <c r="O20" s="22"/>
      <c r="P20" s="22"/>
      <c r="Q20" s="22"/>
      <c r="R20" s="22"/>
      <c r="S20" s="22" t="s">
        <v>12</v>
      </c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4">
        <f t="shared" si="0"/>
        <v>1</v>
      </c>
    </row>
    <row r="21" spans="8:38">
      <c r="H21" s="19">
        <v>11</v>
      </c>
      <c r="I21" s="20" t="s">
        <v>11</v>
      </c>
      <c r="J21" s="21">
        <v>46214</v>
      </c>
      <c r="K21" s="25"/>
      <c r="L21" s="25"/>
      <c r="M21" s="25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6" t="s">
        <v>12</v>
      </c>
      <c r="AG21" s="22"/>
      <c r="AH21" s="22"/>
      <c r="AI21" s="22"/>
      <c r="AJ21" s="22"/>
      <c r="AK21" s="22"/>
      <c r="AL21" s="24">
        <f t="shared" si="0"/>
        <v>1</v>
      </c>
    </row>
    <row r="22" spans="8:38">
      <c r="H22" s="19">
        <v>12</v>
      </c>
      <c r="I22" s="20" t="s">
        <v>13</v>
      </c>
      <c r="J22" s="21">
        <v>46215</v>
      </c>
      <c r="K22" s="25"/>
      <c r="L22" s="25"/>
      <c r="M22" s="25"/>
      <c r="N22" s="22" t="s">
        <v>12</v>
      </c>
      <c r="O22" s="22" t="s">
        <v>12</v>
      </c>
      <c r="P22" s="22" t="s">
        <v>12</v>
      </c>
      <c r="Q22" s="22" t="s">
        <v>12</v>
      </c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 t="s">
        <v>12</v>
      </c>
      <c r="AG22" s="22"/>
      <c r="AH22" s="22"/>
      <c r="AI22" s="22"/>
      <c r="AJ22" s="22"/>
      <c r="AK22" s="22"/>
      <c r="AL22" s="24">
        <f t="shared" si="0"/>
        <v>5</v>
      </c>
    </row>
    <row r="23" spans="8:38">
      <c r="H23" s="19">
        <v>13</v>
      </c>
      <c r="I23" s="20" t="s">
        <v>14</v>
      </c>
      <c r="J23" s="21">
        <v>46216</v>
      </c>
      <c r="K23" s="25" t="s">
        <v>12</v>
      </c>
      <c r="L23" s="25" t="s">
        <v>12</v>
      </c>
      <c r="M23" s="25" t="s">
        <v>12</v>
      </c>
      <c r="N23" s="22" t="s">
        <v>12</v>
      </c>
      <c r="O23" s="22"/>
      <c r="P23" s="22" t="s">
        <v>12</v>
      </c>
      <c r="Q23" s="22" t="s">
        <v>12</v>
      </c>
      <c r="R23" s="22"/>
      <c r="S23" s="22" t="s">
        <v>12</v>
      </c>
      <c r="T23" s="22"/>
      <c r="U23" s="22" t="s">
        <v>12</v>
      </c>
      <c r="V23" s="22"/>
      <c r="W23" s="22" t="s">
        <v>12</v>
      </c>
      <c r="X23" s="22"/>
      <c r="Y23" s="22" t="s">
        <v>12</v>
      </c>
      <c r="Z23" s="22"/>
      <c r="AA23" s="22"/>
      <c r="AB23" s="22"/>
      <c r="AC23" s="22"/>
      <c r="AD23" s="22" t="s">
        <v>12</v>
      </c>
      <c r="AE23" s="22" t="s">
        <v>12</v>
      </c>
      <c r="AF23" s="22" t="s">
        <v>12</v>
      </c>
      <c r="AG23" s="22"/>
      <c r="AH23" s="22"/>
      <c r="AI23" s="22"/>
      <c r="AJ23" s="22"/>
      <c r="AK23" s="22"/>
      <c r="AL23" s="24">
        <f t="shared" si="0"/>
        <v>13</v>
      </c>
    </row>
    <row r="24" spans="8:38">
      <c r="H24" s="19">
        <v>14</v>
      </c>
      <c r="I24" s="20" t="s">
        <v>15</v>
      </c>
      <c r="J24" s="21">
        <v>46217</v>
      </c>
      <c r="K24" s="25"/>
      <c r="L24" s="25"/>
      <c r="M24" s="25" t="s">
        <v>12</v>
      </c>
      <c r="N24" s="22" t="s">
        <v>12</v>
      </c>
      <c r="O24" s="22"/>
      <c r="P24" s="22" t="s">
        <v>12</v>
      </c>
      <c r="Q24" s="22" t="s">
        <v>12</v>
      </c>
      <c r="R24" s="22"/>
      <c r="S24" s="26" t="s">
        <v>12</v>
      </c>
      <c r="T24" s="26" t="s">
        <v>12</v>
      </c>
      <c r="U24" s="22"/>
      <c r="V24" s="22"/>
      <c r="W24" s="22" t="s">
        <v>12</v>
      </c>
      <c r="X24" s="22"/>
      <c r="Y24" s="22"/>
      <c r="Z24" s="22"/>
      <c r="AA24" s="22"/>
      <c r="AB24" s="22"/>
      <c r="AC24" s="22"/>
      <c r="AD24" s="22"/>
      <c r="AE24" s="22"/>
      <c r="AF24" s="22" t="s">
        <v>12</v>
      </c>
      <c r="AG24" s="22"/>
      <c r="AH24" s="22"/>
      <c r="AI24" s="22"/>
      <c r="AJ24" s="22"/>
      <c r="AK24" s="22"/>
      <c r="AL24" s="24">
        <f t="shared" si="0"/>
        <v>8</v>
      </c>
    </row>
    <row r="25" spans="8:38">
      <c r="H25" s="19">
        <v>15</v>
      </c>
      <c r="I25" s="20" t="s">
        <v>16</v>
      </c>
      <c r="J25" s="21">
        <v>46218</v>
      </c>
      <c r="K25" s="25"/>
      <c r="L25" s="25" t="s">
        <v>12</v>
      </c>
      <c r="M25" s="25" t="s">
        <v>12</v>
      </c>
      <c r="N25" s="22"/>
      <c r="O25" s="22"/>
      <c r="P25" s="22" t="s">
        <v>12</v>
      </c>
      <c r="Q25" s="22" t="s">
        <v>12</v>
      </c>
      <c r="R25" s="22"/>
      <c r="S25" s="22" t="s">
        <v>12</v>
      </c>
      <c r="T25" s="22" t="s">
        <v>12</v>
      </c>
      <c r="U25" s="22"/>
      <c r="V25" s="22"/>
      <c r="W25" s="22" t="s">
        <v>12</v>
      </c>
      <c r="X25" s="22"/>
      <c r="Y25" s="22"/>
      <c r="Z25" s="22"/>
      <c r="AA25" s="22"/>
      <c r="AB25" s="22"/>
      <c r="AC25" s="22"/>
      <c r="AD25" s="22"/>
      <c r="AE25" s="22"/>
      <c r="AF25" s="22" t="s">
        <v>12</v>
      </c>
      <c r="AG25" s="22"/>
      <c r="AH25" s="22"/>
      <c r="AI25" s="22"/>
      <c r="AJ25" s="22"/>
      <c r="AK25" s="22" t="s">
        <v>12</v>
      </c>
      <c r="AL25" s="24">
        <f t="shared" si="0"/>
        <v>9</v>
      </c>
    </row>
    <row r="26" spans="8:38">
      <c r="H26" s="19">
        <v>16</v>
      </c>
      <c r="I26" s="20" t="s">
        <v>17</v>
      </c>
      <c r="J26" s="21">
        <v>46219</v>
      </c>
      <c r="K26" s="25"/>
      <c r="L26" s="25"/>
      <c r="M26" s="25" t="s">
        <v>12</v>
      </c>
      <c r="N26" s="22"/>
      <c r="O26" s="22"/>
      <c r="P26" s="22"/>
      <c r="Q26" s="22"/>
      <c r="R26" s="22"/>
      <c r="S26" s="22" t="s">
        <v>12</v>
      </c>
      <c r="T26" s="22" t="s">
        <v>12</v>
      </c>
      <c r="U26" s="22"/>
      <c r="V26" s="22"/>
      <c r="W26" s="22" t="s">
        <v>12</v>
      </c>
      <c r="X26" s="22"/>
      <c r="Y26" s="22"/>
      <c r="Z26" s="22"/>
      <c r="AA26" s="22"/>
      <c r="AB26" s="22"/>
      <c r="AC26" s="22"/>
      <c r="AD26" s="22"/>
      <c r="AE26" s="22" t="s">
        <v>12</v>
      </c>
      <c r="AF26" s="22" t="s">
        <v>12</v>
      </c>
      <c r="AG26" s="22"/>
      <c r="AH26" s="22" t="s">
        <v>12</v>
      </c>
      <c r="AI26" s="22"/>
      <c r="AJ26" s="22"/>
      <c r="AK26" s="22" t="s">
        <v>12</v>
      </c>
      <c r="AL26" s="24">
        <f t="shared" si="0"/>
        <v>8</v>
      </c>
    </row>
    <row r="27" spans="8:38">
      <c r="H27" s="19">
        <v>17</v>
      </c>
      <c r="I27" s="20" t="s">
        <v>18</v>
      </c>
      <c r="J27" s="21">
        <v>46220</v>
      </c>
      <c r="K27" s="25" t="s">
        <v>12</v>
      </c>
      <c r="L27" s="25" t="s">
        <v>12</v>
      </c>
      <c r="M27" s="25" t="s">
        <v>12</v>
      </c>
      <c r="N27" s="22" t="s">
        <v>12</v>
      </c>
      <c r="O27" s="22"/>
      <c r="P27" s="22" t="s">
        <v>12</v>
      </c>
      <c r="Q27" s="22" t="s">
        <v>12</v>
      </c>
      <c r="R27" s="22"/>
      <c r="S27" s="22" t="s">
        <v>12</v>
      </c>
      <c r="T27" s="22" t="s">
        <v>12</v>
      </c>
      <c r="U27" s="22" t="s">
        <v>12</v>
      </c>
      <c r="V27" s="22"/>
      <c r="W27" s="22" t="s">
        <v>12</v>
      </c>
      <c r="X27" s="22"/>
      <c r="Y27" s="22"/>
      <c r="Z27" s="22"/>
      <c r="AA27" s="22"/>
      <c r="AB27" s="22"/>
      <c r="AC27" s="22"/>
      <c r="AD27" s="22"/>
      <c r="AE27" s="22"/>
      <c r="AF27" s="22" t="s">
        <v>12</v>
      </c>
      <c r="AG27" s="22" t="s">
        <v>12</v>
      </c>
      <c r="AH27" s="22" t="s">
        <v>12</v>
      </c>
      <c r="AI27" s="22"/>
      <c r="AJ27" s="22"/>
      <c r="AK27" s="22"/>
      <c r="AL27" s="24">
        <f t="shared" si="0"/>
        <v>13</v>
      </c>
    </row>
    <row r="28" spans="8:38">
      <c r="H28" s="19">
        <v>18</v>
      </c>
      <c r="I28" s="20" t="s">
        <v>11</v>
      </c>
      <c r="J28" s="21">
        <v>46221</v>
      </c>
      <c r="K28" s="25"/>
      <c r="L28" s="25"/>
      <c r="M28" s="25" t="s">
        <v>12</v>
      </c>
      <c r="N28" s="22" t="s">
        <v>12</v>
      </c>
      <c r="O28" s="22"/>
      <c r="P28" s="22" t="s">
        <v>12</v>
      </c>
      <c r="Q28" s="22" t="s">
        <v>12</v>
      </c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 t="s">
        <v>12</v>
      </c>
      <c r="AG28" s="22"/>
      <c r="AH28" s="22"/>
      <c r="AI28" s="22"/>
      <c r="AJ28" s="22"/>
      <c r="AK28" s="22"/>
      <c r="AL28" s="24">
        <f t="shared" si="0"/>
        <v>5</v>
      </c>
    </row>
    <row r="29" spans="8:38">
      <c r="H29" s="19">
        <v>19</v>
      </c>
      <c r="I29" s="20" t="s">
        <v>13</v>
      </c>
      <c r="J29" s="21">
        <v>46222</v>
      </c>
      <c r="K29" s="25"/>
      <c r="L29" s="25"/>
      <c r="M29" s="25"/>
      <c r="N29" s="22"/>
      <c r="O29" s="22"/>
      <c r="P29" s="22"/>
      <c r="Q29" s="22"/>
      <c r="R29" s="22"/>
      <c r="S29" s="22"/>
      <c r="T29" s="22" t="s">
        <v>12</v>
      </c>
      <c r="U29" s="22"/>
      <c r="V29" s="22"/>
      <c r="W29" s="22"/>
      <c r="X29" s="22"/>
      <c r="Y29" s="22"/>
      <c r="Z29" s="22"/>
      <c r="AA29" s="22"/>
      <c r="AB29" s="22"/>
      <c r="AC29" s="22"/>
      <c r="AD29" s="22" t="s">
        <v>12</v>
      </c>
      <c r="AE29" s="22"/>
      <c r="AF29" s="22" t="s">
        <v>12</v>
      </c>
      <c r="AG29" s="22"/>
      <c r="AH29" s="22"/>
      <c r="AI29" s="22"/>
      <c r="AJ29" s="22"/>
      <c r="AK29" s="22"/>
      <c r="AL29" s="24">
        <f t="shared" si="0"/>
        <v>3</v>
      </c>
    </row>
    <row r="30" spans="8:38">
      <c r="H30" s="19">
        <v>20</v>
      </c>
      <c r="I30" s="20" t="s">
        <v>14</v>
      </c>
      <c r="J30" s="21">
        <v>46223</v>
      </c>
      <c r="K30" s="25"/>
      <c r="L30" s="25" t="s">
        <v>12</v>
      </c>
      <c r="M30" s="25" t="s">
        <v>12</v>
      </c>
      <c r="N30" s="22" t="s">
        <v>12</v>
      </c>
      <c r="O30" s="22"/>
      <c r="P30" s="22" t="s">
        <v>12</v>
      </c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4">
        <f t="shared" si="0"/>
        <v>4</v>
      </c>
    </row>
    <row r="31" spans="8:38">
      <c r="H31" s="19">
        <v>21</v>
      </c>
      <c r="I31" s="20" t="s">
        <v>15</v>
      </c>
      <c r="J31" s="21">
        <v>46224</v>
      </c>
      <c r="K31" s="25"/>
      <c r="L31" s="25"/>
      <c r="M31" s="25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4">
        <f t="shared" si="0"/>
        <v>0</v>
      </c>
    </row>
    <row r="32" spans="8:38">
      <c r="H32" s="19">
        <v>22</v>
      </c>
      <c r="I32" s="20" t="s">
        <v>16</v>
      </c>
      <c r="J32" s="21">
        <v>46225</v>
      </c>
      <c r="K32" s="25"/>
      <c r="L32" s="25"/>
      <c r="M32" s="25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4">
        <f t="shared" si="0"/>
        <v>0</v>
      </c>
    </row>
    <row r="33" spans="8:38">
      <c r="H33" s="19">
        <v>23</v>
      </c>
      <c r="I33" s="20" t="s">
        <v>17</v>
      </c>
      <c r="J33" s="21">
        <v>46226</v>
      </c>
      <c r="K33" s="25"/>
      <c r="L33" s="25"/>
      <c r="M33" s="25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4">
        <f t="shared" si="0"/>
        <v>0</v>
      </c>
    </row>
    <row r="34" spans="8:38">
      <c r="H34" s="19">
        <v>24</v>
      </c>
      <c r="I34" s="20" t="s">
        <v>18</v>
      </c>
      <c r="J34" s="21">
        <v>46227</v>
      </c>
      <c r="K34" s="25" t="s">
        <v>12</v>
      </c>
      <c r="L34" s="25" t="s">
        <v>12</v>
      </c>
      <c r="M34" s="25" t="s">
        <v>12</v>
      </c>
      <c r="N34" s="22"/>
      <c r="O34" s="22"/>
      <c r="P34" s="22" t="s">
        <v>12</v>
      </c>
      <c r="Q34" s="22" t="s">
        <v>12</v>
      </c>
      <c r="R34" s="22" t="s">
        <v>12</v>
      </c>
      <c r="S34" s="22" t="s">
        <v>12</v>
      </c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4">
        <f t="shared" si="0"/>
        <v>7</v>
      </c>
    </row>
    <row r="35" spans="8:38">
      <c r="H35" s="19">
        <v>25</v>
      </c>
      <c r="I35" s="20" t="s">
        <v>11</v>
      </c>
      <c r="J35" s="21">
        <v>46228</v>
      </c>
      <c r="K35" s="25"/>
      <c r="L35" s="25"/>
      <c r="M35" s="25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 t="s">
        <v>12</v>
      </c>
      <c r="AG35" s="22"/>
      <c r="AH35" s="22"/>
      <c r="AI35" s="22"/>
      <c r="AJ35" s="22"/>
      <c r="AK35" s="22"/>
      <c r="AL35" s="24">
        <f t="shared" si="0"/>
        <v>1</v>
      </c>
    </row>
    <row r="36" spans="8:38">
      <c r="H36" s="19">
        <v>26</v>
      </c>
      <c r="I36" s="20" t="s">
        <v>13</v>
      </c>
      <c r="J36" s="21">
        <v>46229</v>
      </c>
      <c r="K36" s="25"/>
      <c r="L36" s="25"/>
      <c r="M36" s="25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 t="s">
        <v>12</v>
      </c>
      <c r="AC36" s="22"/>
      <c r="AD36" s="22" t="s">
        <v>12</v>
      </c>
      <c r="AE36" s="22"/>
      <c r="AF36" s="22" t="s">
        <v>12</v>
      </c>
      <c r="AG36" s="22"/>
      <c r="AH36" s="22"/>
      <c r="AI36" s="22"/>
      <c r="AJ36" s="22"/>
      <c r="AK36" s="22"/>
      <c r="AL36" s="24">
        <f t="shared" si="0"/>
        <v>3</v>
      </c>
    </row>
    <row r="37" spans="8:38">
      <c r="H37" s="19">
        <v>27</v>
      </c>
      <c r="I37" s="20" t="s">
        <v>14</v>
      </c>
      <c r="J37" s="21">
        <v>46230</v>
      </c>
      <c r="K37" s="25"/>
      <c r="L37" s="25"/>
      <c r="M37" s="25"/>
      <c r="N37" s="22"/>
      <c r="O37" s="22" t="s">
        <v>12</v>
      </c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4">
        <f t="shared" si="0"/>
        <v>1</v>
      </c>
    </row>
    <row r="38" spans="8:38">
      <c r="H38" s="19">
        <v>28</v>
      </c>
      <c r="I38" s="20" t="s">
        <v>15</v>
      </c>
      <c r="J38" s="21">
        <v>46231</v>
      </c>
      <c r="K38" s="25"/>
      <c r="L38" s="25"/>
      <c r="M38" s="25"/>
      <c r="N38" s="22"/>
      <c r="O38" s="22"/>
      <c r="P38" s="22"/>
      <c r="Q38" s="22"/>
      <c r="R38" s="22" t="s">
        <v>12</v>
      </c>
      <c r="S38" s="22" t="s">
        <v>12</v>
      </c>
      <c r="T38" s="22"/>
      <c r="U38" s="22" t="s">
        <v>12</v>
      </c>
      <c r="V38" s="22" t="s">
        <v>12</v>
      </c>
      <c r="W38" s="22"/>
      <c r="X38" s="22"/>
      <c r="Y38" s="22"/>
      <c r="Z38" s="22"/>
      <c r="AA38" s="22"/>
      <c r="AB38" s="22"/>
      <c r="AC38" s="22"/>
      <c r="AD38" s="22" t="s">
        <v>12</v>
      </c>
      <c r="AE38" s="22"/>
      <c r="AF38" s="22"/>
      <c r="AG38" s="22"/>
      <c r="AH38" s="22"/>
      <c r="AI38" s="22"/>
      <c r="AJ38" s="22"/>
      <c r="AK38" s="22"/>
      <c r="AL38" s="24">
        <f t="shared" si="0"/>
        <v>5</v>
      </c>
    </row>
    <row r="39" spans="8:38">
      <c r="H39" s="19">
        <v>29</v>
      </c>
      <c r="I39" s="20" t="s">
        <v>16</v>
      </c>
      <c r="J39" s="21">
        <v>46232</v>
      </c>
      <c r="K39" s="25"/>
      <c r="L39" s="25"/>
      <c r="M39" s="25"/>
      <c r="N39" s="22"/>
      <c r="O39" s="22"/>
      <c r="P39" s="27"/>
      <c r="Q39" s="27"/>
      <c r="R39" s="27" t="s">
        <v>12</v>
      </c>
      <c r="S39" s="27" t="s">
        <v>12</v>
      </c>
      <c r="T39" s="27" t="s">
        <v>12</v>
      </c>
      <c r="U39" s="27"/>
      <c r="V39" s="27"/>
      <c r="W39" s="27" t="s">
        <v>12</v>
      </c>
      <c r="X39" s="27"/>
      <c r="Y39" s="27"/>
      <c r="Z39" s="27"/>
      <c r="AA39" s="27"/>
      <c r="AB39" s="27"/>
      <c r="AC39" s="27"/>
      <c r="AD39" s="27"/>
      <c r="AE39" s="27"/>
      <c r="AF39" s="27" t="s">
        <v>12</v>
      </c>
      <c r="AG39" s="27"/>
      <c r="AH39" s="27"/>
      <c r="AI39" s="27"/>
      <c r="AJ39" s="27"/>
      <c r="AK39" s="27"/>
      <c r="AL39" s="24">
        <f t="shared" si="0"/>
        <v>5</v>
      </c>
    </row>
    <row r="40" spans="8:38">
      <c r="H40" s="28">
        <v>30</v>
      </c>
      <c r="I40" s="29" t="s">
        <v>17</v>
      </c>
      <c r="J40" s="30">
        <v>46233</v>
      </c>
      <c r="K40" s="31"/>
      <c r="L40" s="31"/>
      <c r="M40" s="31"/>
      <c r="N40" s="27"/>
      <c r="O40" s="27"/>
      <c r="P40" s="27"/>
      <c r="Q40" s="27"/>
      <c r="R40" s="27"/>
      <c r="S40" s="27" t="s">
        <v>12</v>
      </c>
      <c r="T40" s="27"/>
      <c r="U40" s="27"/>
      <c r="V40" s="27"/>
      <c r="W40" s="27" t="s">
        <v>12</v>
      </c>
      <c r="X40" s="27"/>
      <c r="Y40" s="27"/>
      <c r="Z40" s="27"/>
      <c r="AA40" s="27"/>
      <c r="AB40" s="27"/>
      <c r="AC40" s="27"/>
      <c r="AD40" s="27" t="s">
        <v>12</v>
      </c>
      <c r="AE40" s="27"/>
      <c r="AF40" s="27"/>
      <c r="AG40" s="27"/>
      <c r="AH40" s="27"/>
      <c r="AI40" s="27"/>
      <c r="AJ40" s="27"/>
      <c r="AK40" s="27"/>
      <c r="AL40" s="24">
        <f t="shared" si="0"/>
        <v>3</v>
      </c>
    </row>
    <row r="41" spans="8:38">
      <c r="H41" s="28">
        <v>31</v>
      </c>
      <c r="I41" s="29" t="s">
        <v>18</v>
      </c>
      <c r="J41" s="30">
        <v>46234</v>
      </c>
      <c r="K41" s="31"/>
      <c r="L41" s="31"/>
      <c r="M41" s="31" t="s">
        <v>12</v>
      </c>
      <c r="N41" s="27"/>
      <c r="O41" s="27"/>
      <c r="P41" s="27"/>
      <c r="Q41" s="27"/>
      <c r="R41" s="27"/>
      <c r="S41" s="27"/>
      <c r="T41" s="27"/>
      <c r="U41" s="27"/>
      <c r="V41" s="27"/>
      <c r="W41" s="27" t="s">
        <v>12</v>
      </c>
      <c r="X41" s="27"/>
      <c r="Y41" s="27"/>
      <c r="Z41" s="27"/>
      <c r="AA41" s="27"/>
      <c r="AB41" s="27"/>
      <c r="AC41" s="27"/>
      <c r="AD41" s="27" t="s">
        <v>12</v>
      </c>
      <c r="AE41" s="27"/>
      <c r="AF41" s="27" t="s">
        <v>12</v>
      </c>
      <c r="AG41" s="27"/>
      <c r="AH41" s="27"/>
      <c r="AI41" s="27"/>
      <c r="AJ41" s="27"/>
      <c r="AK41" s="27"/>
      <c r="AL41" s="24">
        <f t="shared" si="0"/>
        <v>4</v>
      </c>
    </row>
    <row r="42" ht="14.6" spans="8:38">
      <c r="H42" s="32" t="s">
        <v>19</v>
      </c>
      <c r="I42" s="32"/>
      <c r="J42" s="32"/>
      <c r="K42" s="5">
        <f>COUNTA(K11:K41)</f>
        <v>6</v>
      </c>
      <c r="L42" s="5">
        <f t="shared" ref="L42:AK42" si="1">COUNTA(L11:L41)</f>
        <v>9</v>
      </c>
      <c r="M42" s="5">
        <f t="shared" si="1"/>
        <v>9</v>
      </c>
      <c r="N42" s="5">
        <f t="shared" si="1"/>
        <v>9</v>
      </c>
      <c r="O42" s="5">
        <f t="shared" si="1"/>
        <v>4</v>
      </c>
      <c r="P42" s="5">
        <f t="shared" si="1"/>
        <v>14</v>
      </c>
      <c r="Q42" s="5">
        <f t="shared" si="1"/>
        <v>13</v>
      </c>
      <c r="R42" s="5">
        <f t="shared" si="1"/>
        <v>5</v>
      </c>
      <c r="S42" s="5">
        <f t="shared" si="1"/>
        <v>17</v>
      </c>
      <c r="T42" s="5">
        <f t="shared" si="1"/>
        <v>7</v>
      </c>
      <c r="U42" s="5">
        <f t="shared" si="1"/>
        <v>4</v>
      </c>
      <c r="V42" s="5">
        <f t="shared" si="1"/>
        <v>1</v>
      </c>
      <c r="W42" s="5">
        <f t="shared" si="1"/>
        <v>10</v>
      </c>
      <c r="X42" s="5">
        <f t="shared" si="1"/>
        <v>1</v>
      </c>
      <c r="Y42" s="5">
        <f t="shared" si="1"/>
        <v>1</v>
      </c>
      <c r="Z42" s="5">
        <f t="shared" si="1"/>
        <v>0</v>
      </c>
      <c r="AA42" s="5">
        <f t="shared" si="1"/>
        <v>0</v>
      </c>
      <c r="AB42" s="5">
        <f t="shared" si="1"/>
        <v>1</v>
      </c>
      <c r="AC42" s="5">
        <f t="shared" si="1"/>
        <v>0</v>
      </c>
      <c r="AD42" s="5">
        <f t="shared" si="1"/>
        <v>6</v>
      </c>
      <c r="AE42" s="5">
        <f t="shared" si="1"/>
        <v>5</v>
      </c>
      <c r="AF42" s="5">
        <f t="shared" si="1"/>
        <v>13</v>
      </c>
      <c r="AG42" s="5">
        <f t="shared" si="1"/>
        <v>1</v>
      </c>
      <c r="AH42" s="5">
        <f t="shared" si="1"/>
        <v>2</v>
      </c>
      <c r="AI42" s="5"/>
      <c r="AJ42" s="5"/>
      <c r="AK42" s="5">
        <f t="shared" si="1"/>
        <v>2</v>
      </c>
      <c r="AL42" s="33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0" priority="10">
      <formula>AU42="+"</formula>
    </cfRule>
  </conditionalFormatting>
  <conditionalFormatting sqref="K11:AK41">
    <cfRule type="expression" dxfId="1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4:S6"/>
  <sheetViews>
    <sheetView tabSelected="1" workbookViewId="0">
      <selection activeCell="M5" sqref="M5"/>
    </sheetView>
  </sheetViews>
  <sheetFormatPr defaultColWidth="9.02654867256637" defaultRowHeight="14.25" outlineLevelRow="5"/>
  <cols>
    <col min="5" max="5" width="18.7256637168142" customWidth="1"/>
    <col min="6" max="6" width="16.5309734513274" customWidth="1"/>
    <col min="7" max="7" width="19.2566371681416" customWidth="1"/>
    <col min="8" max="8" width="26.353982300885" customWidth="1"/>
    <col min="9" max="12" width="16.5309734513274" customWidth="1"/>
    <col min="13" max="13" width="23.0353982300885" customWidth="1"/>
    <col min="14" max="14" width="21.3097345132743" customWidth="1"/>
    <col min="15" max="15" width="32.4601769911504" customWidth="1"/>
    <col min="16" max="16" width="28.6106194690265" customWidth="1"/>
    <col min="17" max="17" width="16.5309734513274" customWidth="1"/>
    <col min="18" max="18" width="20.7787610619469" customWidth="1"/>
    <col min="19" max="19" width="27.212389380531" customWidth="1"/>
    <col min="20" max="20" width="16.5309734513274" customWidth="1"/>
  </cols>
  <sheetData>
    <row r="4" spans="5:19">
      <c r="E4" t="s">
        <v>36</v>
      </c>
      <c r="F4" s="1" t="s">
        <v>37</v>
      </c>
      <c r="G4" s="1"/>
      <c r="H4" s="1"/>
      <c r="I4" s="1"/>
      <c r="J4" s="1"/>
      <c r="K4" s="1"/>
      <c r="L4" s="1"/>
      <c r="M4" s="1" t="s">
        <v>38</v>
      </c>
      <c r="N4" s="1"/>
      <c r="O4" s="1"/>
      <c r="P4" s="1"/>
      <c r="Q4" s="1"/>
      <c r="R4" s="1"/>
      <c r="S4" s="1"/>
    </row>
    <row r="5" spans="5:19">
      <c r="E5" t="s">
        <v>39</v>
      </c>
      <c r="F5" t="s">
        <v>40</v>
      </c>
      <c r="G5" t="s">
        <v>41</v>
      </c>
      <c r="H5" t="s">
        <v>22</v>
      </c>
      <c r="I5" t="s">
        <v>4</v>
      </c>
      <c r="J5" t="s">
        <v>24</v>
      </c>
      <c r="K5" t="s">
        <v>25</v>
      </c>
      <c r="L5" t="s">
        <v>23</v>
      </c>
      <c r="M5" t="s">
        <v>26</v>
      </c>
      <c r="N5" t="s">
        <v>42</v>
      </c>
      <c r="O5" t="s">
        <v>43</v>
      </c>
      <c r="P5" t="s">
        <v>29</v>
      </c>
      <c r="Q5" t="s">
        <v>44</v>
      </c>
      <c r="R5" t="s">
        <v>45</v>
      </c>
      <c r="S5" t="s">
        <v>46</v>
      </c>
    </row>
    <row r="6" spans="5:19">
      <c r="E6" t="s">
        <v>47</v>
      </c>
    </row>
  </sheetData>
  <mergeCells count="2">
    <mergeCell ref="F4:L4"/>
    <mergeCell ref="M4:S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Июнь</vt:lpstr>
      <vt:lpstr>Июль</vt:lpstr>
      <vt:lpstr>Август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easob</cp:lastModifiedBy>
  <dcterms:created xsi:type="dcterms:W3CDTF">2006-09-28T05:33:00Z</dcterms:created>
  <dcterms:modified xsi:type="dcterms:W3CDTF">2026-08-02T15:42:16Z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