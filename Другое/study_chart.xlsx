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3"/>
  </bookViews>
  <sheets>
    <sheet name="Июнь" sheetId="1" r:id="rId1"/>
    <sheet name="Июль" sheetId="4" r:id="rId2"/>
    <sheet name="Август" sheetId="5" r:id="rId3"/>
    <sheet name="Сентябрь" sheetId="6" r:id="rId4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6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1" s="1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42" i="5" l="1"/>
  <c r="AK40" i="6"/>
  <c r="AK41" i="5"/>
  <c r="AK36"/>
  <c r="AK40" s="1"/>
  <c r="AK36" i="6"/>
  <c r="AK35"/>
  <c r="AK38" s="1"/>
  <c r="AK37"/>
  <c r="AK38" i="5"/>
  <c r="AK37"/>
  <c r="AK39" l="1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color indexed="81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color indexed="81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color indexed="81"/>
            <rFont val="Tahoma"/>
            <charset val="1"/>
          </rPr>
          <t xml:space="preserve">KPI
</t>
        </r>
      </text>
    </comment>
  </commentList>
</comments>
</file>

<file path=xl/sharedStrings.xml><?xml version="1.0" encoding="utf-8"?>
<sst xmlns="http://schemas.openxmlformats.org/spreadsheetml/2006/main" count="765" uniqueCount="90">
  <si>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</si>
  <si>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</si>
  <si>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</si>
  <si>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</si>
  <si>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</si>
  <si>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</si>
  <si>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</si>
  <si>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</si>
  <si>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</si>
  <si>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</si>
  <si>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</si>
  <si>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</si>
  <si>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</si>
  <si>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</si>
  <si>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</si>
  <si>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</si>
  <si>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</si>
  <si>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</si>
  <si>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</si>
  <si>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</si>
  <si>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</si>
  <si>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</si>
  <si>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</si>
  <si>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</si>
  <si>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</si>
  <si>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</si>
  <si>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</si>
  <si>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</si>
  <si>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</si>
  <si>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</si>
  <si>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</si>
  <si>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</si>
  <si>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</si>
  <si>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</si>
  <si>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</si>
  <si>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</si>
  <si>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</si>
  <si>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</si>
  <si>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</si>
  <si>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</si>
  <si>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</si>
  <si>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</si>
  <si>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</si>
  <si>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</si>
  <si>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</si>
  <si>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</si>
  <si>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</si>
  <si>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</si>
  <si>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</si>
  <si>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</si>
  <si>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</si>
  <si>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</si>
  <si>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</si>
  <si>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</si>
  <si>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</si>
  <si>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</si>
  <si>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</si>
  <si>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</si>
  <si>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</si>
  <si>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</si>
  <si>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</si>
  <si>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</si>
  <si>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</si>
  <si>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</si>
  <si>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</si>
  <si>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</si>
  <si>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</si>
  <si>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</si>
  <si>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</si>
  <si>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</si>
  <si>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</si>
  <si>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</si>
  <si>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</si>
  <si>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</si>
  <si>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</si>
  <si>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</si>
  <si>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</si>
  <si>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</si>
  <si>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</si>
  <si>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</si>
  <si>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</si>
  <si>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</si>
  <si>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</si>
  <si>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</si>
  <si>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</si>
  <si>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</si>
  <si>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</si>
  <si>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</si>
  <si>
    <t>Упражнение Ситуация - Приговор - Факт</t>
  </si>
  <si>
    <t>Упражнения для голоса</t>
  </si>
</sst>
</file>

<file path=xl/styles.xml><?xml version="1.0" encoding="utf-8"?>
<styleSheet xmlns="http://schemas.openxmlformats.org/spreadsheetml/2006/main">
  <numFmts count="1">
    <numFmt numFmtId="164" formatCode="dd\.mmm"/>
  </numFmts>
  <fonts count="37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1" fillId="35" borderId="25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7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5" t="s">
        <v>0</v>
      </c>
      <c r="I9" s="116"/>
      <c r="J9" s="116"/>
      <c r="K9" s="116"/>
      <c r="L9" s="116"/>
      <c r="M9" s="116"/>
      <c r="N9" s="116"/>
      <c r="O9" s="116"/>
      <c r="P9" s="116"/>
      <c r="Q9" s="117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18" t="s">
        <v>19</v>
      </c>
      <c r="I22" s="119"/>
      <c r="J22" s="120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6" priority="1">
      <formula>Q22="+"</formula>
    </cfRule>
  </conditionalFormatting>
  <conditionalFormatting sqref="K11:Q21">
    <cfRule type="expression" dxfId="15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21" t="s">
        <v>0</v>
      </c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23" t="s">
        <v>19</v>
      </c>
      <c r="I42" s="123"/>
      <c r="J42" s="123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4" priority="10">
      <formula>AU42="+"</formula>
    </cfRule>
  </conditionalFormatting>
  <conditionalFormatting sqref="K11:AK41">
    <cfRule type="expression" dxfId="13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D37" sqref="AC37:AD37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5"/>
      <c r="B1" s="136"/>
      <c r="C1" s="137"/>
      <c r="D1" s="4" t="s">
        <v>36</v>
      </c>
      <c r="E1" s="141" t="s">
        <v>37</v>
      </c>
      <c r="F1" s="141"/>
      <c r="G1" s="141"/>
      <c r="H1" s="141"/>
      <c r="I1" s="141"/>
      <c r="J1" s="141"/>
      <c r="K1" s="141"/>
      <c r="L1" s="142" t="s">
        <v>38</v>
      </c>
      <c r="M1" s="142"/>
      <c r="N1" s="142"/>
      <c r="O1" s="142"/>
      <c r="P1" s="142"/>
      <c r="Q1" s="142"/>
      <c r="R1" s="142"/>
      <c r="S1" s="143" t="s">
        <v>39</v>
      </c>
      <c r="T1" s="143"/>
      <c r="U1" s="144" t="s">
        <v>40</v>
      </c>
      <c r="V1" s="145"/>
      <c r="W1" s="145"/>
      <c r="X1" s="145"/>
      <c r="Y1" s="146"/>
      <c r="Z1" s="147" t="s">
        <v>41</v>
      </c>
      <c r="AA1" s="147"/>
      <c r="AB1" s="147"/>
      <c r="AC1" s="147"/>
      <c r="AD1" s="147"/>
      <c r="AE1" s="130" t="s">
        <v>42</v>
      </c>
      <c r="AF1" s="130"/>
      <c r="AG1" s="130"/>
      <c r="AH1" s="131" t="s">
        <v>43</v>
      </c>
      <c r="AI1" s="131"/>
      <c r="AJ1" s="131"/>
      <c r="AK1" s="132" t="s">
        <v>35</v>
      </c>
    </row>
    <row r="2" spans="1:37" s="2" customFormat="1" ht="30" customHeight="1">
      <c r="A2" s="138"/>
      <c r="B2" s="139"/>
      <c r="C2" s="14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3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34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27" t="s">
        <v>77</v>
      </c>
      <c r="B35" s="128"/>
      <c r="C35" s="128"/>
      <c r="D35" s="129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24" t="s">
        <v>78</v>
      </c>
      <c r="AH36" s="125"/>
      <c r="AI36" s="125"/>
      <c r="AJ36" s="126"/>
      <c r="AK36" s="107">
        <f>ROUND(AVERAGE(AK4:AK34),0)</f>
        <v>16</v>
      </c>
    </row>
    <row r="37" spans="1:37" ht="30" customHeight="1">
      <c r="AG37" s="124" t="s">
        <v>79</v>
      </c>
      <c r="AH37" s="125"/>
      <c r="AI37" s="125"/>
      <c r="AJ37" s="126"/>
      <c r="AK37" s="107">
        <f>MAX(AK4:AK34)</f>
        <v>30</v>
      </c>
    </row>
    <row r="38" spans="1:37" ht="30" customHeight="1">
      <c r="AG38" s="124" t="s">
        <v>80</v>
      </c>
      <c r="AH38" s="125"/>
      <c r="AI38" s="125"/>
      <c r="AJ38" s="126"/>
      <c r="AK38" s="107">
        <f>MIN(AK4:AK34)</f>
        <v>3</v>
      </c>
    </row>
    <row r="39" spans="1:37" ht="30" customHeight="1">
      <c r="AG39" s="124" t="s">
        <v>81</v>
      </c>
      <c r="AH39" s="125"/>
      <c r="AI39" s="125"/>
      <c r="AJ39" s="126"/>
      <c r="AK39" s="107">
        <f>COUNTIF(AK4:AK34, "&gt;"&amp;AK36)</f>
        <v>12</v>
      </c>
    </row>
    <row r="40" spans="1:37" ht="30" customHeight="1">
      <c r="AG40" s="124" t="s">
        <v>82</v>
      </c>
      <c r="AH40" s="125"/>
      <c r="AI40" s="125"/>
      <c r="AJ40" s="126"/>
      <c r="AK40" s="107">
        <f>COUNTIF(AK4:AK34, "&lt;"&amp;AK36)</f>
        <v>18</v>
      </c>
    </row>
    <row r="41" spans="1:37" ht="30" customHeight="1">
      <c r="AG41" s="124" t="s">
        <v>83</v>
      </c>
      <c r="AH41" s="125"/>
      <c r="AI41" s="125"/>
      <c r="AJ41" s="126"/>
      <c r="AK41" s="107">
        <f>COUNTIF(AK4:AK34, "&gt;"&amp;20)</f>
        <v>9</v>
      </c>
    </row>
    <row r="42" spans="1:37" ht="30" customHeight="1">
      <c r="AG42" s="124" t="s">
        <v>84</v>
      </c>
      <c r="AH42" s="125"/>
      <c r="AI42" s="125"/>
      <c r="AJ42" s="126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E1:AG1"/>
    <mergeCell ref="AH1:AJ1"/>
    <mergeCell ref="AK1:AK3"/>
    <mergeCell ref="A1:C2"/>
    <mergeCell ref="E1:K1"/>
    <mergeCell ref="L1:R1"/>
    <mergeCell ref="S1:T1"/>
    <mergeCell ref="U1:Y1"/>
    <mergeCell ref="Z1:AD1"/>
    <mergeCell ref="AG40:AJ40"/>
    <mergeCell ref="AG41:AJ41"/>
    <mergeCell ref="AG42:AJ42"/>
    <mergeCell ref="A35:D35"/>
    <mergeCell ref="AG36:AJ36"/>
    <mergeCell ref="AG37:AJ37"/>
    <mergeCell ref="AG38:AJ38"/>
    <mergeCell ref="AG39:AJ39"/>
  </mergeCells>
  <conditionalFormatting sqref="E4:AJ34">
    <cfRule type="expression" dxfId="12" priority="7">
      <formula>E4="+"</formula>
    </cfRule>
  </conditionalFormatting>
  <conditionalFormatting sqref="L35:R35">
    <cfRule type="expression" dxfId="11" priority="6">
      <formula>L35="+"</formula>
    </cfRule>
  </conditionalFormatting>
  <conditionalFormatting sqref="S35:T35">
    <cfRule type="expression" dxfId="10" priority="5">
      <formula>S35="+"</formula>
    </cfRule>
  </conditionalFormatting>
  <conditionalFormatting sqref="U35:Y35">
    <cfRule type="expression" dxfId="9" priority="4">
      <formula>U35="+"</formula>
    </cfRule>
  </conditionalFormatting>
  <conditionalFormatting sqref="Z35:AD35">
    <cfRule type="expression" dxfId="8" priority="3">
      <formula>Z35="+"</formula>
    </cfRule>
  </conditionalFormatting>
  <conditionalFormatting sqref="AE35:AG35">
    <cfRule type="expression" dxfId="7" priority="2">
      <formula>AE35="+"</formula>
    </cfRule>
  </conditionalFormatting>
  <conditionalFormatting sqref="AH35:AJ35">
    <cfRule type="expression" dxfId="6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tabSelected="1"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AK13" sqref="AK13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5"/>
      <c r="B1" s="136"/>
      <c r="C1" s="137"/>
      <c r="D1" s="4" t="s">
        <v>36</v>
      </c>
      <c r="E1" s="141" t="s">
        <v>37</v>
      </c>
      <c r="F1" s="141"/>
      <c r="G1" s="141"/>
      <c r="H1" s="141"/>
      <c r="I1" s="141"/>
      <c r="J1" s="141"/>
      <c r="K1" s="141"/>
      <c r="L1" s="142" t="s">
        <v>38</v>
      </c>
      <c r="M1" s="142"/>
      <c r="N1" s="142"/>
      <c r="O1" s="142"/>
      <c r="P1" s="142"/>
      <c r="Q1" s="142"/>
      <c r="R1" s="148" t="s">
        <v>39</v>
      </c>
      <c r="S1" s="149"/>
      <c r="T1" s="150"/>
      <c r="U1" s="144" t="s">
        <v>40</v>
      </c>
      <c r="V1" s="145"/>
      <c r="W1" s="145"/>
      <c r="X1" s="145"/>
      <c r="Y1" s="146"/>
      <c r="Z1" s="147" t="s">
        <v>41</v>
      </c>
      <c r="AA1" s="147"/>
      <c r="AB1" s="147"/>
      <c r="AC1" s="147"/>
      <c r="AD1" s="147"/>
      <c r="AE1" s="130" t="s">
        <v>42</v>
      </c>
      <c r="AF1" s="130"/>
      <c r="AG1" s="130"/>
      <c r="AH1" s="131" t="s">
        <v>43</v>
      </c>
      <c r="AI1" s="131"/>
      <c r="AJ1" s="131"/>
      <c r="AK1" s="132" t="s">
        <v>35</v>
      </c>
    </row>
    <row r="2" spans="1:37" s="2" customFormat="1" ht="45" customHeight="1">
      <c r="A2" s="138"/>
      <c r="B2" s="139"/>
      <c r="C2" s="14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88</v>
      </c>
      <c r="AG2" s="11" t="s">
        <v>89</v>
      </c>
      <c r="AH2" s="12"/>
      <c r="AI2" s="12"/>
      <c r="AJ2" s="12"/>
      <c r="AK2" s="13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34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 t="s">
        <v>12</v>
      </c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 t="s">
        <v>12</v>
      </c>
      <c r="AD8" s="65" t="s">
        <v>12</v>
      </c>
      <c r="AE8" s="66"/>
      <c r="AF8" s="66"/>
      <c r="AG8" s="66"/>
      <c r="AH8" s="67" t="s">
        <v>12</v>
      </c>
      <c r="AI8" s="67"/>
      <c r="AJ8" s="67"/>
      <c r="AK8" s="25">
        <f t="shared" si="0"/>
        <v>12</v>
      </c>
    </row>
    <row r="9" spans="1:37">
      <c r="A9" s="69">
        <v>6</v>
      </c>
      <c r="B9" s="111" t="s">
        <v>13</v>
      </c>
      <c r="C9" s="112">
        <v>46271</v>
      </c>
      <c r="D9" s="69" t="s">
        <v>62</v>
      </c>
      <c r="E9" s="70"/>
      <c r="F9" s="70"/>
      <c r="G9" s="70" t="s">
        <v>12</v>
      </c>
      <c r="H9" s="70"/>
      <c r="I9" s="70" t="s">
        <v>12</v>
      </c>
      <c r="J9" s="70" t="s">
        <v>12</v>
      </c>
      <c r="K9" s="70" t="s">
        <v>12</v>
      </c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 t="s">
        <v>12</v>
      </c>
      <c r="AB9" s="74"/>
      <c r="AC9" s="74" t="s">
        <v>12</v>
      </c>
      <c r="AD9" s="74" t="s">
        <v>12</v>
      </c>
      <c r="AE9" s="75"/>
      <c r="AF9" s="75"/>
      <c r="AG9" s="75"/>
      <c r="AH9" s="76" t="s">
        <v>12</v>
      </c>
      <c r="AI9" s="76" t="s">
        <v>12</v>
      </c>
      <c r="AJ9" s="76"/>
      <c r="AK9" s="93">
        <f t="shared" si="0"/>
        <v>14</v>
      </c>
    </row>
    <row r="10" spans="1:37">
      <c r="A10" s="30">
        <v>7</v>
      </c>
      <c r="B10" s="30" t="s">
        <v>14</v>
      </c>
      <c r="C10" s="22">
        <v>46272</v>
      </c>
      <c r="D10" s="30" t="s">
        <v>62</v>
      </c>
      <c r="E10" s="62"/>
      <c r="F10" s="62"/>
      <c r="G10" s="62" t="s">
        <v>12</v>
      </c>
      <c r="H10" s="62"/>
      <c r="I10" s="62"/>
      <c r="J10" s="62"/>
      <c r="K10" s="62"/>
      <c r="L10" s="63" t="s">
        <v>12</v>
      </c>
      <c r="M10" s="63" t="s">
        <v>12</v>
      </c>
      <c r="N10" s="63" t="s">
        <v>12</v>
      </c>
      <c r="O10" s="63" t="s">
        <v>12</v>
      </c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 t="s">
        <v>12</v>
      </c>
      <c r="AC10" s="65"/>
      <c r="AD10" s="65"/>
      <c r="AE10" s="66"/>
      <c r="AF10" s="66" t="s">
        <v>12</v>
      </c>
      <c r="AG10" s="66"/>
      <c r="AH10" s="67"/>
      <c r="AI10" s="67"/>
      <c r="AJ10" s="67"/>
      <c r="AK10" s="25">
        <f t="shared" si="0"/>
        <v>11</v>
      </c>
    </row>
    <row r="11" spans="1:37">
      <c r="A11" s="84">
        <v>8</v>
      </c>
      <c r="B11" s="84" t="s">
        <v>15</v>
      </c>
      <c r="C11" s="114">
        <v>46273</v>
      </c>
      <c r="D11" s="84" t="s">
        <v>62</v>
      </c>
      <c r="E11" s="77"/>
      <c r="F11" s="77"/>
      <c r="G11" s="77" t="s">
        <v>12</v>
      </c>
      <c r="H11" s="77"/>
      <c r="I11" s="77"/>
      <c r="J11" s="77"/>
      <c r="K11" s="77"/>
      <c r="L11" s="78" t="s">
        <v>12</v>
      </c>
      <c r="M11" s="78"/>
      <c r="N11" s="78" t="s">
        <v>12</v>
      </c>
      <c r="O11" s="78"/>
      <c r="P11" s="78" t="s">
        <v>12</v>
      </c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 t="s">
        <v>12</v>
      </c>
      <c r="AE11" s="82"/>
      <c r="AF11" s="82"/>
      <c r="AG11" s="82"/>
      <c r="AH11" s="83"/>
      <c r="AI11" s="83"/>
      <c r="AJ11" s="83"/>
      <c r="AK11" s="94">
        <f t="shared" si="0"/>
        <v>10</v>
      </c>
    </row>
    <row r="12" spans="1:37">
      <c r="A12" s="30">
        <v>9</v>
      </c>
      <c r="B12" s="30" t="s">
        <v>16</v>
      </c>
      <c r="C12" s="22">
        <v>46274</v>
      </c>
      <c r="D12" s="30" t="s">
        <v>62</v>
      </c>
      <c r="E12" s="62"/>
      <c r="F12" s="62"/>
      <c r="G12" s="62"/>
      <c r="H12" s="62"/>
      <c r="I12" s="62" t="s">
        <v>12</v>
      </c>
      <c r="J12" s="62"/>
      <c r="K12" s="62"/>
      <c r="L12" s="63" t="s">
        <v>12</v>
      </c>
      <c r="M12" s="63"/>
      <c r="N12" s="63" t="s">
        <v>12</v>
      </c>
      <c r="O12" s="63"/>
      <c r="P12" s="63" t="s">
        <v>12</v>
      </c>
      <c r="Q12" s="63"/>
      <c r="R12" s="28"/>
      <c r="S12" s="28"/>
      <c r="T12" s="28"/>
      <c r="U12" s="64" t="s">
        <v>12</v>
      </c>
      <c r="V12" s="64"/>
      <c r="W12" s="64"/>
      <c r="X12" s="64" t="s">
        <v>12</v>
      </c>
      <c r="Y12" s="64"/>
      <c r="Z12" s="65"/>
      <c r="AA12" s="65"/>
      <c r="AB12" s="65"/>
      <c r="AC12" s="65" t="s">
        <v>12</v>
      </c>
      <c r="AD12" s="65"/>
      <c r="AE12" s="66"/>
      <c r="AF12" s="66"/>
      <c r="AG12" s="66"/>
      <c r="AH12" s="67"/>
      <c r="AI12" s="67"/>
      <c r="AJ12" s="67"/>
      <c r="AK12" s="25">
        <f t="shared" si="0"/>
        <v>14</v>
      </c>
    </row>
    <row r="13" spans="1:37">
      <c r="A13" s="30">
        <v>10</v>
      </c>
      <c r="B13" s="30" t="s">
        <v>17</v>
      </c>
      <c r="C13" s="22">
        <v>46275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 t="s">
        <v>12</v>
      </c>
      <c r="N13" s="63" t="s">
        <v>12</v>
      </c>
      <c r="O13" s="63"/>
      <c r="P13" s="63" t="s">
        <v>12</v>
      </c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6</v>
      </c>
    </row>
    <row r="14" spans="1:37">
      <c r="A14" s="30">
        <v>11</v>
      </c>
      <c r="B14" s="30" t="s">
        <v>18</v>
      </c>
      <c r="C14" s="22">
        <v>46276</v>
      </c>
      <c r="D14" s="30"/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5"/>
      <c r="AE14" s="66"/>
      <c r="AF14" s="66"/>
      <c r="AG14" s="66"/>
      <c r="AH14" s="67"/>
      <c r="AI14" s="67"/>
      <c r="AJ14" s="67"/>
      <c r="AK14" s="25">
        <f t="shared" si="0"/>
        <v>0</v>
      </c>
    </row>
    <row r="15" spans="1:37">
      <c r="A15" s="30">
        <v>12</v>
      </c>
      <c r="B15" s="110" t="s">
        <v>11</v>
      </c>
      <c r="C15" s="22">
        <v>46277</v>
      </c>
      <c r="D15" s="30"/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5"/>
      <c r="AE15" s="66"/>
      <c r="AF15" s="66"/>
      <c r="AG15" s="66"/>
      <c r="AH15" s="67"/>
      <c r="AI15" s="67"/>
      <c r="AJ15" s="67"/>
      <c r="AK15" s="25">
        <f t="shared" si="0"/>
        <v>0</v>
      </c>
    </row>
    <row r="16" spans="1:37">
      <c r="A16" s="30">
        <v>13</v>
      </c>
      <c r="B16" s="110" t="s">
        <v>13</v>
      </c>
      <c r="C16" s="22">
        <v>46278</v>
      </c>
      <c r="D16" s="69"/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/>
      <c r="AE16" s="75"/>
      <c r="AF16" s="75"/>
      <c r="AG16" s="75"/>
      <c r="AH16" s="76"/>
      <c r="AI16" s="76"/>
      <c r="AJ16" s="76"/>
      <c r="AK16" s="25">
        <f t="shared" si="0"/>
        <v>0</v>
      </c>
    </row>
    <row r="17" spans="1:37">
      <c r="A17" s="30">
        <v>14</v>
      </c>
      <c r="B17" s="30" t="s">
        <v>14</v>
      </c>
      <c r="C17" s="22">
        <v>46279</v>
      </c>
      <c r="D17" s="69"/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2"/>
      <c r="S17" s="72"/>
      <c r="T17" s="72"/>
      <c r="U17" s="73"/>
      <c r="V17" s="73"/>
      <c r="W17" s="73"/>
      <c r="X17" s="73"/>
      <c r="Y17" s="73"/>
      <c r="Z17" s="74"/>
      <c r="AA17" s="74"/>
      <c r="AB17" s="74"/>
      <c r="AC17" s="74"/>
      <c r="AD17" s="74"/>
      <c r="AE17" s="75"/>
      <c r="AF17" s="75"/>
      <c r="AG17" s="75"/>
      <c r="AH17" s="76"/>
      <c r="AI17" s="76"/>
      <c r="AJ17" s="76"/>
      <c r="AK17" s="68">
        <f t="shared" si="0"/>
        <v>0</v>
      </c>
    </row>
    <row r="18" spans="1:37">
      <c r="A18" s="30">
        <v>15</v>
      </c>
      <c r="B18" s="30" t="s">
        <v>15</v>
      </c>
      <c r="C18" s="22">
        <v>46280</v>
      </c>
      <c r="D18" s="30"/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29"/>
      <c r="S18" s="29"/>
      <c r="T18" s="29"/>
      <c r="U18" s="64"/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/>
      <c r="AI18" s="67"/>
      <c r="AJ18" s="67"/>
      <c r="AK18" s="68">
        <f t="shared" si="0"/>
        <v>0</v>
      </c>
    </row>
    <row r="19" spans="1:37">
      <c r="A19" s="69">
        <v>16</v>
      </c>
      <c r="B19" s="30" t="s">
        <v>16</v>
      </c>
      <c r="C19" s="22">
        <v>46281</v>
      </c>
      <c r="D19" s="85"/>
      <c r="E19" s="86"/>
      <c r="F19" s="86"/>
      <c r="G19" s="86"/>
      <c r="H19" s="86"/>
      <c r="I19" s="86"/>
      <c r="J19" s="86"/>
      <c r="K19" s="86"/>
      <c r="L19" s="87"/>
      <c r="M19" s="87"/>
      <c r="N19" s="87"/>
      <c r="O19" s="87"/>
      <c r="P19" s="87"/>
      <c r="Q19" s="87"/>
      <c r="R19" s="88"/>
      <c r="S19" s="88"/>
      <c r="T19" s="88"/>
      <c r="U19" s="89"/>
      <c r="V19" s="89"/>
      <c r="W19" s="89"/>
      <c r="X19" s="89"/>
      <c r="Y19" s="89"/>
      <c r="Z19" s="90"/>
      <c r="AA19" s="90"/>
      <c r="AB19" s="90"/>
      <c r="AC19" s="90"/>
      <c r="AD19" s="90"/>
      <c r="AE19" s="91"/>
      <c r="AF19" s="91"/>
      <c r="AG19" s="91"/>
      <c r="AH19" s="92"/>
      <c r="AI19" s="92"/>
      <c r="AJ19" s="92"/>
      <c r="AK19" s="93">
        <f t="shared" si="0"/>
        <v>0</v>
      </c>
    </row>
    <row r="20" spans="1:37">
      <c r="A20" s="69">
        <v>17</v>
      </c>
      <c r="B20" s="30" t="s">
        <v>17</v>
      </c>
      <c r="C20" s="22">
        <v>46282</v>
      </c>
      <c r="D20" s="69"/>
      <c r="E20" s="70"/>
      <c r="F20" s="70"/>
      <c r="G20" s="70"/>
      <c r="H20" s="70"/>
      <c r="I20" s="70"/>
      <c r="J20" s="70"/>
      <c r="K20" s="70"/>
      <c r="L20" s="71"/>
      <c r="M20" s="71"/>
      <c r="N20" s="71"/>
      <c r="O20" s="71"/>
      <c r="P20" s="71"/>
      <c r="Q20" s="71"/>
      <c r="R20" s="72"/>
      <c r="S20" s="72"/>
      <c r="T20" s="72"/>
      <c r="U20" s="73"/>
      <c r="V20" s="73"/>
      <c r="W20" s="73"/>
      <c r="X20" s="73"/>
      <c r="Y20" s="73"/>
      <c r="Z20" s="74"/>
      <c r="AA20" s="74"/>
      <c r="AB20" s="74"/>
      <c r="AC20" s="74"/>
      <c r="AD20" s="74"/>
      <c r="AE20" s="75"/>
      <c r="AF20" s="75"/>
      <c r="AG20" s="75"/>
      <c r="AH20" s="76"/>
      <c r="AI20" s="76"/>
      <c r="AJ20" s="76"/>
      <c r="AK20" s="93">
        <f t="shared" si="0"/>
        <v>0</v>
      </c>
    </row>
    <row r="21" spans="1:37">
      <c r="A21" s="69">
        <v>18</v>
      </c>
      <c r="B21" s="30" t="s">
        <v>18</v>
      </c>
      <c r="C21" s="22">
        <v>46283</v>
      </c>
      <c r="D21" s="69"/>
      <c r="E21" s="70"/>
      <c r="F21" s="70"/>
      <c r="G21" s="70"/>
      <c r="H21" s="70"/>
      <c r="I21" s="70"/>
      <c r="J21" s="70"/>
      <c r="K21" s="70"/>
      <c r="L21" s="71"/>
      <c r="M21" s="71"/>
      <c r="N21" s="71"/>
      <c r="O21" s="71"/>
      <c r="P21" s="71"/>
      <c r="Q21" s="71"/>
      <c r="R21" s="72"/>
      <c r="S21" s="72"/>
      <c r="T21" s="72"/>
      <c r="U21" s="73"/>
      <c r="V21" s="73"/>
      <c r="W21" s="73"/>
      <c r="X21" s="73"/>
      <c r="Y21" s="73"/>
      <c r="Z21" s="74"/>
      <c r="AA21" s="74"/>
      <c r="AB21" s="74"/>
      <c r="AC21" s="74"/>
      <c r="AD21" s="74"/>
      <c r="AE21" s="75"/>
      <c r="AF21" s="75"/>
      <c r="AG21" s="75"/>
      <c r="AH21" s="76"/>
      <c r="AI21" s="76"/>
      <c r="AJ21" s="76"/>
      <c r="AK21" s="93">
        <f t="shared" si="0"/>
        <v>0</v>
      </c>
    </row>
    <row r="22" spans="1:37">
      <c r="A22" s="30">
        <v>19</v>
      </c>
      <c r="B22" s="110" t="s">
        <v>11</v>
      </c>
      <c r="C22" s="22">
        <v>46284</v>
      </c>
      <c r="D22" s="30"/>
      <c r="E22" s="62"/>
      <c r="F22" s="62"/>
      <c r="G22" s="62"/>
      <c r="H22" s="62"/>
      <c r="I22" s="62"/>
      <c r="J22" s="62"/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/>
      <c r="Y22" s="64"/>
      <c r="Z22" s="65"/>
      <c r="AA22" s="65"/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0</v>
      </c>
    </row>
    <row r="23" spans="1:37">
      <c r="A23" s="84">
        <v>20</v>
      </c>
      <c r="B23" s="110" t="s">
        <v>13</v>
      </c>
      <c r="C23" s="22">
        <v>46285</v>
      </c>
      <c r="D23" s="85"/>
      <c r="E23" s="86"/>
      <c r="F23" s="86"/>
      <c r="G23" s="86"/>
      <c r="H23" s="86"/>
      <c r="I23" s="86"/>
      <c r="J23" s="86"/>
      <c r="K23" s="86"/>
      <c r="L23" s="87"/>
      <c r="M23" s="87"/>
      <c r="N23" s="87"/>
      <c r="O23" s="87"/>
      <c r="P23" s="87"/>
      <c r="Q23" s="87"/>
      <c r="R23" s="88"/>
      <c r="S23" s="88"/>
      <c r="T23" s="88"/>
      <c r="U23" s="89"/>
      <c r="V23" s="89"/>
      <c r="W23" s="89"/>
      <c r="X23" s="89"/>
      <c r="Y23" s="89"/>
      <c r="Z23" s="90"/>
      <c r="AA23" s="90"/>
      <c r="AB23" s="90"/>
      <c r="AC23" s="90"/>
      <c r="AD23" s="90"/>
      <c r="AE23" s="91"/>
      <c r="AF23" s="91"/>
      <c r="AG23" s="91"/>
      <c r="AH23" s="92"/>
      <c r="AI23" s="92"/>
      <c r="AJ23" s="92"/>
      <c r="AK23" s="95">
        <f t="shared" si="0"/>
        <v>0</v>
      </c>
    </row>
    <row r="24" spans="1:37">
      <c r="A24" s="30">
        <v>21</v>
      </c>
      <c r="B24" s="30" t="s">
        <v>14</v>
      </c>
      <c r="C24" s="22">
        <v>46286</v>
      </c>
      <c r="D24" s="96"/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/>
      <c r="E25" s="70"/>
      <c r="F25" s="70"/>
      <c r="G25" s="70"/>
      <c r="H25" s="70"/>
      <c r="I25" s="70"/>
      <c r="J25" s="70"/>
      <c r="K25" s="70"/>
      <c r="L25" s="71"/>
      <c r="M25" s="71"/>
      <c r="N25" s="71"/>
      <c r="O25" s="71"/>
      <c r="P25" s="71"/>
      <c r="Q25" s="71"/>
      <c r="R25" s="72"/>
      <c r="S25" s="72"/>
      <c r="T25" s="72"/>
      <c r="U25" s="73"/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0</v>
      </c>
    </row>
    <row r="26" spans="1:37">
      <c r="A26" s="69">
        <v>23</v>
      </c>
      <c r="B26" s="30" t="s">
        <v>16</v>
      </c>
      <c r="C26" s="22">
        <v>46288</v>
      </c>
      <c r="D26" s="69"/>
      <c r="E26" s="70"/>
      <c r="F26" s="70"/>
      <c r="G26" s="70"/>
      <c r="H26" s="70"/>
      <c r="I26" s="70"/>
      <c r="J26" s="70"/>
      <c r="K26" s="70"/>
      <c r="L26" s="71"/>
      <c r="M26" s="71"/>
      <c r="N26" s="71"/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0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27" t="s">
        <v>77</v>
      </c>
      <c r="B34" s="128"/>
      <c r="C34" s="128"/>
      <c r="D34" s="129"/>
      <c r="E34" s="106">
        <f t="shared" ref="E34:AJ34" si="1">COUNTA(E4:E33)</f>
        <v>1</v>
      </c>
      <c r="F34" s="106">
        <f t="shared" si="1"/>
        <v>1</v>
      </c>
      <c r="G34" s="106">
        <f t="shared" si="1"/>
        <v>6</v>
      </c>
      <c r="H34" s="106">
        <f t="shared" si="1"/>
        <v>1</v>
      </c>
      <c r="I34" s="106">
        <f t="shared" si="1"/>
        <v>3</v>
      </c>
      <c r="J34" s="106">
        <f t="shared" si="1"/>
        <v>2</v>
      </c>
      <c r="K34" s="106">
        <f t="shared" si="1"/>
        <v>1</v>
      </c>
      <c r="L34" s="63">
        <f t="shared" si="1"/>
        <v>6</v>
      </c>
      <c r="M34" s="63">
        <f t="shared" si="1"/>
        <v>6</v>
      </c>
      <c r="N34" s="63">
        <f t="shared" si="1"/>
        <v>7</v>
      </c>
      <c r="O34" s="63">
        <f t="shared" si="1"/>
        <v>4</v>
      </c>
      <c r="P34" s="63">
        <f t="shared" si="1"/>
        <v>5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1</v>
      </c>
      <c r="V34" s="64">
        <f t="shared" si="1"/>
        <v>0</v>
      </c>
      <c r="W34" s="64">
        <f t="shared" si="1"/>
        <v>0</v>
      </c>
      <c r="X34" s="64">
        <f t="shared" si="1"/>
        <v>1</v>
      </c>
      <c r="Y34" s="64">
        <f t="shared" si="1"/>
        <v>0</v>
      </c>
      <c r="Z34" s="65">
        <f t="shared" si="1"/>
        <v>2</v>
      </c>
      <c r="AA34" s="65">
        <f t="shared" si="1"/>
        <v>1</v>
      </c>
      <c r="AB34" s="65">
        <f t="shared" si="1"/>
        <v>1</v>
      </c>
      <c r="AC34" s="65">
        <f t="shared" si="1"/>
        <v>5</v>
      </c>
      <c r="AD34" s="65">
        <f t="shared" si="1"/>
        <v>7</v>
      </c>
      <c r="AE34" s="66">
        <f t="shared" si="1"/>
        <v>0</v>
      </c>
      <c r="AF34" s="66">
        <f t="shared" si="1"/>
        <v>2</v>
      </c>
      <c r="AG34" s="66">
        <f t="shared" si="1"/>
        <v>0</v>
      </c>
      <c r="AH34" s="67">
        <f t="shared" si="1"/>
        <v>3</v>
      </c>
      <c r="AI34" s="67">
        <f t="shared" si="1"/>
        <v>1</v>
      </c>
      <c r="AJ34" s="67">
        <f t="shared" si="1"/>
        <v>0</v>
      </c>
      <c r="AK34" s="25"/>
    </row>
    <row r="35" spans="1:37" ht="30" customHeight="1">
      <c r="AG35" s="124" t="s">
        <v>78</v>
      </c>
      <c r="AH35" s="125"/>
      <c r="AI35" s="125"/>
      <c r="AJ35" s="126"/>
      <c r="AK35" s="107">
        <f>ROUND(AVERAGE(AK4:AK33),0)</f>
        <v>4</v>
      </c>
    </row>
    <row r="36" spans="1:37" ht="30" customHeight="1">
      <c r="AG36" s="124" t="s">
        <v>79</v>
      </c>
      <c r="AH36" s="125"/>
      <c r="AI36" s="125"/>
      <c r="AJ36" s="126"/>
      <c r="AK36" s="107">
        <f>MAX(AK4:AK33)</f>
        <v>19</v>
      </c>
    </row>
    <row r="37" spans="1:37" ht="30" customHeight="1">
      <c r="AG37" s="124" t="s">
        <v>80</v>
      </c>
      <c r="AH37" s="125"/>
      <c r="AI37" s="125"/>
      <c r="AJ37" s="126"/>
      <c r="AK37" s="107">
        <f>MIN(AK4:AK33)</f>
        <v>0</v>
      </c>
    </row>
    <row r="38" spans="1:37" ht="30" customHeight="1">
      <c r="AG38" s="124" t="s">
        <v>81</v>
      </c>
      <c r="AH38" s="125"/>
      <c r="AI38" s="125"/>
      <c r="AJ38" s="126"/>
      <c r="AK38" s="107">
        <f>COUNTIF(AK4:AK33, "&gt;"&amp;AK35)</f>
        <v>9</v>
      </c>
    </row>
    <row r="39" spans="1:37" ht="30" customHeight="1">
      <c r="AG39" s="124" t="s">
        <v>82</v>
      </c>
      <c r="AH39" s="125"/>
      <c r="AI39" s="125"/>
      <c r="AJ39" s="126"/>
      <c r="AK39" s="107">
        <f>COUNTIF(AK4:AK33, "&lt;"&amp;AK35)</f>
        <v>21</v>
      </c>
    </row>
    <row r="40" spans="1:37" ht="30" customHeight="1">
      <c r="AG40" s="124" t="s">
        <v>83</v>
      </c>
      <c r="AH40" s="125"/>
      <c r="AI40" s="125"/>
      <c r="AJ40" s="126"/>
      <c r="AK40" s="107">
        <f>COUNTIF(AK4:AK33, "&gt;"&amp;20)</f>
        <v>0</v>
      </c>
    </row>
    <row r="41" spans="1:37" ht="30" customHeight="1">
      <c r="AG41" s="124" t="s">
        <v>84</v>
      </c>
      <c r="AH41" s="125"/>
      <c r="AI41" s="125"/>
      <c r="AJ41" s="126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E1:AG1"/>
    <mergeCell ref="AH1:AJ1"/>
    <mergeCell ref="AG40:AJ40"/>
    <mergeCell ref="AG41:AJ41"/>
    <mergeCell ref="AK1:AK3"/>
    <mergeCell ref="A34:D34"/>
    <mergeCell ref="AG37:AJ37"/>
    <mergeCell ref="AG38:AJ38"/>
    <mergeCell ref="AG39:AJ39"/>
    <mergeCell ref="AG35:AJ35"/>
    <mergeCell ref="AG36:AJ36"/>
    <mergeCell ref="A1:C2"/>
    <mergeCell ref="E1:K1"/>
    <mergeCell ref="L1:Q1"/>
    <mergeCell ref="U1:Y1"/>
    <mergeCell ref="Z1:AD1"/>
    <mergeCell ref="R1:T1"/>
  </mergeCells>
  <conditionalFormatting sqref="E4:AJ33 L34:Q34">
    <cfRule type="expression" dxfId="5" priority="7">
      <formula>E4="+"</formula>
    </cfRule>
  </conditionalFormatting>
  <conditionalFormatting sqref="R34:T34">
    <cfRule type="expression" dxfId="4" priority="5">
      <formula>R34="+"</formula>
    </cfRule>
  </conditionalFormatting>
  <conditionalFormatting sqref="U34:Y34">
    <cfRule type="expression" dxfId="3" priority="4">
      <formula>U34="+"</formula>
    </cfRule>
  </conditionalFormatting>
  <conditionalFormatting sqref="Z34:AD34">
    <cfRule type="expression" dxfId="2" priority="3">
      <formula>Z34="+"</formula>
    </cfRule>
  </conditionalFormatting>
  <conditionalFormatting sqref="AE34:AG34">
    <cfRule type="expression" dxfId="1" priority="2">
      <formula>AE34="+"</formula>
    </cfRule>
  </conditionalFormatting>
  <conditionalFormatting sqref="AH34:AJ34">
    <cfRule type="expression" dxfId="0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Июнь</vt:lpstr>
      <vt:lpstr>Июль</vt:lpstr>
      <vt:lpstr>Август</vt:lpstr>
      <vt:lpstr>Сентябрь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2026-09-10T09:54:19Z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