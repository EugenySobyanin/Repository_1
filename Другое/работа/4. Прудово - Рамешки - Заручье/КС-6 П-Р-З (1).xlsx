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-120" yWindow="-120" windowWidth="38640" windowHeight="16440"/>
  </bookViews>
  <sheets>
    <sheet name="КС-6 №1" sheetId="9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1" i="9"/>
  <c r="S260"/>
  <c r="S259"/>
  <c r="S257"/>
  <c r="S258" s="1"/>
  <c r="S256"/>
  <c r="G122" l="1"/>
  <c r="G123"/>
  <c r="G121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27"/>
  <c r="G214"/>
  <c r="G215"/>
  <c r="G216"/>
  <c r="G217"/>
  <c r="G218"/>
  <c r="G219"/>
  <c r="G220"/>
  <c r="G221"/>
  <c r="G222"/>
  <c r="G223"/>
  <c r="G224"/>
  <c r="G213"/>
  <c r="G208"/>
  <c r="G209"/>
  <c r="G210"/>
  <c r="G207"/>
  <c r="G202"/>
  <c r="G203"/>
  <c r="G204"/>
  <c r="G201"/>
  <c r="G185"/>
  <c r="G186"/>
  <c r="G187"/>
  <c r="G188"/>
  <c r="G189"/>
  <c r="G190"/>
  <c r="G191"/>
  <c r="G192"/>
  <c r="G193"/>
  <c r="G194"/>
  <c r="G195"/>
  <c r="G196"/>
  <c r="G197"/>
  <c r="G198"/>
  <c r="G184"/>
  <c r="G175"/>
  <c r="G170"/>
  <c r="G145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1"/>
  <c r="G172"/>
  <c r="G173"/>
  <c r="G174"/>
  <c r="G176"/>
  <c r="G177"/>
  <c r="G178"/>
  <c r="G179"/>
  <c r="G180"/>
  <c r="G181"/>
  <c r="G126"/>
  <c r="G116"/>
  <c r="G117"/>
  <c r="G118"/>
  <c r="G115"/>
  <c r="G94"/>
  <c r="G95"/>
  <c r="G96"/>
  <c r="G97"/>
  <c r="G98"/>
  <c r="G99"/>
  <c r="G100"/>
  <c r="G101"/>
  <c r="G102"/>
  <c r="G103"/>
  <c r="G104"/>
  <c r="G93"/>
  <c r="G80"/>
  <c r="G81"/>
  <c r="G82"/>
  <c r="G83"/>
  <c r="G84"/>
  <c r="G85"/>
  <c r="G86"/>
  <c r="G87"/>
  <c r="G88"/>
  <c r="G89"/>
  <c r="G90"/>
  <c r="G79"/>
  <c r="G71"/>
  <c r="G72"/>
  <c r="G73"/>
  <c r="G74"/>
  <c r="G75"/>
  <c r="G76"/>
  <c r="G70"/>
  <c r="G64"/>
  <c r="G56"/>
  <c r="G57"/>
  <c r="G58"/>
  <c r="G59"/>
  <c r="G60"/>
  <c r="G61"/>
  <c r="G62"/>
  <c r="G63"/>
  <c r="G65"/>
  <c r="G66"/>
  <c r="G67"/>
  <c r="G55"/>
  <c r="G52"/>
  <c r="G44"/>
  <c r="G45"/>
  <c r="G46"/>
  <c r="G47"/>
  <c r="G48"/>
  <c r="G49"/>
  <c r="G43"/>
  <c r="G35"/>
  <c r="G36"/>
  <c r="G37"/>
  <c r="G38"/>
  <c r="G39"/>
  <c r="G40"/>
  <c r="G34"/>
  <c r="G21"/>
  <c r="G25"/>
  <c r="G24"/>
  <c r="G12"/>
  <c r="V90"/>
  <c r="S90"/>
  <c r="W90" l="1"/>
  <c r="S91"/>
  <c r="V214"/>
  <c r="V215"/>
  <c r="V216"/>
  <c r="V217"/>
  <c r="V218"/>
  <c r="V219"/>
  <c r="V220"/>
  <c r="V221"/>
  <c r="V222"/>
  <c r="V223"/>
  <c r="V224"/>
  <c r="V213"/>
  <c r="V202"/>
  <c r="V203"/>
  <c r="V204"/>
  <c r="V201"/>
  <c r="W190"/>
  <c r="W191"/>
  <c r="W194"/>
  <c r="W195"/>
  <c r="W198"/>
  <c r="V185"/>
  <c r="V186"/>
  <c r="V187"/>
  <c r="V188"/>
  <c r="V189"/>
  <c r="V190"/>
  <c r="V191"/>
  <c r="V192"/>
  <c r="V193"/>
  <c r="V194"/>
  <c r="V195"/>
  <c r="V196"/>
  <c r="V197"/>
  <c r="V198"/>
  <c r="V184"/>
  <c r="V127" l="1"/>
  <c r="V128"/>
  <c r="V129"/>
  <c r="V130"/>
  <c r="V131"/>
  <c r="V132"/>
  <c r="V133"/>
  <c r="V134"/>
  <c r="W134"/>
  <c r="V135"/>
  <c r="V136"/>
  <c r="V137"/>
  <c r="V138"/>
  <c r="V139"/>
  <c r="V140"/>
  <c r="V141"/>
  <c r="W141"/>
  <c r="V142"/>
  <c r="V143"/>
  <c r="W143"/>
  <c r="V144"/>
  <c r="V146"/>
  <c r="V147"/>
  <c r="V148"/>
  <c r="V149"/>
  <c r="V150"/>
  <c r="V151"/>
  <c r="V152"/>
  <c r="V153"/>
  <c r="V154"/>
  <c r="V155"/>
  <c r="V156"/>
  <c r="W156"/>
  <c r="V157"/>
  <c r="V158"/>
  <c r="V159"/>
  <c r="V160"/>
  <c r="V161"/>
  <c r="V162"/>
  <c r="V163"/>
  <c r="V164"/>
  <c r="V165"/>
  <c r="V166"/>
  <c r="V167"/>
  <c r="V168"/>
  <c r="V169"/>
  <c r="V171"/>
  <c r="V172"/>
  <c r="V173"/>
  <c r="W173"/>
  <c r="V174"/>
  <c r="V176"/>
  <c r="V177"/>
  <c r="V178"/>
  <c r="W178"/>
  <c r="V179"/>
  <c r="W179"/>
  <c r="V180"/>
  <c r="V181"/>
  <c r="W181"/>
  <c r="V126"/>
  <c r="V123"/>
  <c r="V121"/>
  <c r="V80"/>
  <c r="V81"/>
  <c r="V82"/>
  <c r="V83"/>
  <c r="V84"/>
  <c r="V85"/>
  <c r="V86"/>
  <c r="V87"/>
  <c r="V88"/>
  <c r="V79"/>
  <c r="Q80"/>
  <c r="W80" s="1"/>
  <c r="Q81"/>
  <c r="W81" s="1"/>
  <c r="Q82"/>
  <c r="W82" s="1"/>
  <c r="Q83"/>
  <c r="W83" s="1"/>
  <c r="Q84"/>
  <c r="W84" s="1"/>
  <c r="Q85"/>
  <c r="W85" s="1"/>
  <c r="Q86"/>
  <c r="W86" s="1"/>
  <c r="Q87"/>
  <c r="W87" s="1"/>
  <c r="Q88"/>
  <c r="W88" s="1"/>
  <c r="Q79"/>
  <c r="W79" s="1"/>
  <c r="V71"/>
  <c r="V72"/>
  <c r="V73"/>
  <c r="V74"/>
  <c r="V75"/>
  <c r="V76"/>
  <c r="V70"/>
  <c r="Q71"/>
  <c r="W71" s="1"/>
  <c r="Q72"/>
  <c r="W72" s="1"/>
  <c r="Q73"/>
  <c r="W73" s="1"/>
  <c r="Q74"/>
  <c r="W74" s="1"/>
  <c r="Q75"/>
  <c r="W75" s="1"/>
  <c r="Q76"/>
  <c r="W76" s="1"/>
  <c r="Q70"/>
  <c r="W70" s="1"/>
  <c r="V58"/>
  <c r="Q58"/>
  <c r="Q68" s="1"/>
  <c r="Q49"/>
  <c r="V46"/>
  <c r="Q46"/>
  <c r="V45"/>
  <c r="Q45"/>
  <c r="Q39"/>
  <c r="W39" s="1"/>
  <c r="Q36"/>
  <c r="W36" s="1"/>
  <c r="Q40"/>
  <c r="W40" s="1"/>
  <c r="Q37"/>
  <c r="W37" s="1"/>
  <c r="Q38"/>
  <c r="W38" s="1"/>
  <c r="Q35"/>
  <c r="V35"/>
  <c r="V36"/>
  <c r="V37"/>
  <c r="V38"/>
  <c r="V39"/>
  <c r="V40"/>
  <c r="V34"/>
  <c r="Q34"/>
  <c r="V14"/>
  <c r="Q14"/>
  <c r="Q15" s="1"/>
  <c r="Q255"/>
  <c r="Q211"/>
  <c r="Q119"/>
  <c r="Q113"/>
  <c r="Q105"/>
  <c r="Q53"/>
  <c r="Q32"/>
  <c r="Q26"/>
  <c r="V100"/>
  <c r="V101"/>
  <c r="V99"/>
  <c r="V94"/>
  <c r="V95"/>
  <c r="V96"/>
  <c r="V97"/>
  <c r="O100"/>
  <c r="W100" s="1"/>
  <c r="O101"/>
  <c r="W101" s="1"/>
  <c r="O99"/>
  <c r="W99" s="1"/>
  <c r="O94"/>
  <c r="W94" s="1"/>
  <c r="O95"/>
  <c r="W95" s="1"/>
  <c r="O96"/>
  <c r="W96" s="1"/>
  <c r="O97"/>
  <c r="W97" s="1"/>
  <c r="V93"/>
  <c r="O93"/>
  <c r="W93" s="1"/>
  <c r="O56"/>
  <c r="W56" s="1"/>
  <c r="O58"/>
  <c r="W58" s="1"/>
  <c r="O57"/>
  <c r="W57" s="1"/>
  <c r="O59"/>
  <c r="W59" s="1"/>
  <c r="O60"/>
  <c r="W60" s="1"/>
  <c r="O61"/>
  <c r="W61" s="1"/>
  <c r="O62"/>
  <c r="W62" s="1"/>
  <c r="V56"/>
  <c r="V57"/>
  <c r="V59"/>
  <c r="V60"/>
  <c r="V61"/>
  <c r="V62"/>
  <c r="V55"/>
  <c r="O55"/>
  <c r="W55" s="1"/>
  <c r="W43"/>
  <c r="V44"/>
  <c r="V47"/>
  <c r="V48"/>
  <c r="V43"/>
  <c r="O44"/>
  <c r="W44" s="1"/>
  <c r="O45"/>
  <c r="O46"/>
  <c r="O47"/>
  <c r="W47" s="1"/>
  <c r="O48"/>
  <c r="W48" s="1"/>
  <c r="O43"/>
  <c r="O39"/>
  <c r="O37"/>
  <c r="O38"/>
  <c r="O36"/>
  <c r="O255"/>
  <c r="O225"/>
  <c r="O211"/>
  <c r="O205"/>
  <c r="O199"/>
  <c r="O182"/>
  <c r="O124"/>
  <c r="O119"/>
  <c r="O113"/>
  <c r="O91"/>
  <c r="O77"/>
  <c r="O53"/>
  <c r="O32"/>
  <c r="O26"/>
  <c r="O15"/>
  <c r="V108"/>
  <c r="V107"/>
  <c r="M108"/>
  <c r="M107"/>
  <c r="M11"/>
  <c r="M9"/>
  <c r="M10"/>
  <c r="M12"/>
  <c r="M13"/>
  <c r="M8"/>
  <c r="V9"/>
  <c r="V10"/>
  <c r="V11"/>
  <c r="V12"/>
  <c r="V13"/>
  <c r="V8"/>
  <c r="M255"/>
  <c r="M225"/>
  <c r="M211"/>
  <c r="M205"/>
  <c r="M199"/>
  <c r="M182"/>
  <c r="M124"/>
  <c r="M119"/>
  <c r="M105"/>
  <c r="M91"/>
  <c r="M77"/>
  <c r="M68"/>
  <c r="M53"/>
  <c r="M50"/>
  <c r="M41"/>
  <c r="M32"/>
  <c r="M26"/>
  <c r="W46" l="1"/>
  <c r="W45"/>
  <c r="Q50"/>
  <c r="Q91"/>
  <c r="Q77"/>
  <c r="Q41"/>
  <c r="O105"/>
  <c r="O68"/>
  <c r="O50"/>
  <c r="O41"/>
  <c r="M113"/>
  <c r="M15"/>
  <c r="M256" s="1"/>
  <c r="M257" s="1"/>
  <c r="M258" s="1"/>
  <c r="M260" s="1"/>
  <c r="M261" s="1"/>
  <c r="K39"/>
  <c r="K37"/>
  <c r="K38"/>
  <c r="K36"/>
  <c r="K13"/>
  <c r="K12"/>
  <c r="K255"/>
  <c r="K225"/>
  <c r="K211"/>
  <c r="K205"/>
  <c r="K199"/>
  <c r="K182"/>
  <c r="K124"/>
  <c r="K119"/>
  <c r="K113"/>
  <c r="K105"/>
  <c r="K91"/>
  <c r="K77"/>
  <c r="K68"/>
  <c r="K53"/>
  <c r="K50"/>
  <c r="K32"/>
  <c r="K26"/>
  <c r="I111"/>
  <c r="I112"/>
  <c r="O256" l="1"/>
  <c r="O257" s="1"/>
  <c r="O258" s="1"/>
  <c r="O260" s="1"/>
  <c r="O261" s="1"/>
  <c r="K41"/>
  <c r="K15"/>
  <c r="I108"/>
  <c r="I109"/>
  <c r="I110"/>
  <c r="I107"/>
  <c r="I35"/>
  <c r="W35" s="1"/>
  <c r="I34"/>
  <c r="W34" s="1"/>
  <c r="I11"/>
  <c r="G18"/>
  <c r="G19"/>
  <c r="G20"/>
  <c r="G22"/>
  <c r="G23"/>
  <c r="G17"/>
  <c r="I41" l="1"/>
  <c r="K256"/>
  <c r="K257" s="1"/>
  <c r="K258" s="1"/>
  <c r="K260" s="1"/>
  <c r="K261" s="1"/>
  <c r="W254"/>
  <c r="V254"/>
  <c r="W253"/>
  <c r="V253"/>
  <c r="V252"/>
  <c r="W251"/>
  <c r="V251"/>
  <c r="W250"/>
  <c r="V250"/>
  <c r="W249"/>
  <c r="V249"/>
  <c r="W248"/>
  <c r="V248"/>
  <c r="W247"/>
  <c r="V247"/>
  <c r="W246"/>
  <c r="V246"/>
  <c r="W245"/>
  <c r="V245"/>
  <c r="W244"/>
  <c r="V244"/>
  <c r="W243"/>
  <c r="V243"/>
  <c r="W242"/>
  <c r="V242"/>
  <c r="W241"/>
  <c r="V241"/>
  <c r="V240"/>
  <c r="W239"/>
  <c r="V239"/>
  <c r="W238"/>
  <c r="V238"/>
  <c r="W237"/>
  <c r="V237"/>
  <c r="W236"/>
  <c r="V236"/>
  <c r="W235"/>
  <c r="V235"/>
  <c r="V234"/>
  <c r="V233"/>
  <c r="V232"/>
  <c r="W231"/>
  <c r="V231"/>
  <c r="V230"/>
  <c r="W229"/>
  <c r="V229"/>
  <c r="W228"/>
  <c r="V228"/>
  <c r="W227"/>
  <c r="V227"/>
  <c r="I255"/>
  <c r="W252"/>
  <c r="W230"/>
  <c r="I225"/>
  <c r="Q224"/>
  <c r="W224" s="1"/>
  <c r="Q223"/>
  <c r="W223" s="1"/>
  <c r="Q222"/>
  <c r="W222" s="1"/>
  <c r="Q221"/>
  <c r="W221" s="1"/>
  <c r="Q220"/>
  <c r="W220" s="1"/>
  <c r="Q219"/>
  <c r="W219" s="1"/>
  <c r="Q218"/>
  <c r="W218" s="1"/>
  <c r="Q217"/>
  <c r="W217" s="1"/>
  <c r="Q216"/>
  <c r="W216" s="1"/>
  <c r="Q215"/>
  <c r="W215" s="1"/>
  <c r="Q214"/>
  <c r="W214" s="1"/>
  <c r="Q213"/>
  <c r="W210"/>
  <c r="V210"/>
  <c r="W209"/>
  <c r="V209"/>
  <c r="W208"/>
  <c r="V208"/>
  <c r="V207"/>
  <c r="I211"/>
  <c r="G211"/>
  <c r="I205"/>
  <c r="Q204"/>
  <c r="W204" s="1"/>
  <c r="Q203"/>
  <c r="W203" s="1"/>
  <c r="G205"/>
  <c r="Q201"/>
  <c r="W213" l="1"/>
  <c r="Q225"/>
  <c r="Q202"/>
  <c r="W202" s="1"/>
  <c r="W232"/>
  <c r="W234"/>
  <c r="W240"/>
  <c r="W201"/>
  <c r="W205" s="1"/>
  <c r="W233"/>
  <c r="W207"/>
  <c r="W211" s="1"/>
  <c r="G255"/>
  <c r="W225"/>
  <c r="G225"/>
  <c r="I199"/>
  <c r="W197"/>
  <c r="W196"/>
  <c r="W193"/>
  <c r="W192"/>
  <c r="Q189"/>
  <c r="W189" s="1"/>
  <c r="Q188"/>
  <c r="W188" s="1"/>
  <c r="Q187"/>
  <c r="W187" s="1"/>
  <c r="Q186"/>
  <c r="W186" s="1"/>
  <c r="Q185"/>
  <c r="W185" s="1"/>
  <c r="I182"/>
  <c r="Q180"/>
  <c r="W180" s="1"/>
  <c r="Q177"/>
  <c r="W177" s="1"/>
  <c r="Q176"/>
  <c r="W176" s="1"/>
  <c r="Q174"/>
  <c r="W174" s="1"/>
  <c r="Q172"/>
  <c r="W172" s="1"/>
  <c r="Q171"/>
  <c r="W171" s="1"/>
  <c r="Q169"/>
  <c r="W169" s="1"/>
  <c r="Q168"/>
  <c r="W168" s="1"/>
  <c r="Q167"/>
  <c r="W167" s="1"/>
  <c r="Q166"/>
  <c r="W166" s="1"/>
  <c r="Q165"/>
  <c r="W165" s="1"/>
  <c r="Q164"/>
  <c r="W164" s="1"/>
  <c r="Q163"/>
  <c r="W163" s="1"/>
  <c r="Q162"/>
  <c r="W162" s="1"/>
  <c r="Q161"/>
  <c r="W161" s="1"/>
  <c r="Q160"/>
  <c r="W160" s="1"/>
  <c r="Q159"/>
  <c r="W159" s="1"/>
  <c r="Q158"/>
  <c r="W158" s="1"/>
  <c r="Q157"/>
  <c r="W157" s="1"/>
  <c r="Q155"/>
  <c r="W155" s="1"/>
  <c r="Q154"/>
  <c r="W154" s="1"/>
  <c r="Q153"/>
  <c r="W153" s="1"/>
  <c r="Q152"/>
  <c r="W152" s="1"/>
  <c r="Q151"/>
  <c r="W151" s="1"/>
  <c r="Q150"/>
  <c r="W150" s="1"/>
  <c r="Q149"/>
  <c r="W149" s="1"/>
  <c r="Q148"/>
  <c r="W148" s="1"/>
  <c r="Q147"/>
  <c r="W147" s="1"/>
  <c r="Q146"/>
  <c r="W146" s="1"/>
  <c r="Q144"/>
  <c r="W144" s="1"/>
  <c r="Q142"/>
  <c r="W142" s="1"/>
  <c r="Q140"/>
  <c r="W140" s="1"/>
  <c r="Q139"/>
  <c r="W139" s="1"/>
  <c r="Q138"/>
  <c r="W138" s="1"/>
  <c r="Q137"/>
  <c r="W137" s="1"/>
  <c r="Q136"/>
  <c r="W136" s="1"/>
  <c r="Q135"/>
  <c r="W135" s="1"/>
  <c r="Q133"/>
  <c r="W133" s="1"/>
  <c r="Q132"/>
  <c r="W132" s="1"/>
  <c r="Q131"/>
  <c r="W131" s="1"/>
  <c r="Q130"/>
  <c r="W130" s="1"/>
  <c r="Q128"/>
  <c r="W128" s="1"/>
  <c r="V122"/>
  <c r="I124"/>
  <c r="V118"/>
  <c r="V117"/>
  <c r="W116"/>
  <c r="V116"/>
  <c r="W115"/>
  <c r="V115"/>
  <c r="I119"/>
  <c r="W255" l="1"/>
  <c r="Q205"/>
  <c r="Q123"/>
  <c r="W123" s="1"/>
  <c r="W127"/>
  <c r="Q126"/>
  <c r="Q182" s="1"/>
  <c r="Q121"/>
  <c r="W129"/>
  <c r="G199"/>
  <c r="G119"/>
  <c r="Q184"/>
  <c r="G182"/>
  <c r="W117"/>
  <c r="G124"/>
  <c r="W118"/>
  <c r="W122"/>
  <c r="V112"/>
  <c r="V111"/>
  <c r="V110"/>
  <c r="V109"/>
  <c r="I113"/>
  <c r="G112"/>
  <c r="W112" s="1"/>
  <c r="G111"/>
  <c r="W111" s="1"/>
  <c r="G110"/>
  <c r="W110" s="1"/>
  <c r="G109"/>
  <c r="W109" s="1"/>
  <c r="G108"/>
  <c r="W108" s="1"/>
  <c r="G107"/>
  <c r="W107" s="1"/>
  <c r="W89"/>
  <c r="V89"/>
  <c r="W49"/>
  <c r="V49"/>
  <c r="W119" l="1"/>
  <c r="W126"/>
  <c r="W182" s="1"/>
  <c r="Q124"/>
  <c r="Q256" s="1"/>
  <c r="Q257" s="1"/>
  <c r="Q258" s="1"/>
  <c r="Q260" s="1"/>
  <c r="Q261" s="1"/>
  <c r="W184"/>
  <c r="W199" s="1"/>
  <c r="Q199"/>
  <c r="W121"/>
  <c r="W124" s="1"/>
  <c r="G113"/>
  <c r="G91"/>
  <c r="W113"/>
  <c r="G77"/>
  <c r="G41"/>
  <c r="G50"/>
  <c r="V25" l="1"/>
  <c r="W25"/>
  <c r="G14"/>
  <c r="W14" s="1"/>
  <c r="G13"/>
  <c r="W13" s="1"/>
  <c r="W12"/>
  <c r="G11"/>
  <c r="W11" s="1"/>
  <c r="G10"/>
  <c r="G9"/>
  <c r="G8"/>
  <c r="G7"/>
  <c r="G26" l="1"/>
  <c r="V104"/>
  <c r="V103"/>
  <c r="V102"/>
  <c r="V98"/>
  <c r="W98"/>
  <c r="I91"/>
  <c r="V67"/>
  <c r="V66"/>
  <c r="V65"/>
  <c r="V63"/>
  <c r="V52"/>
  <c r="V31"/>
  <c r="V30"/>
  <c r="V29"/>
  <c r="V28"/>
  <c r="W28"/>
  <c r="V24"/>
  <c r="V23"/>
  <c r="V22"/>
  <c r="V21"/>
  <c r="V20"/>
  <c r="V19"/>
  <c r="V18"/>
  <c r="V17"/>
  <c r="W17"/>
  <c r="I10"/>
  <c r="W10" s="1"/>
  <c r="I9"/>
  <c r="W9" s="1"/>
  <c r="I8"/>
  <c r="W8" s="1"/>
  <c r="V7"/>
  <c r="I77" l="1"/>
  <c r="W102"/>
  <c r="W104"/>
  <c r="W103"/>
  <c r="W41"/>
  <c r="W67"/>
  <c r="W65"/>
  <c r="W31"/>
  <c r="W20"/>
  <c r="W63"/>
  <c r="W30"/>
  <c r="I68"/>
  <c r="W52"/>
  <c r="W66"/>
  <c r="I50"/>
  <c r="W19"/>
  <c r="W29"/>
  <c r="W21"/>
  <c r="G32"/>
  <c r="I32"/>
  <c r="W24"/>
  <c r="G15"/>
  <c r="W18"/>
  <c r="I26"/>
  <c r="W23"/>
  <c r="I15"/>
  <c r="W22"/>
  <c r="W7"/>
  <c r="W26" l="1"/>
  <c r="W91"/>
  <c r="W77"/>
  <c r="W50"/>
  <c r="W32"/>
  <c r="W15"/>
  <c r="I105" l="1"/>
  <c r="I53"/>
  <c r="G105"/>
  <c r="G53"/>
  <c r="G68"/>
  <c r="G256" l="1"/>
  <c r="G257" s="1"/>
  <c r="G258" s="1"/>
  <c r="G260" s="1"/>
  <c r="G261" s="1"/>
  <c r="I256"/>
  <c r="I257" s="1"/>
  <c r="I258" s="1"/>
  <c r="I260" s="1"/>
  <c r="I261" s="1"/>
  <c r="W53"/>
  <c r="W105"/>
  <c r="W68"/>
  <c r="W256" l="1"/>
  <c r="W257" s="1"/>
  <c r="W258" s="1"/>
  <c r="W260" s="1"/>
  <c r="W261" s="1"/>
</calcChain>
</file>

<file path=xl/sharedStrings.xml><?xml version="1.0" encoding="utf-8"?>
<sst xmlns="http://schemas.openxmlformats.org/spreadsheetml/2006/main" count="713" uniqueCount="456">
  <si>
    <t>Номер</t>
  </si>
  <si>
    <t>Наименование работ</t>
  </si>
  <si>
    <t>Единица измерения</t>
  </si>
  <si>
    <t>п/п</t>
  </si>
  <si>
    <t>Позиц. по смете</t>
  </si>
  <si>
    <t>Количество</t>
  </si>
  <si>
    <t>Цена за единицу в руб.</t>
  </si>
  <si>
    <t>Стоимость, руб.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</si>
  <si>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</si>
  <si>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</si>
  <si>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</si>
  <si>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</si>
  <si>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</si>
  <si>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</si>
  <si>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</si>
  <si>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</si>
  <si>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</si>
  <si>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</si>
  <si>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</si>
  <si>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</si>
  <si>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</si>
  <si>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</si>
  <si>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</si>
  <si>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5.1</t>
  </si>
  <si>
    <t>6.1</t>
  </si>
  <si>
    <t>7.1</t>
  </si>
  <si>
    <t>8.1</t>
  </si>
  <si>
    <t>Ведомость остатков</t>
  </si>
  <si>
    <t>тн</t>
  </si>
  <si>
    <t>Итого по разделу 1</t>
  </si>
  <si>
    <t>Итого по разделу 2</t>
  </si>
  <si>
    <t>Итого по разделу 3</t>
  </si>
  <si>
    <t>Итого по разделу 4</t>
  </si>
  <si>
    <t>Итого по разделу 5</t>
  </si>
  <si>
    <t>Итого по разделу 6</t>
  </si>
  <si>
    <t>Итого по разделу 7</t>
  </si>
  <si>
    <t>8.2</t>
  </si>
  <si>
    <t>8.3</t>
  </si>
  <si>
    <t>8.4</t>
  </si>
  <si>
    <t>Итого по разделу 8</t>
  </si>
  <si>
    <t>9.1</t>
  </si>
  <si>
    <t>9.2</t>
  </si>
  <si>
    <t>9.3</t>
  </si>
  <si>
    <t>Итого по разделу 9</t>
  </si>
  <si>
    <t>10.3</t>
  </si>
  <si>
    <t>10.4</t>
  </si>
  <si>
    <t>10.5</t>
  </si>
  <si>
    <t>Итого по разделу 10</t>
  </si>
  <si>
    <t>1.7</t>
  </si>
  <si>
    <t>7.2</t>
  </si>
  <si>
    <t>7.3</t>
  </si>
  <si>
    <t>7.4</t>
  </si>
  <si>
    <t>10.6</t>
  </si>
  <si>
    <t>10.7</t>
  </si>
  <si>
    <t>10.8</t>
  </si>
  <si>
    <t>10.9</t>
  </si>
  <si>
    <t>10.10</t>
  </si>
  <si>
    <t>10.11</t>
  </si>
  <si>
    <t>10.12</t>
  </si>
  <si>
    <t>Остаток</t>
  </si>
  <si>
    <t>Срезка поверхностного слоя асфальтобетонного дорожного покрытия методом холодного фрезерования на глубину 5 см, фрезой шириной 2 метра</t>
  </si>
  <si>
    <t>1.8</t>
  </si>
  <si>
    <t>100 м²</t>
  </si>
  <si>
    <t>2.5</t>
  </si>
  <si>
    <t>5.2</t>
  </si>
  <si>
    <t>5.3</t>
  </si>
  <si>
    <t>5.4</t>
  </si>
  <si>
    <t>5.5</t>
  </si>
  <si>
    <t>5.6</t>
  </si>
  <si>
    <t>100 м</t>
  </si>
  <si>
    <t>7.5</t>
  </si>
  <si>
    <t>7.6</t>
  </si>
  <si>
    <t>7.7</t>
  </si>
  <si>
    <t>Нарезка корыта шириной 0,35 м, глубиной 0,25 м под установку бортовых камней на бетонном основании</t>
  </si>
  <si>
    <t>7.8</t>
  </si>
  <si>
    <t>7.9</t>
  </si>
  <si>
    <t>7.10</t>
  </si>
  <si>
    <t>Восстановление недостающих бортовых камней БР 100.20.8 на бетонном основании</t>
  </si>
  <si>
    <t>7.11</t>
  </si>
  <si>
    <t>7.12</t>
  </si>
  <si>
    <t xml:space="preserve">Обратная засыпка установленного бортового камня (посадочной площадки) с внешней стороны (со стороны откосной части земляного полотна)  материалом от нарезки корыта (без стоимости материала) </t>
  </si>
  <si>
    <t>Установка автопавильонов типа НР-6М-О (оцинкованный)</t>
  </si>
  <si>
    <t>Валка деревьев мягких пород с корня диаметром ствола до 24 см</t>
  </si>
  <si>
    <t>Расчистка площадей от кустарника и мелколесья вручную (средней поросли)</t>
  </si>
  <si>
    <t>10.1</t>
  </si>
  <si>
    <t>10.2</t>
  </si>
  <si>
    <t>Установка стоек дорожных знаков из металлических полых оцинкованных труб круглого сечения диаметром 76 мм, средней длиной 4 п.м на монолитном бетонном фундаменте (бетон тяжелый (М100) объем - 0,05 м³ на стойку) масса одной стойки 22,96 кг</t>
  </si>
  <si>
    <t>Установка дорожных сигнальных столбиков типа С3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</si>
  <si>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1.17), пластик желтый</t>
  </si>
  <si>
    <t>т</t>
  </si>
  <si>
    <t>100 т</t>
  </si>
  <si>
    <t>Розлив битумной эмульсии ЭБДК Б по ГОСТ Р 58952.1-2020, расход битумной эмульсии - 0,3 л/м²</t>
  </si>
  <si>
    <t>2.6</t>
  </si>
  <si>
    <t>Восстановление изношенного слоя асфальтобетонного покрытия (толщиной 5 см) из асфальтобетонной смеси А16Вн по ГОСТ Р 58406.2-2020 (расход а/б смеси на толщину 4 см - 96,03 т/1000 м²)</t>
  </si>
  <si>
    <t>2.7</t>
  </si>
  <si>
    <t>2.8</t>
  </si>
  <si>
    <t>Восстановление щебеночной подушки из щебня М800 фракции 20-40 мм, толщиной 0,1 м, шириной 0,3 м, под бетонное основание для бортовых камней</t>
  </si>
  <si>
    <t>Устройство выравнивающего слоя основания из песка природного мелкого для строительных работ (Кф ≥ 1 м/сут) средней толщиной 3 см (в плотном теле) по ГОСТ 8736-2014</t>
  </si>
  <si>
    <t xml:space="preserve">Разметка проезжей части термопластиком со стекломикрошариками пунктирной линией (шаг 1:3) шириной 0,1 м (разметка 1.5) </t>
  </si>
  <si>
    <t xml:space="preserve">Разметка проезжей части термопластиком со стекломикрошариками пунктирной линией (шаг 3:1) шириной 0,1 м (разметка 1.6) </t>
  </si>
  <si>
    <t>9.4</t>
  </si>
  <si>
    <t>9.5</t>
  </si>
  <si>
    <t>9.6</t>
  </si>
  <si>
    <t>9.7</t>
  </si>
  <si>
    <t>9.8</t>
  </si>
  <si>
    <t>Установка щитков дорожных знаков II типоразмера на оцинкованной подоснове со световозвращающей пленкой тип Б: 6.13 "Километровый знак" двухсторонние (размер щита, мм 200*300)</t>
  </si>
  <si>
    <t>на выполнение работ по ремонту автомобильной дороги общего пользования регионального значения Прудово- Рамешки - Заручье Рамешковского муниципального округа Тверской области</t>
  </si>
  <si>
    <t>Стоимость работ согласно Государственному Контракту № 26/2024-Р от 03.09.2024</t>
  </si>
  <si>
    <t>Механизированная прочистка (восстановление) кюветов экскаваторами с ковшом вместимостью 0,65 м³ с последующей планировкой откосов и дна кюветов, с последующей погрузкой и транспортировкой на среднее расстояние до 16 км (вес грунта 1 м³ - 1,4 т/м³)</t>
  </si>
  <si>
    <t>1000 м³</t>
  </si>
  <si>
    <t>Прямая транспортировка отфрезерованного материала на среднее расстояние до 8 км во временный конус (без погрузки) и обратная транспортировка гранулята для использования в работе на среднее расстояние до 8 км с погрузкой (общее расстояние транспортировки груза до 16 км)</t>
  </si>
  <si>
    <t>Укладка выравнивающего слоя из асфальтобетонной смеси типа А16Нн ГОСТ Р 58406.2-2020  (средняя толщина 4 см) (расход а/б смеси - 96,03 т/1000 м²)</t>
  </si>
  <si>
    <t>1000 м²</t>
  </si>
  <si>
    <t>Укрепление обочин асфальтогранулятом (без учёта стоимости гранулята) средней толщиной 9 см</t>
  </si>
  <si>
    <t>Разборка оснований (с учётом обочин) на глубину 0,25 м (25 см щебеночного-песчаного основания) с погрузкой и транспортировкой на 16 км (вес лома 1 м³ - 1,8 т/м³)</t>
  </si>
  <si>
    <t>Восстановление песчано-подстилающего слоя из песка природного мелкого для строительных работ с Кф&gt;1 м/сут по ГОСТ 8736-2014 на толщину 0,4 м (в два слоя толщиной по 0,20 м) с послойным уплотнением катком (6 проходов))</t>
  </si>
  <si>
    <t>Восстановление двухслойного щебеночного основания (н.с. - 13 см, в.с. - 12 см) по способу заклинки из щебня М800 фракции 40-70 мм толщиной 0,25 м, с расклинцовкой щебнем М800 фракции 5-20 мм (расход 25 м³ на 1000 м²)</t>
  </si>
  <si>
    <t>Розлив битумной эмульсии ЭБДК Б по ГОСТ Р 58952.1-2020, расход битумной эмульсии - 0,8 л/м²</t>
  </si>
  <si>
    <t>Укладка выравнивающего слоя из асфальтобетонной смеси типа А22Нн ГОСТ Р 58406.2-2020 (средняя толщина 7 см) (расход а/б смеси - 95,83 т/1000 м²)</t>
  </si>
  <si>
    <t>Досыпка обочин из песка природного мелкого для строительных работ с Кф&gt;1 м/сут по ГОСТ 8736-2014 на толщину 0,25 м</t>
  </si>
  <si>
    <t>100 м³</t>
  </si>
  <si>
    <t>2.9</t>
  </si>
  <si>
    <t>Укрепление обочин асфальтогранулятом (без стоимости материала) средней толщиной 9 см</t>
  </si>
  <si>
    <t>Раздел 3. Работы, выполняемые на проезжей части моста через р. Шуйка, км 10+147 - км 10+174</t>
  </si>
  <si>
    <t>Розлив битумной эмульсии ЭБДК Б по ГОСТ Р 58952.1-2020, расход битумной эмульсии -0,3 л/м²</t>
  </si>
  <si>
    <t>Раздел 4. Съезды с изношенным асфальтобетонным покрытием</t>
  </si>
  <si>
    <t>4.2</t>
  </si>
  <si>
    <t>4.3</t>
  </si>
  <si>
    <t>4.4</t>
  </si>
  <si>
    <t>Укладка выравнивающего слоя из асфальтобетонной смеси типа А16Нн ГОСТ Р 58406.2-2020 (средняя толщина 4 см) (расход а/б смеси - 96,03 т/1000 м²)</t>
  </si>
  <si>
    <t>4.5</t>
  </si>
  <si>
    <t>4.6</t>
  </si>
  <si>
    <t>4.7</t>
  </si>
  <si>
    <t>Раздел 5. Съезды с разрушеным асфальтобетонным покрытием</t>
  </si>
  <si>
    <t>Разборка щебеночных оснований на глубину 0,2 м (20 см щебеночно-песчаного основания) с погрузкой и транспортировкой на среднее расстояние до 16 км (вес лома 1 м³ - 1,6 т/м³)</t>
  </si>
  <si>
    <t>Восстановление верхнего слоя основания из щебня М800 фракции 40-70 мм, средней толщиной 0,15 м, с расклинцовкой щебнем М800 фракции 5-20 мм (расход 25 м³ на 1000 м²)</t>
  </si>
  <si>
    <t>5.7</t>
  </si>
  <si>
    <t>Укрепление обочин асфальтогранулятом (без стоимости материала) средней толщиной 12 см</t>
  </si>
  <si>
    <t>Раздел 6. Съезды с переходным типом покрытия</t>
  </si>
  <si>
    <t>Восстановление изношенного переходного покрытия асфальтогранулятом итолщиной 10 см (без стоимости гранулята)</t>
  </si>
  <si>
    <t>Раздел 7. Парковочные карманы с разрушеным асфальтобетонным покрытием</t>
  </si>
  <si>
    <t>Разборка щебеночного основания на глубину 0,2 м (20 см щебеночно-песчаного основания) экскаватором с погрузкой и транспортировкой на среднее расстояние до 16 км (вес лома 1 м³ - 1,6 т/м³)</t>
  </si>
  <si>
    <t>Восстановление щебеночной подушки из щебня М800 фракции 20-40 мм, тощиной 0,1 м, шириной 0,3 м, под бетонное основание для бортовых камней</t>
  </si>
  <si>
    <t>Восстановление недостающих бортовых камней БР 100.30.18 на бетонном основании</t>
  </si>
  <si>
    <t xml:space="preserve">Обратная засыпка установленного бортового камня с внешней стороны материалом от нарезки корыта (без стоимости материала) </t>
  </si>
  <si>
    <t>Подготовка почвы для устройства обыкновенного газона с внесением привозной растительной земли слоем 15 см: вручную (за установленными бортовыми камнями на ширину 0,5 м), с планировкой существующего грунтового материала вручную за установленными бортовыми камнями на ширину 0,5 м</t>
  </si>
  <si>
    <t xml:space="preserve">Посев семян трав на ширину 0,5 метра на спланированной растительной земле за установленными бортовыми камнями (из расчета 40 г. семян на 1 м²) </t>
  </si>
  <si>
    <t xml:space="preserve">Раздел 8. Ремонт заездных карманов с разрушенным асфальтобетонным покрытием </t>
  </si>
  <si>
    <t>Разборка изношенного щебеночного покрытия на глубину 0,15 м экскаватором с погрузкой и транспортировкой на среднее расстояние до 16 км (вес грунта 1 м³ - 1,8 т/м³)</t>
  </si>
  <si>
    <t>8.5</t>
  </si>
  <si>
    <t>Розлив битумной эмульсии ЭБДК Б по ГОСТ Р 58952.1-2020, расход битумной эмульсии  - 0,3 л/м²</t>
  </si>
  <si>
    <t>8.6</t>
  </si>
  <si>
    <t>8.7</t>
  </si>
  <si>
    <t>Раздел 9. Ремонт посадочных площадок на автобусных остановках</t>
  </si>
  <si>
    <t>Демонтаж металлических автопавильонов (средняя масса 1 шт - 0,6 тн) с погрузкой и транспортировкой на среднее расстояние до 16 км</t>
  </si>
  <si>
    <t>шт</t>
  </si>
  <si>
    <t>Разборка покрытий и оснований на глубину 0,2 м (5 см - асфальтобетонное покрытие, 15 см - щебеночное основание) экскаватором с погрузкой и транспортировкой на среднее расстояние до 16 км (вес лома 1 м³ асфальтобетона - 2,0 т/м³, 1 м³ щебня - 1,8 т/м³)</t>
  </si>
  <si>
    <t>Укладка выравнивающего слоя основания из песчаного, супесчаного грунта</t>
  </si>
  <si>
    <t>Восттановление недостающих бортовых камней БР 100.30.18 на бетонном основании</t>
  </si>
  <si>
    <t xml:space="preserve">Восстановление щебеночного основания посадочных площадок (щебень М800 фракции 20-40 мм), средней толщиной 0,10 м </t>
  </si>
  <si>
    <t>9.9</t>
  </si>
  <si>
    <t>9.10</t>
  </si>
  <si>
    <t>Устройство покрытий из тротуарной плитки (Плитка тротуарная декоративная (брусчатка) "КИРПИЧИК", размером 200*100 мм, толщина 60 мм, серая), на основании из песко-цементной смеси толщиной 5 см (смесь пескоцементная (цемент М 400)) (вес цпс 1 м³ - 1,5 т/м³)</t>
  </si>
  <si>
    <t>9.11</t>
  </si>
  <si>
    <t>9.12</t>
  </si>
  <si>
    <t>Раздел 10. Ремонт разрушенных пешеходных дорожек и тротуаров</t>
  </si>
  <si>
    <t>Разборка покрытий и оснований на глубину 0,2 м (5 см - асфальтобетонное покрытие, 15 см - щебеночное основание) экскаватором с погрузкой и транспортировкой на среднее расстояние до 10 км (вес лома 1 м³ асфальтобетона - 2,0 т/м³, 1 м³ щебня - 1,8 т/м³)</t>
  </si>
  <si>
    <t>Нарезка корыта шириной 0,35 м, глубиной 0,3 м под установку бортовых камней на бетонном основании</t>
  </si>
  <si>
    <t>Восстановление недостающих бортовых камней БР 100.30.15 на бетонном основании</t>
  </si>
  <si>
    <t xml:space="preserve">Восстановление щебеночного основания тротуаров и пешеходных дорожек  (щебень М800 фракции 20-40 мм),средней толщиной 0,15 м </t>
  </si>
  <si>
    <t>Монтаж ж/б плит ТПТ 0,5х0,5х0,05 м (0,25 м² - 1 шт) жёлтого цвета с продольными рифами (9 шт.) по ГОСТ 52875-2018 с заделкой швов по периметру тактильной плитки шириной до 3 см (цементный раствор М400), расход цементного раствора 0,0024 м³/п.м.</t>
  </si>
  <si>
    <t>10 шт</t>
  </si>
  <si>
    <t>Раздел 11. Подготовительные работы - расчистка площадей от растительности</t>
  </si>
  <si>
    <t>11.1</t>
  </si>
  <si>
    <t>100 шт</t>
  </si>
  <si>
    <t>11.2</t>
  </si>
  <si>
    <t>Погрузка и перевозка порубочных остатков от валки деревьев на среднее расстояние до 16 км</t>
  </si>
  <si>
    <t>11.3</t>
  </si>
  <si>
    <t>Валка деревьев мягких пород с корня диаметром ствола до 32 см</t>
  </si>
  <si>
    <t>11.4</t>
  </si>
  <si>
    <t>11.5</t>
  </si>
  <si>
    <t>11.6</t>
  </si>
  <si>
    <t>Погрузка и перевозка порубочных остатков от рубки кустарника и мелколесья на среднее расстояние до 16 км</t>
  </si>
  <si>
    <t>ИТОГО по разделу 11:</t>
  </si>
  <si>
    <t>Раздел 12. Регулирование люков колодцев</t>
  </si>
  <si>
    <t>12.1</t>
  </si>
  <si>
    <t>Рвосстановление песчано-подстилающего слоя из песка природного мелкого для строительных работ с Кф &gt; 1 м/сут толщиной 0,2 м по ГОСТ 8736-2014</t>
  </si>
  <si>
    <t>12.2</t>
  </si>
  <si>
    <t>Восстановление основания из щебня М800 фракции 40-70 мм, средней тощиной 0,15 м с расклинцовкой щебнем М800 фр.5-20 мм</t>
  </si>
  <si>
    <t>12.3</t>
  </si>
  <si>
    <t>Регулирование высотного положения крышек колодцев с подъемом на высоту до 18 см с применением колец опорных марки КО-6 (бетон B15 (М200), объем бетона 0,02 м³, расход арматуры 1,10 кг/шт) (2 кольца на колодец, всего 20 колодцев)</t>
  </si>
  <si>
    <t>12.4</t>
  </si>
  <si>
    <t>Регулирование высотного положения крышек колодцев с подъемом на высоту до 25 см с применением колец опорных марки КО-6 (бетон B15 (М200), объем бетона 0,02 м³, расход арматуры 1,10 кг/шт) (3 кольца на колодец, всего 10 колодцев)</t>
  </si>
  <si>
    <t>ИТОГО по разделу 12:</t>
  </si>
  <si>
    <t>Раздел 13. Восстановление недостающего барьерного ограждения</t>
  </si>
  <si>
    <t>13.1</t>
  </si>
  <si>
    <t>Демонтаж (разборка) существующего поврежденного металлического барьерного ограждения с погрузкой и транспортировкой на среднее расстояние до 16 км (масса 1 п.м. - 0,021 тн)</t>
  </si>
  <si>
    <t>13.2</t>
  </si>
  <si>
    <t>Установка металлического пешеходного ограждения ПО6 с бетонированием бетоном М250 (В20), шаг 2 м, высота 1,5 м</t>
  </si>
  <si>
    <t>13.3</t>
  </si>
  <si>
    <t>Устройство недостающего металлического оцинкованного барьерного ограждения типа 21ДО/У3(250)-0,75-2,0-1.15(1.35) высотой 0,75 м механизированным способом, шаг стоек 2,0 м</t>
  </si>
  <si>
    <t>ИТОГО по разделу 13:</t>
  </si>
  <si>
    <t>Раздел 14. Восстановление дорожных знаков, обустройства</t>
  </si>
  <si>
    <t>14.1</t>
  </si>
  <si>
    <t>Демонтаж существующих металлических стоек и щитков дорожных знаков (5 стоек по 11,1 кг каждая, 7 щитков по 2,4 кг каждый) с погрузкой и транспортировкой на 10 км</t>
  </si>
  <si>
    <t>14.2</t>
  </si>
  <si>
    <t>Восстановление (досыпка) присыпных берм из песчано-гравийной смеси для установки дорожных знаков</t>
  </si>
  <si>
    <t>14.3</t>
  </si>
  <si>
    <t>100 знаков</t>
  </si>
  <si>
    <t>14.4</t>
  </si>
  <si>
    <t>Устройство присыпной бермы под Г-образную опору из песчано-гравийной смеси</t>
  </si>
  <si>
    <t>14.5</t>
  </si>
  <si>
    <t>Устройство монолитного фундамента Г-опоры из бетона В20 F300 W6 (1 опора 1,62 м³)</t>
  </si>
  <si>
    <t>м³</t>
  </si>
  <si>
    <t>14.6</t>
  </si>
  <si>
    <t>Установка Г-образных опор ОМГФ-ДЗ-6,0-7,0 (или аналог) массой 0,34 т/шт на пешеходных переходах</t>
  </si>
  <si>
    <t>14.7</t>
  </si>
  <si>
    <t>Установка щитков дорожных знаков II типоразмера на оцинкованной подоснове со световозвращающей пленкой тип Б: 1.11.1, 1.11.2 "Опасный поворот" и 1.12.1, 1.12.2 "Опасные повороты" (размер щита, мм 900*900*900)</t>
  </si>
  <si>
    <t>14.8</t>
  </si>
  <si>
    <t>Установка щитков дорожных знаков II типоразмера на оцинкованной подоснове со световозвращающей пленкой тип Б: 1.17 "Искусственная неровность", 1.22 "Пешеходный переход" и 1.23 "Дети" (размер щита, мм 900*900*900)</t>
  </si>
  <si>
    <t>14.9</t>
  </si>
  <si>
    <t>Установка щитков дорожных знаков II типоразмера на оцинкованной подоснове со световозвращающей пленкой тип Б: 1.26 "Перегон скота" (размер щита, мм 900*900*900)</t>
  </si>
  <si>
    <t>14.10</t>
  </si>
  <si>
    <t>Установка щитков дорожных знаков II типоразмера на оцинкованной подоснове со световозвращающей пленкой тип Б: 1.34.1 (1.34.2) Направление поворота" (размер щита, мм 500*615)</t>
  </si>
  <si>
    <t>14.11</t>
  </si>
  <si>
    <t>Установка щитков дорожных знаков II типоразмера на оцинкованной подоснове со световозвращающей пленкой тип Б: 2.1 "Главная дорога" и 2.2 "Конец главной дороги" (размер щита, мм 700*700)</t>
  </si>
  <si>
    <t>14.12</t>
  </si>
  <si>
    <t>Установка щитков дорожных знаков II типоразмера на оцинкованной подоснове со световозвращающей пленкой тип Б: 2.3.2 и 2.3.3 "Примыкание второстепенной дороги" (размер щита, мм 900*900*900)</t>
  </si>
  <si>
    <t>14.13</t>
  </si>
  <si>
    <t>Установка щитков дорожных знаков II типоразмера на оцинкованной подоснове со световозвращающей пленкой тип Б: 2.4 "Уступите дорогу" (размер щита, мм 900*900*900)</t>
  </si>
  <si>
    <t>14.14</t>
  </si>
  <si>
    <t>Установка щитков дорожных знаков II типоразмера на оцинкованной подоснове со световозвращающей пленкой тип Б: 2.5 "Движение без остановки запрещено" (размер щита, восьмиугольник 700*700 мм)</t>
  </si>
  <si>
    <t>14.15</t>
  </si>
  <si>
    <t>Установка щитков дорожных знаков II типоразмера на оцинкованной подоснове со световозвращающей пленкой тип Б: 3.1 "Въезд запрещён" (размер щита: круг диаметром 700 мм)</t>
  </si>
  <si>
    <t>14.16</t>
  </si>
  <si>
    <t>Установка щитков дорожных знаков II типоразмера на оцинкованной подоснове со световозвращающей пленкой тип Б: 3.13 "Ограничение высоты" (размер щита: круг диаметром 700 мм)</t>
  </si>
  <si>
    <t>14.17</t>
  </si>
  <si>
    <t>Установка щитков дорожных знаков II типоразмера на оцинкованной подоснове со световозвращающей пленкой тип Б: 3.20 "Движение запрещено" и 3.24 "Ограничение максимальной скорости" (размер щита: круг диаметром 700 мм)</t>
  </si>
  <si>
    <t>14.18</t>
  </si>
  <si>
    <t>Установка щитков дорожных знаков II типоразмера на оцинкованной подоснове со световозвращающей пленкой тип Б: 3.27 "Стоянка и остановка запрещена" и 3.28 "Стоянка запрещена" (размер щита: круг диаметром 700 мм)</t>
  </si>
  <si>
    <t>14.19</t>
  </si>
  <si>
    <t>Установка щитков дорожных знаков II типоразмера на оцинкованной подоснове со световозвращающей пленкой тип Б: 3.20 "Обгон запрещен" и 3.31 "Конец всех ограничений" (размер щита: круг диаметром 700 мм)</t>
  </si>
  <si>
    <t>14.20</t>
  </si>
  <si>
    <t>Установка щитков дорожных знаков II типоразмера на оцинкованной подоснове со световозвращающей пленкой тип Б: 4.1.1 "Движение прямо", 4.1.2 "Движение направо", 4.1.3 "Движение налево" и 4.1.4 "Движение прямо и направо" и 4.2.3 "Объезд препятствия справа или слева" (размер щита: круг диаметром 700 мм)</t>
  </si>
  <si>
    <t>14.21</t>
  </si>
  <si>
    <t>Установка щитков дорожных знаков II типоразмера на оцинкованной подоснове со световозвращающей пленкой тип Б: 5.6 "Конец дороги с одностронним движением" (размер щита, мм 900*900)</t>
  </si>
  <si>
    <t>14.22</t>
  </si>
  <si>
    <t>Установка щитков дорожных знаков на оцинкованной подоснове со световозвращающей пленкой тип Б: 5.16 "Место остановки автобуса" (размер щита, мм 900*600)</t>
  </si>
  <si>
    <t>14.23</t>
  </si>
  <si>
    <t>Установка щитков дорожных знаков II типоразмера на оцинкованной подоснове со световозвращающей пленкой тип Б: 5.19.1 (5.19.2) "Пешеходный переход" (размер щита, мм 900*900)</t>
  </si>
  <si>
    <t>14.24</t>
  </si>
  <si>
    <t>Установка щитков дорожных знаков II типоразмера на оцинкованной подоснове со световозвращающей пленкой тип Б: 5.20 "Искусственная неровность" (размер щита, мм 900*900)</t>
  </si>
  <si>
    <t>14.25</t>
  </si>
  <si>
    <t>Установка щитков дорожных знаков индивидуального проектирования на оцинкованной подоснове со световозвращающей пленкой тип Б: 5.23.1 "Начало населенного пункта", 5.24.1 "Конец населенного пункта" "ПРУДОВО" 1,482 х 0,392 (площадь щита 0,58 кв.м)</t>
  </si>
  <si>
    <t>м²</t>
  </si>
  <si>
    <t>14.26</t>
  </si>
  <si>
    <t>Установка щитков дорожных знаков индивидуального проектирования на оцинкованной подоснове со световозвращающей пленкой тип Б: 5.23.1 "Начало населенного пункта", 5.24.1 "Конец населенного пункта" "ИЛЬИНО" 1,306 х 0,392 (площадь щита 0,51 кв.м)</t>
  </si>
  <si>
    <t>14.27</t>
  </si>
  <si>
    <t>Установка щитков дорожных знаков индивидуального проектирования на оцинкованной подоснове со световозвращающей пленкой тип Б: 5.23.1 "Начало населенного пункта", 5.24.1 "Конец населенного пункта" "СЕЛИЩЕ" 1,356 х 0,392 (площадь щита 0,53 кв.м)</t>
  </si>
  <si>
    <t>14.28</t>
  </si>
  <si>
    <t>Установка щитков дорожных знаков индивидуального проектирования на оцинкованной подоснове со световозвращающей пленкой тип Б: 5.23.1 "Начало населенного пункта", 5.24.1 "Конец населенного пункта" "РАМЕШКИ" 1,598 х 0,392 (площадь щита 0,63 кв.м)</t>
  </si>
  <si>
    <t>14.29</t>
  </si>
  <si>
    <t>Установка щитков дорожных знаков индивидуального проектирования на оцинкованной подоснове со световозвращающей пленкой тип Б: 5.23.1 "Начало населенного пункта", 5.24.1 "Конец населенного пункта" "ИЛЬИНО" 1,436 х 0,392 (площадь щита 0,56 кв.м)</t>
  </si>
  <si>
    <t>14.30</t>
  </si>
  <si>
    <t>Установка щитков дорожных знаков II типоразмера на оцинкованной подоснове со световозвращающей пленкой тип Б: 6.4 "Парковка (парковочное место)" (размер щита, мм 900*900)</t>
  </si>
  <si>
    <t>14.31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</si>
  <si>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"БЕЖЕЦК" "МАКСАТИХА" "ТВЕРЬ" 3,218 х 1,572 (площадь щита 5,06 кв.м)</t>
  </si>
  <si>
    <t>14.32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</si>
  <si>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"НИКОЛЬСКОЕ" "ТВЕРЬ" "МАКСАТИХА" 3,218 х 1,572 (площадь щита 5,06 кв.м)</t>
  </si>
  <si>
    <t>14.33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</si>
  <si>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"ТВЕРЬ" "БЕЖЕЦК" "НИКОЛЬСКОЕ" 3,218 х 1,572 (площадь щита 5,06 кв.м)</t>
  </si>
  <si>
    <t>14.34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</si>
  <si>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"МАКСАТИХА" "НИКОЛЬСКОЕ" БЕЖЕЦК" 3,218 х 1,572 (площадь щита 5,06 кв.м)</t>
  </si>
  <si>
    <t>14.35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</si>
  <si>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"БУЙЛОВО 22" "КИВЕРИЧИ 38" 2,754 х 0,912 (площадь щита 2,51 кв.м)</t>
  </si>
  <si>
    <t>14.36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</si>
  <si>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"КОСКОВО 0,1" 2,414 х 0,468 (площадь щита 1,13 кв.м)</t>
  </si>
  <si>
    <t>14.37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</si>
  <si>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"НОВОЕ 1,5" 2,014 х 0,468 (площадь щита 0,94 кв.м)</t>
  </si>
  <si>
    <t>14.38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</si>
  <si>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"АЛЕКСАНДРОВО 0,5" 3,414 х 0,468 (площадь щита 1,60 кв.м)</t>
  </si>
  <si>
    <t>14.39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</si>
  <si>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"ПЛОСКОВО 1,0" 2,814 х 0,468 (площадь щита 1,32 кв.м)</t>
  </si>
  <si>
    <t>14.40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</si>
  <si>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"НЕКРАСОВО 0,1" 2,814 х 0,468 (площадь щита 1,32 кв.м)</t>
  </si>
  <si>
    <t>14.41</t>
  </si>
  <si>
    <t>Установка щитков дорожных знаков индивидуального проектирования на оцинкованной подоснове со световозвращающей пленкой тип Б: 6.10.1 "Указатель направлений" "БАКШИНО 1,3" 2,414 х 0,468 (площадь щита 1,13 кв.м)</t>
  </si>
  <si>
    <t>14.42</t>
  </si>
  <si>
    <t>Установка щитков дорожных знаков индивидуального проектирования на оцинкованной подоснове со световозвращающей пленкой тип Б: 6.11 "Наименование объекта" "р. ШУЙКА" 1,496 х 0,368 (площадь щита 0,55 кв.м)</t>
  </si>
  <si>
    <t>14.43</t>
  </si>
  <si>
    <t>14.44</t>
  </si>
  <si>
    <t>Установка щитков дорожных знаков II типоразмера на оцинкованной подоснове со световозвращающей пленкой тип Б: 7.2 "Больница" (размер щита, мм 1050*700)</t>
  </si>
  <si>
    <t>14.45</t>
  </si>
  <si>
    <t>Установка щитков дорожных знаков II типоразмера на оцинкованной подоснове со световозвращающей пленкой тип Б: 7.3 "Автозаправочная станция" (размер щита, мм 1050*700)</t>
  </si>
  <si>
    <t>14.46</t>
  </si>
  <si>
    <t>Установка щитков дорожных знаков II типоразмера на оцинкованной подоснове со световозвращающей пленкой тип Б: 7.12 "Пост ДПС" (размер щита, мм 1050*700)</t>
  </si>
  <si>
    <t>14.47</t>
  </si>
  <si>
    <t>Установка щитков дорожных знаков II типоразмера на оцинкованной подоснове со световозвращающей пленкой тип Б: 7.13 "Полиция" (размер щита, мм 1050*700)</t>
  </si>
  <si>
    <t>14.48</t>
  </si>
  <si>
    <t>Установка щитков дорожных знаков II типоразмера на оцинкованной подоснове со световозвращающей пленкой тип Б: 8.2.1 "Зона действия" (размер щита, мм 700*350)</t>
  </si>
  <si>
    <t>14.49</t>
  </si>
  <si>
    <t>Установка щитков дорожных знаков II типоразмера на оцинкованной подоснове со световозвращающей пленкой тип Б: 8.2.5 и 8.2.6 "Зона действия" (размер щита, мм 350*700)</t>
  </si>
  <si>
    <t>14.50</t>
  </si>
  <si>
    <t>Установка щитков дорожных знаков II типоразмера на оцинкованной подоснове со световозвращающей пленкой тип Б: 8.3.2 "Направление действия" (размер щита, мм 700*350)</t>
  </si>
  <si>
    <t>14.51</t>
  </si>
  <si>
    <t>Установка щитков дорожных знаков II типоразмера на оцинкованной подоснове со световозвращающей пленкой тип Б: 8.22.1 (8.22.2) "Препятствие" (чёрно-белый) (размер щита, мм 500*1700)</t>
  </si>
  <si>
    <t>14.52</t>
  </si>
  <si>
    <t>Установка щитков дорожных знаков II типоразмера на оцинкованной подоснове со световозвращающей пленкой тип Б: 8.22.3 "Препятствие" (красно-белый) (размер щита, мм 500*1700)</t>
  </si>
  <si>
    <t>14.53</t>
  </si>
  <si>
    <t>ИТОГО по разделу 14:</t>
  </si>
  <si>
    <t>Раздел 15. Нанесение дорожной разметки</t>
  </si>
  <si>
    <t>15.1</t>
  </si>
  <si>
    <t xml:space="preserve">Разметка проезжей части термопластиком со стекломикрошариками сплошной линией шириной 0,1 м (разметка 1.1, 1.2.1) </t>
  </si>
  <si>
    <t>15.2</t>
  </si>
  <si>
    <t>15.3</t>
  </si>
  <si>
    <t>15.4</t>
  </si>
  <si>
    <t xml:space="preserve">Разметка проезжей части термопластиком со стекломикрошариками пунктирной линией (шаг 1:1) шириной 0,1 м (разметка 1.7) </t>
  </si>
  <si>
    <t>15.5</t>
  </si>
  <si>
    <t>Разметка проезжей части термопластиком со стекломикрошариками (разметка 1.11), сочетание сплошной линии к прерывистой линии (шаг 3:1)
- сплошная
- прерывистая</t>
  </si>
  <si>
    <t>15.6</t>
  </si>
  <si>
    <t>Разметка проезжей части термопластиком со стекломикрошариками сплошной линией шириной 0,4 м (разметка 1.12)</t>
  </si>
  <si>
    <t>10 м²</t>
  </si>
  <si>
    <t>15.7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</si>
  <si>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1.13)</t>
  </si>
  <si>
    <t>15.8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</si>
  <si>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1.14.1), пластик белый</t>
  </si>
  <si>
    <t>15.9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</si>
  <si>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1.14.1), пластик желтый</t>
  </si>
  <si>
    <t>15.10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</si>
  <si>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1.16.1)</t>
  </si>
  <si>
    <t>15.11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</si>
  <si>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1.16.2)</t>
  </si>
  <si>
    <t>15.12</t>
  </si>
  <si>
    <t>15.13</t>
  </si>
  <si>
    <t>Нанесение линий дорожной разметки холодным пластиком со светоотражающими элементами вручную с применением трафаретной самоклеющейся ленты (разметка 1.25)</t>
  </si>
  <si>
    <t>15.14</t>
  </si>
  <si>
    <t>Нанесение линий вертикальной разметки холодным пластиком со светоотражающими элементами вручную с применением трафаретной самоклеющейся ленты (разметка 2.1.1-2.1.3)</t>
  </si>
  <si>
    <t>ИТОГО по разделу 15:</t>
  </si>
  <si>
    <t>Раздел 16. Работы по восстановлению искуственных неровностей</t>
  </si>
  <si>
    <t>16.1</t>
  </si>
  <si>
    <t>Нарезка штрабы в асфальтобетонном дорожного покрытии методом холодного фрезерования на глубину 5 см, фрезой шириной 1 метр</t>
  </si>
  <si>
    <t>16.2</t>
  </si>
  <si>
    <t>16.3</t>
  </si>
  <si>
    <t>16.4</t>
  </si>
  <si>
    <t>Устройство выравнивающих слоев (восстановление ИН трапециевидного профиля, высотой 7 см, длиной 6,5 п.м.) из асфальтобетонной смеси типа А22Нн ГОСТ Р 58406.2-2020 (средняя толщина 7 см) (расход а/б смеси - 95,83 т/1000 м²)</t>
  </si>
  <si>
    <t>ИТОГО по разделу 16:</t>
  </si>
  <si>
    <t>Раздел 17. Водоотвод с проезжей части</t>
  </si>
  <si>
    <t>17.1</t>
  </si>
  <si>
    <t>Восстановление продольного прикромочного железобетонного лотка из блоков Б-1-20-50 на щебеночной подготовке М800 фракции 20-40 мм, толщиной 10 см,  под лотки, бетонные площадки и блоки</t>
  </si>
  <si>
    <t>10 м³</t>
  </si>
  <si>
    <t>17.2</t>
  </si>
  <si>
    <t>Блок Б-1-20-50</t>
  </si>
  <si>
    <t>17.3</t>
  </si>
  <si>
    <t>Восстановление железобетонного телескопического лотка по откосу насыпи из блоков Б-6</t>
  </si>
  <si>
    <t>1 м³</t>
  </si>
  <si>
    <t>17.4</t>
  </si>
  <si>
    <t>Восстановление призмы гашения на спуске с водосбросного лотка из щебня М800 фракции 20-40 мм, толщиной 0,2 м</t>
  </si>
  <si>
    <t>ИТОГО по разделу 17:</t>
  </si>
  <si>
    <t>Раздел 18. Ремонт водопропускных труб</t>
  </si>
  <si>
    <t>18.1</t>
  </si>
  <si>
    <t>Прочистка тела трубы от наноса грунта вручную с перемещением бульдозером на 30 м, группа грунтов 2</t>
  </si>
  <si>
    <t>18.2</t>
  </si>
  <si>
    <t>Разработка грунта в отвал экскаваторами «обратная лопата» с ковшом вместимостью: 0,65 (0,5-1) м³, с перемещением бульдозером на 30 м, группа грунтов 2</t>
  </si>
  <si>
    <t>18.3</t>
  </si>
  <si>
    <t>Нанесение защитного слоя по существующим трубам и оголовкам известково-цементным раствором М150 толщиной 0,02 м</t>
  </si>
  <si>
    <t>18.4</t>
  </si>
  <si>
    <t>Земляные работы (разработка грунта 2 группы экскаватором емкостью ковша 0,65 м³ с перемещением бульдозером на 30 м и разравниванием)</t>
  </si>
  <si>
    <t>18.5</t>
  </si>
  <si>
    <t>Мощение камнем (h=0,16 м) по слою щебня М800 фр.20-40 мм (h=0,1 м) на цементном растворе толщиной 0,02 м</t>
  </si>
  <si>
    <t>18.6</t>
  </si>
  <si>
    <t>Устройство упоров из камня</t>
  </si>
  <si>
    <t>18.7</t>
  </si>
  <si>
    <t>18.8</t>
  </si>
  <si>
    <t>18.9</t>
  </si>
  <si>
    <t>18.10</t>
  </si>
  <si>
    <t>18.11</t>
  </si>
  <si>
    <t>18.12</t>
  </si>
  <si>
    <t>ИТОГО по разделу 18:</t>
  </si>
  <si>
    <r>
      <t xml:space="preserve">Укрепление русел на входе водопропускных труб матрацами РЕНО 3х2 м h=0,17 (щебень М1000 фр.70-120 мм), щебеночная подготовка М800 фракции 20-40 мм </t>
    </r>
    <r>
      <rPr>
        <b/>
        <sz val="8"/>
        <color theme="1"/>
        <rFont val="Times New Roman"/>
        <family val="1"/>
        <charset val="204"/>
      </rPr>
      <t>h=10 см</t>
    </r>
  </si>
  <si>
    <r>
      <t xml:space="preserve">Укрепление конца русел водопропускных труб на выходе матрацами РЕНО 3х2 м h=0,17 (щебень М1000 фр.70-120 мм), щебеночная подготовка М800 фракции 20-40 мм </t>
    </r>
    <r>
      <rPr>
        <b/>
        <sz val="8"/>
        <color theme="1"/>
        <rFont val="Times New Roman"/>
        <family val="1"/>
        <charset val="204"/>
      </rPr>
      <t>h=10 см</t>
    </r>
  </si>
  <si>
    <r>
      <t xml:space="preserve">Щебеночная подушка под каменную наброску на выходе М800 фракции 20-40 мм </t>
    </r>
    <r>
      <rPr>
        <b/>
        <sz val="8"/>
        <rFont val="Times New Roman"/>
        <family val="1"/>
        <charset val="204"/>
      </rPr>
      <t>h=10 см</t>
    </r>
  </si>
  <si>
    <r>
      <t xml:space="preserve">Каменная наброска на выходе (валуны, глыбы) d=200-300 мм, </t>
    </r>
    <r>
      <rPr>
        <b/>
        <sz val="8"/>
        <rFont val="Times New Roman"/>
        <family val="1"/>
        <charset val="204"/>
      </rPr>
      <t>h max=1000 мм</t>
    </r>
  </si>
  <si>
    <t>Раздел 19. Работы по восстановлению разрушенных элементов водопропускных труб</t>
  </si>
  <si>
    <t>19.1</t>
  </si>
  <si>
    <t>Демонтаж звеньев водопропускных железобетонных труб диаметром 1,0 м, с погрузкой и транспортировкой на среднее расстояние до 16 км</t>
  </si>
  <si>
    <t>19.2</t>
  </si>
  <si>
    <t>Разработка грунта под тело и оголовки труб, с погрузкой и транспортировкой на среднее расстояние до 16 км</t>
  </si>
  <si>
    <t>19.3</t>
  </si>
  <si>
    <t>Восстановление щебеночной подготовки  из щебня фракции 20-40 мм (М 800) (толщиной 0,2 м)</t>
  </si>
  <si>
    <t>19.4</t>
  </si>
  <si>
    <t>Восстановление звеньев (ТС 100.30-2) водопропускных железобетонных труб автокранами диаметр 1,0 м (длина звена 3,122 м)</t>
  </si>
  <si>
    <t>19.5</t>
  </si>
  <si>
    <t>Звено ТС 100.30-2 (длина звена 3,122 м)</t>
  </si>
  <si>
    <t>м</t>
  </si>
  <si>
    <t>19.6</t>
  </si>
  <si>
    <t>Восстановление сборного железобетонного фундамента (Ф 20.1) для водопропускных железобетонных труб автокранами d=1,0 м</t>
  </si>
  <si>
    <t>19.7</t>
  </si>
  <si>
    <t>Блок фундамента Ф 20.1</t>
  </si>
  <si>
    <t>19.8</t>
  </si>
  <si>
    <t>Монолитный бетон фундамента (заполнение между блоками фундамента), бетон В20, F200, W6</t>
  </si>
  <si>
    <t>19.9</t>
  </si>
  <si>
    <t>Восстановление разрушенных оголовков и откосных крыльев круглых водопропускных труб d=1,0 м</t>
  </si>
  <si>
    <t>19.10</t>
  </si>
  <si>
    <t>Оголовок П 10.15</t>
  </si>
  <si>
    <t>19.11</t>
  </si>
  <si>
    <t>Откосные стенки СТ 4 л (п)</t>
  </si>
  <si>
    <t>19.12</t>
  </si>
  <si>
    <t xml:space="preserve">Устройство обмазочной гидроизоляции для труб в 2 слоя. Марка мастики МБР-75 или аналог с расходом 3 кг на м² при устройстве в один слой (звенья и оголовки) </t>
  </si>
  <si>
    <t>19.13</t>
  </si>
  <si>
    <t>Устройство оклеечной гидроизоляции для труб в 2 слоя из ткани стеклянной изоляционной И-200, толщиной 0,2 мм (или аналог; звенья и оголовки)</t>
  </si>
  <si>
    <t>19.14</t>
  </si>
  <si>
    <t>Засыпка котлована трубы песком природным мелким для строительных работ (Кф ≥ 1 м/сут)</t>
  </si>
  <si>
    <t>19.15</t>
  </si>
  <si>
    <t>Восстановление слоя основания из щебня М800 фракции 40-70 мм, средней толщиной 0,25 м, с расклинцовкой щебнем М800 фракции 5-20 мм (расход 25 м³ на 1000 м²)</t>
  </si>
  <si>
    <t>19.16</t>
  </si>
  <si>
    <t>Укрепление откосов на входе, бетон В20, F200, W6, h=10 см, щебеночная подготовка М800 фракции 20-40 мм h=10 см</t>
  </si>
  <si>
    <t>19.17</t>
  </si>
  <si>
    <t>Арматура 6-A-I (A240) по ГОСТ 5781-82</t>
  </si>
  <si>
    <t>19.18</t>
  </si>
  <si>
    <t>Укрепление откосов на выходе, бетон В20, F200, W6, h=10 см, щебеночная подготовка М800 фракции 20-40 мм h=10 см</t>
  </si>
  <si>
    <t>19.19</t>
  </si>
  <si>
    <t>19.20</t>
  </si>
  <si>
    <t>Укрепление русла на входе, бетон В20, F200, W6, h=10 см, щебеночная подготовка М800 фракции 20-40 мм h=10 см</t>
  </si>
  <si>
    <t>19.21</t>
  </si>
  <si>
    <t>19.22</t>
  </si>
  <si>
    <t>Устройство упоров на выходе, бетон В20, F200, W6, h=10 см</t>
  </si>
  <si>
    <t>19.23</t>
  </si>
  <si>
    <t>Укрепление русла на выходе, бетон В20, F200, W6, h=10 см, щебеночная подготовка М800 фракции 20-40 мм h=10 см</t>
  </si>
  <si>
    <t>19.24</t>
  </si>
  <si>
    <t>19.25</t>
  </si>
  <si>
    <t>19.26</t>
  </si>
  <si>
    <t>Разработка грунта для устройства каменной наброски на выходе, с погрузкой и транспортировкой на 16 км</t>
  </si>
  <si>
    <t>19.27</t>
  </si>
  <si>
    <t>19.28</t>
  </si>
  <si>
    <t>ИТОГО по разделу 19:</t>
  </si>
  <si>
    <t>ИТОГО по разделам 1-19:</t>
  </si>
  <si>
    <t>Итого в ценах соответствующих лет (ИИ*=1,04050001367)</t>
  </si>
  <si>
    <t>Итого с понижающим К=0,899997628394978</t>
  </si>
  <si>
    <t>ВСЕГО ПО ВЕДОМОСТИ:</t>
  </si>
  <si>
    <t>Выполнение №1в период с 03.09.2024 по 27.10.2024</t>
  </si>
  <si>
    <t>Выполнение №2 в период с 28.10.2024 по 20.11.2024</t>
  </si>
  <si>
    <t>Выполнение №3 в период с 21.11.2024 по 21.11.2024</t>
  </si>
  <si>
    <t>Выполнение №4 в период с 22.11.2024 по 12.07.2025</t>
  </si>
  <si>
    <t>Выполнение №6 в период с 22.11.2025 по 06.05.2026</t>
  </si>
  <si>
    <t>Выполнение №5 в период с 13.07.2025 по 21.11.2025</t>
  </si>
  <si>
    <t xml:space="preserve">Раздел 1. Работы, выполняемые на основной проезжей части, участки с изношенным асфальтобетонным покрытием </t>
  </si>
  <si>
    <t xml:space="preserve">Раздел 2. Работы, выполняемые на основной проезжей части, участки с разрушенным асфальтобетонным покрытием </t>
  </si>
  <si>
    <t>Выполнение №7 в период с 07.05.2026 - 07.05.2026</t>
  </si>
  <si>
    <t>7.9а</t>
  </si>
  <si>
    <t>14.19а</t>
  </si>
  <si>
    <t>Установка щитков дорожных знаков II типоразмера на оцинкованной подоснове со световозвращающей пленкой тип Б: 3.21 "Конец зоны запрещения обгона" (размер щита: круг диаметром 700 мм)</t>
  </si>
  <si>
    <t>14.43а</t>
  </si>
  <si>
    <t>Установка щитков дорожных знаков II типоразмера на оцинкованной подоснове со световозвращающей пленкой тип Б: 6.22 "Фотофиксация" двухсторонние (размер щита, мм 700*350)</t>
  </si>
  <si>
    <t>Установка щитков дорожных знаков II типоразмера на оцинкованной подоснове со световозвращающей пленкой тип Б: 8.1.1 "Расстояние до объекта" (размер щита, мм 700*350)</t>
  </si>
  <si>
    <t>НДС -20/22%</t>
  </si>
  <si>
    <t>Итого с понижающим (1,2/1,22)</t>
  </si>
</sst>
</file>

<file path=xl/styles.xml><?xml version="1.0" encoding="utf-8"?>
<styleSheet xmlns="http://schemas.openxmlformats.org/spreadsheetml/2006/main">
  <numFmts count="23">
    <numFmt numFmtId="164" formatCode="_(* #,##0.00_);_(* \(#,##0.00\);_(* &quot;-&quot;??_);_(@_)"/>
    <numFmt numFmtId="165" formatCode="#,##0_р_."/>
    <numFmt numFmtId="166" formatCode="0.0000"/>
    <numFmt numFmtId="167" formatCode="0.000"/>
    <numFmt numFmtId="168" formatCode="#,##0.00_р_."/>
    <numFmt numFmtId="169" formatCode="#,##0.000"/>
    <numFmt numFmtId="170" formatCode="#,##0.0000"/>
    <numFmt numFmtId="171" formatCode="#,##0.00000"/>
    <numFmt numFmtId="172" formatCode="#,##0.000000"/>
    <numFmt numFmtId="173" formatCode="0.00000"/>
    <numFmt numFmtId="174" formatCode="#\ ##0.#####;\-#\ ##0.#####;&quot;&quot;"/>
    <numFmt numFmtId="175" formatCode="0.0000_ ;\-0.0000\ "/>
    <numFmt numFmtId="176" formatCode="0.000_ ;\-0.000\ "/>
    <numFmt numFmtId="177" formatCode="0.00_ ;\-0.00\ "/>
    <numFmt numFmtId="178" formatCode="0.000000_ ;\-0.000000\ "/>
    <numFmt numFmtId="179" formatCode="0.00000_ ;\-0.00000\ "/>
    <numFmt numFmtId="181" formatCode="0.0"/>
    <numFmt numFmtId="182" formatCode="0_ ;\-0\ "/>
    <numFmt numFmtId="183" formatCode="#,##0.0"/>
    <numFmt numFmtId="184" formatCode="_-* #,##0.00\ _₽_-;\-* #,##0.00\ _₽_-;_-* &quot;-&quot;??\ _₽_-;_-@_-"/>
    <numFmt numFmtId="185" formatCode="#,##0.00_ ;\-#,##0.00\ "/>
    <numFmt numFmtId="187" formatCode="0.0_ ;\-0.0\ "/>
    <numFmt numFmtId="188" formatCode="#,##0.0000000"/>
  </numFmts>
  <fonts count="14">
    <font>
      <sz val="10"/>
      <name val="Arial"/>
    </font>
    <font>
      <sz val="10"/>
      <name val="Arial"/>
      <family val="2"/>
      <charset val="204"/>
    </font>
    <font>
      <sz val="10"/>
      <name val="Sylfaen"/>
      <family val="1"/>
      <charset val="204"/>
    </font>
    <font>
      <b/>
      <sz val="10"/>
      <name val="Sylfae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sz val="8"/>
      <name val="Sylfaen"/>
      <family val="1"/>
      <charset val="204"/>
    </font>
    <font>
      <b/>
      <sz val="8"/>
      <color theme="1"/>
      <name val="Times New Roman"/>
      <family val="1"/>
      <charset val="204"/>
    </font>
    <font>
      <sz val="10"/>
      <name val="Arial Cyr"/>
      <family val="2"/>
      <charset val="204"/>
    </font>
    <font>
      <sz val="9"/>
      <name val="Times New Roman"/>
      <family val="1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0" fontId="1" fillId="0" borderId="0"/>
  </cellStyleXfs>
  <cellXfs count="16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3" fillId="3" borderId="0" xfId="0" applyNumberFormat="1" applyFont="1" applyFill="1"/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9" fillId="0" borderId="3" xfId="0" applyFont="1" applyBorder="1"/>
    <xf numFmtId="0" fontId="9" fillId="0" borderId="6" xfId="0" applyFont="1" applyBorder="1"/>
    <xf numFmtId="0" fontId="9" fillId="0" borderId="4" xfId="0" applyFont="1" applyBorder="1"/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0" fontId="9" fillId="0" borderId="5" xfId="0" applyFont="1" applyBorder="1"/>
    <xf numFmtId="0" fontId="9" fillId="0" borderId="0" xfId="0" applyFont="1"/>
    <xf numFmtId="166" fontId="5" fillId="0" borderId="2" xfId="0" applyNumberFormat="1" applyFont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169" fontId="7" fillId="0" borderId="2" xfId="0" applyNumberFormat="1" applyFont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center" vertical="center" wrapText="1"/>
    </xf>
    <xf numFmtId="170" fontId="7" fillId="0" borderId="1" xfId="0" applyNumberFormat="1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170" fontId="7" fillId="0" borderId="2" xfId="0" applyNumberFormat="1" applyFont="1" applyBorder="1" applyAlignment="1">
      <alignment horizontal="center" vertical="center"/>
    </xf>
    <xf numFmtId="3" fontId="2" fillId="0" borderId="0" xfId="0" applyNumberFormat="1" applyFont="1"/>
    <xf numFmtId="165" fontId="2" fillId="0" borderId="0" xfId="0" applyNumberFormat="1" applyFont="1"/>
    <xf numFmtId="4" fontId="10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8" fontId="6" fillId="0" borderId="2" xfId="0" applyNumberFormat="1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3" fontId="5" fillId="0" borderId="1" xfId="1" applyNumberFormat="1" applyFont="1" applyFill="1" applyBorder="1" applyAlignment="1">
      <alignment horizontal="center" vertical="center" wrapText="1"/>
    </xf>
    <xf numFmtId="4" fontId="5" fillId="0" borderId="1" xfId="2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 wrapText="1"/>
    </xf>
    <xf numFmtId="175" fontId="7" fillId="0" borderId="1" xfId="4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176" fontId="7" fillId="0" borderId="1" xfId="4" applyNumberFormat="1" applyFont="1" applyBorder="1" applyAlignment="1">
      <alignment horizontal="center" vertical="center"/>
    </xf>
    <xf numFmtId="177" fontId="7" fillId="0" borderId="1" xfId="4" applyNumberFormat="1" applyFont="1" applyBorder="1" applyAlignment="1">
      <alignment horizontal="center" vertical="center"/>
    </xf>
    <xf numFmtId="178" fontId="7" fillId="0" borderId="1" xfId="4" applyNumberFormat="1" applyFont="1" applyBorder="1" applyAlignment="1">
      <alignment horizontal="center" vertical="center"/>
    </xf>
    <xf numFmtId="174" fontId="7" fillId="0" borderId="1" xfId="4" applyNumberFormat="1" applyFont="1" applyBorder="1" applyAlignment="1">
      <alignment horizontal="center" vertical="center"/>
    </xf>
    <xf numFmtId="0" fontId="5" fillId="0" borderId="1" xfId="1" applyFont="1" applyFill="1" applyBorder="1" applyAlignment="1">
      <alignment vertical="center" wrapText="1"/>
    </xf>
    <xf numFmtId="172" fontId="7" fillId="0" borderId="4" xfId="0" applyNumberFormat="1" applyFont="1" applyBorder="1" applyAlignment="1">
      <alignment horizontal="center" vertical="center"/>
    </xf>
    <xf numFmtId="171" fontId="7" fillId="0" borderId="4" xfId="0" applyNumberFormat="1" applyFont="1" applyBorder="1" applyAlignment="1">
      <alignment horizontal="center" vertical="center"/>
    </xf>
    <xf numFmtId="169" fontId="7" fillId="0" borderId="4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9" fontId="5" fillId="0" borderId="1" xfId="3" applyNumberFormat="1" applyFont="1" applyFill="1" applyBorder="1" applyAlignment="1">
      <alignment horizontal="center" vertical="center" wrapText="1"/>
    </xf>
    <xf numFmtId="49" fontId="5" fillId="3" borderId="1" xfId="3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 wrapText="1"/>
    </xf>
    <xf numFmtId="4" fontId="5" fillId="3" borderId="1" xfId="2" applyNumberFormat="1" applyFont="1" applyFill="1" applyBorder="1" applyAlignment="1">
      <alignment horizontal="center" vertical="center"/>
    </xf>
    <xf numFmtId="179" fontId="7" fillId="0" borderId="1" xfId="4" applyNumberFormat="1" applyFont="1" applyBorder="1" applyAlignment="1">
      <alignment horizontal="center" vertical="center"/>
    </xf>
    <xf numFmtId="170" fontId="7" fillId="0" borderId="4" xfId="0" applyNumberFormat="1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center" vertical="center"/>
    </xf>
    <xf numFmtId="169" fontId="7" fillId="0" borderId="8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81" fontId="5" fillId="3" borderId="1" xfId="3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0" fontId="7" fillId="0" borderId="8" xfId="0" applyNumberFormat="1" applyFont="1" applyBorder="1" applyAlignment="1">
      <alignment horizontal="center" vertical="center"/>
    </xf>
    <xf numFmtId="166" fontId="7" fillId="0" borderId="1" xfId="4" applyNumberFormat="1" applyFont="1" applyBorder="1" applyAlignment="1">
      <alignment horizontal="center" vertical="center"/>
    </xf>
    <xf numFmtId="182" fontId="7" fillId="0" borderId="1" xfId="4" applyNumberFormat="1" applyFont="1" applyBorder="1" applyAlignment="1">
      <alignment horizontal="center" vertical="center"/>
    </xf>
    <xf numFmtId="2" fontId="7" fillId="0" borderId="1" xfId="4" applyNumberFormat="1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181" fontId="7" fillId="0" borderId="1" xfId="4" applyNumberFormat="1" applyFont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2" fontId="5" fillId="3" borderId="1" xfId="3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" fontId="5" fillId="3" borderId="1" xfId="3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4" fontId="7" fillId="0" borderId="1" xfId="1" applyNumberFormat="1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183" fontId="7" fillId="0" borderId="1" xfId="1" applyNumberFormat="1" applyFont="1" applyFill="1" applyBorder="1" applyAlignment="1">
      <alignment horizontal="center" vertical="center" wrapText="1"/>
    </xf>
    <xf numFmtId="169" fontId="5" fillId="3" borderId="1" xfId="3" applyNumberFormat="1" applyFont="1" applyFill="1" applyBorder="1" applyAlignment="1">
      <alignment horizontal="center" vertical="center" wrapText="1"/>
    </xf>
    <xf numFmtId="184" fontId="5" fillId="3" borderId="1" xfId="2" applyNumberFormat="1" applyFont="1" applyFill="1" applyBorder="1" applyAlignment="1">
      <alignment horizontal="center" vertical="center"/>
    </xf>
    <xf numFmtId="4" fontId="5" fillId="0" borderId="1" xfId="3" applyNumberFormat="1" applyFont="1" applyFill="1" applyBorder="1" applyAlignment="1">
      <alignment horizontal="center" vertical="center" wrapText="1"/>
    </xf>
    <xf numFmtId="184" fontId="5" fillId="0" borderId="1" xfId="2" applyNumberFormat="1" applyFont="1" applyFill="1" applyBorder="1" applyAlignment="1">
      <alignment horizontal="center" vertical="center"/>
    </xf>
    <xf numFmtId="183" fontId="5" fillId="3" borderId="1" xfId="3" applyNumberFormat="1" applyFont="1" applyFill="1" applyBorder="1" applyAlignment="1">
      <alignment horizontal="center" vertical="center" wrapText="1"/>
    </xf>
    <xf numFmtId="4" fontId="5" fillId="3" borderId="1" xfId="3" applyNumberFormat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2" fontId="5" fillId="0" borderId="1" xfId="1" applyNumberFormat="1" applyFont="1" applyFill="1" applyBorder="1" applyAlignment="1">
      <alignment horizontal="center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181" fontId="5" fillId="3" borderId="1" xfId="1" applyNumberFormat="1" applyFont="1" applyFill="1" applyBorder="1" applyAlignment="1">
      <alignment horizontal="center" vertical="center" wrapText="1"/>
    </xf>
    <xf numFmtId="185" fontId="5" fillId="3" borderId="1" xfId="2" applyNumberFormat="1" applyFont="1" applyFill="1" applyBorder="1" applyAlignment="1">
      <alignment horizontal="center" vertical="center"/>
    </xf>
    <xf numFmtId="0" fontId="0" fillId="0" borderId="1" xfId="0" applyBorder="1"/>
    <xf numFmtId="0" fontId="7" fillId="0" borderId="1" xfId="1" applyFont="1" applyFill="1" applyBorder="1" applyAlignment="1">
      <alignment horizontal="left" vertical="center" wrapText="1"/>
    </xf>
    <xf numFmtId="0" fontId="7" fillId="3" borderId="1" xfId="3" applyFont="1" applyFill="1" applyBorder="1" applyAlignment="1">
      <alignment horizontal="center" vertical="center" wrapText="1"/>
    </xf>
    <xf numFmtId="167" fontId="5" fillId="3" borderId="1" xfId="3" applyNumberFormat="1" applyFont="1" applyFill="1" applyBorder="1" applyAlignment="1">
      <alignment horizontal="center" vertical="center" wrapText="1"/>
    </xf>
    <xf numFmtId="2" fontId="5" fillId="0" borderId="1" xfId="3" applyNumberFormat="1" applyFont="1" applyFill="1" applyBorder="1" applyAlignment="1">
      <alignment horizontal="center" vertical="center" wrapText="1"/>
    </xf>
    <xf numFmtId="166" fontId="5" fillId="3" borderId="1" xfId="3" applyNumberFormat="1" applyFont="1" applyFill="1" applyBorder="1" applyAlignment="1">
      <alignment horizontal="center" vertical="center" wrapText="1"/>
    </xf>
    <xf numFmtId="185" fontId="6" fillId="3" borderId="1" xfId="2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7" fillId="0" borderId="1" xfId="1" applyFont="1" applyFill="1" applyBorder="1" applyAlignment="1">
      <alignment vertical="center" wrapText="1"/>
    </xf>
    <xf numFmtId="173" fontId="7" fillId="0" borderId="1" xfId="4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87" fontId="7" fillId="0" borderId="1" xfId="4" applyNumberFormat="1" applyFont="1" applyBorder="1" applyAlignment="1">
      <alignment horizontal="center" vertical="center"/>
    </xf>
    <xf numFmtId="170" fontId="5" fillId="0" borderId="1" xfId="1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3" fillId="0" borderId="1" xfId="0" applyFont="1" applyBorder="1"/>
    <xf numFmtId="0" fontId="5" fillId="3" borderId="1" xfId="0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wrapText="1"/>
    </xf>
    <xf numFmtId="0" fontId="13" fillId="3" borderId="1" xfId="0" applyFont="1" applyFill="1" applyBorder="1"/>
    <xf numFmtId="168" fontId="6" fillId="3" borderId="1" xfId="0" applyNumberFormat="1" applyFont="1" applyFill="1" applyBorder="1" applyAlignment="1">
      <alignment horizontal="center"/>
    </xf>
    <xf numFmtId="171" fontId="7" fillId="0" borderId="8" xfId="0" applyNumberFormat="1" applyFont="1" applyBorder="1" applyAlignment="1">
      <alignment horizontal="center" vertical="center"/>
    </xf>
    <xf numFmtId="172" fontId="7" fillId="0" borderId="8" xfId="0" applyNumberFormat="1" applyFont="1" applyBorder="1" applyAlignment="1">
      <alignment horizontal="center" vertical="center"/>
    </xf>
    <xf numFmtId="188" fontId="7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5" fillId="3" borderId="2" xfId="2" applyNumberFormat="1" applyFont="1" applyFill="1" applyBorder="1" applyAlignment="1">
      <alignment horizontal="center" vertical="center"/>
    </xf>
    <xf numFmtId="49" fontId="5" fillId="3" borderId="1" xfId="3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2" fontId="7" fillId="0" borderId="1" xfId="4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5" fillId="3" borderId="1" xfId="3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173" fontId="5" fillId="3" borderId="1" xfId="3" applyNumberFormat="1" applyFont="1" applyFill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 wrapText="1"/>
    </xf>
    <xf numFmtId="4" fontId="10" fillId="4" borderId="2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 wrapText="1"/>
    </xf>
    <xf numFmtId="4" fontId="6" fillId="4" borderId="1" xfId="2" applyNumberFormat="1" applyFont="1" applyFill="1" applyBorder="1" applyAlignment="1">
      <alignment horizontal="center" vertical="center"/>
    </xf>
    <xf numFmtId="185" fontId="6" fillId="4" borderId="1" xfId="2" applyNumberFormat="1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1"/>
    <cellStyle name="Обычный 2 2" xfId="3"/>
    <cellStyle name="Обычный 3" xfId="4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1"/>
  <sheetViews>
    <sheetView tabSelected="1" zoomScale="85" zoomScaleNormal="85" workbookViewId="0">
      <pane ySplit="5" topLeftCell="A248" activePane="bottomLeft" state="frozen"/>
      <selection pane="bottomLeft" activeCell="M280" sqref="M280"/>
    </sheetView>
  </sheetViews>
  <sheetFormatPr defaultRowHeight="12.75"/>
  <cols>
    <col min="1" max="1" width="6.42578125" customWidth="1"/>
    <col min="2" max="2" width="10.28515625" customWidth="1"/>
    <col min="3" max="3" width="37.28515625" customWidth="1"/>
    <col min="4" max="4" width="11.85546875" customWidth="1"/>
    <col min="5" max="5" width="13.140625" customWidth="1"/>
    <col min="6" max="6" width="16.85546875" customWidth="1"/>
    <col min="7" max="7" width="16.5703125" customWidth="1"/>
    <col min="8" max="8" width="13.5703125" customWidth="1"/>
    <col min="9" max="10" width="16.5703125" customWidth="1"/>
    <col min="11" max="21" width="16.140625" customWidth="1"/>
    <col min="22" max="22" width="13.7109375" customWidth="1"/>
    <col min="23" max="23" width="16.5703125" customWidth="1"/>
    <col min="24" max="24" width="14.28515625" customWidth="1"/>
    <col min="25" max="25" width="16.5703125" customWidth="1"/>
  </cols>
  <sheetData>
    <row r="1" spans="1:25" ht="15">
      <c r="A1" s="146" t="s">
        <v>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"/>
      <c r="Y1" s="1"/>
    </row>
    <row r="2" spans="1:25" ht="33.75" customHeight="1">
      <c r="A2" s="147" t="s">
        <v>106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9"/>
      <c r="X2" s="1"/>
      <c r="Y2" s="1"/>
    </row>
    <row r="3" spans="1:25" ht="41.25" customHeight="1">
      <c r="A3" s="150" t="s">
        <v>0</v>
      </c>
      <c r="B3" s="150"/>
      <c r="C3" s="151" t="s">
        <v>1</v>
      </c>
      <c r="D3" s="151" t="s">
        <v>2</v>
      </c>
      <c r="E3" s="151" t="s">
        <v>107</v>
      </c>
      <c r="F3" s="151"/>
      <c r="G3" s="151"/>
      <c r="H3" s="153" t="s">
        <v>439</v>
      </c>
      <c r="I3" s="154"/>
      <c r="J3" s="153" t="s">
        <v>440</v>
      </c>
      <c r="K3" s="154"/>
      <c r="L3" s="153" t="s">
        <v>441</v>
      </c>
      <c r="M3" s="154"/>
      <c r="N3" s="153" t="s">
        <v>442</v>
      </c>
      <c r="O3" s="154"/>
      <c r="P3" s="153" t="s">
        <v>444</v>
      </c>
      <c r="Q3" s="154"/>
      <c r="R3" s="153" t="s">
        <v>443</v>
      </c>
      <c r="S3" s="154"/>
      <c r="T3" s="153" t="s">
        <v>447</v>
      </c>
      <c r="U3" s="154"/>
      <c r="V3" s="155" t="s">
        <v>59</v>
      </c>
      <c r="W3" s="156"/>
      <c r="X3" s="1"/>
      <c r="Y3" s="1"/>
    </row>
    <row r="4" spans="1:25" ht="25.5">
      <c r="A4" s="2" t="s">
        <v>3</v>
      </c>
      <c r="B4" s="3" t="s">
        <v>4</v>
      </c>
      <c r="C4" s="152"/>
      <c r="D4" s="152"/>
      <c r="E4" s="3" t="s">
        <v>5</v>
      </c>
      <c r="F4" s="3" t="s">
        <v>6</v>
      </c>
      <c r="G4" s="4" t="s">
        <v>7</v>
      </c>
      <c r="H4" s="3" t="s">
        <v>5</v>
      </c>
      <c r="I4" s="4" t="s">
        <v>7</v>
      </c>
      <c r="J4" s="43" t="s">
        <v>5</v>
      </c>
      <c r="K4" s="4" t="s">
        <v>7</v>
      </c>
      <c r="L4" s="43" t="s">
        <v>5</v>
      </c>
      <c r="M4" s="4" t="s">
        <v>7</v>
      </c>
      <c r="N4" s="43" t="s">
        <v>5</v>
      </c>
      <c r="O4" s="4" t="s">
        <v>7</v>
      </c>
      <c r="P4" s="43" t="s">
        <v>5</v>
      </c>
      <c r="Q4" s="4" t="s">
        <v>7</v>
      </c>
      <c r="R4" s="118" t="s">
        <v>5</v>
      </c>
      <c r="S4" s="4" t="s">
        <v>7</v>
      </c>
      <c r="T4" s="134" t="s">
        <v>5</v>
      </c>
      <c r="U4" s="4" t="s">
        <v>7</v>
      </c>
      <c r="V4" s="3" t="s">
        <v>5</v>
      </c>
      <c r="W4" s="4" t="s">
        <v>7</v>
      </c>
      <c r="X4" s="1"/>
      <c r="Y4" s="1"/>
    </row>
    <row r="5" spans="1:25" ht="15">
      <c r="A5" s="2">
        <v>1</v>
      </c>
      <c r="B5" s="3">
        <v>2</v>
      </c>
      <c r="C5" s="2">
        <v>3</v>
      </c>
      <c r="D5" s="43">
        <v>4</v>
      </c>
      <c r="E5" s="2">
        <v>5</v>
      </c>
      <c r="F5" s="43">
        <v>6</v>
      </c>
      <c r="G5" s="2">
        <v>7</v>
      </c>
      <c r="H5" s="43">
        <v>8</v>
      </c>
      <c r="I5" s="2">
        <v>9</v>
      </c>
      <c r="J5" s="43">
        <v>10</v>
      </c>
      <c r="K5" s="2">
        <v>11</v>
      </c>
      <c r="L5" s="43">
        <v>12</v>
      </c>
      <c r="M5" s="2">
        <v>13</v>
      </c>
      <c r="N5" s="43">
        <v>14</v>
      </c>
      <c r="O5" s="2">
        <v>15</v>
      </c>
      <c r="P5" s="43">
        <v>16</v>
      </c>
      <c r="Q5" s="2">
        <v>17</v>
      </c>
      <c r="R5" s="118">
        <v>18</v>
      </c>
      <c r="S5" s="2">
        <v>19</v>
      </c>
      <c r="T5" s="134">
        <v>20</v>
      </c>
      <c r="U5" s="2">
        <v>21</v>
      </c>
      <c r="V5" s="43">
        <v>22</v>
      </c>
      <c r="W5" s="2">
        <v>23</v>
      </c>
      <c r="X5" s="1"/>
      <c r="Y5" s="1"/>
    </row>
    <row r="6" spans="1:25" ht="24.75" customHeight="1">
      <c r="A6" s="142" t="s">
        <v>445</v>
      </c>
      <c r="B6" s="143"/>
      <c r="C6" s="143"/>
      <c r="D6" s="143"/>
      <c r="E6" s="143"/>
      <c r="F6" s="143"/>
      <c r="G6" s="144"/>
      <c r="H6" s="13"/>
      <c r="I6" s="14"/>
      <c r="J6" s="13"/>
      <c r="K6" s="14"/>
      <c r="L6" s="13"/>
      <c r="M6" s="14"/>
      <c r="N6" s="13"/>
      <c r="O6" s="14"/>
      <c r="P6" s="13"/>
      <c r="Q6" s="14"/>
      <c r="R6" s="14"/>
      <c r="S6" s="14"/>
      <c r="T6" s="14"/>
      <c r="U6" s="14"/>
      <c r="V6" s="14"/>
      <c r="W6" s="15"/>
      <c r="X6" s="1"/>
      <c r="Y6" s="1"/>
    </row>
    <row r="7" spans="1:25" ht="67.5">
      <c r="A7" s="16">
        <v>1</v>
      </c>
      <c r="B7" s="59" t="s">
        <v>8</v>
      </c>
      <c r="C7" s="44" t="s">
        <v>108</v>
      </c>
      <c r="D7" s="45" t="s">
        <v>109</v>
      </c>
      <c r="E7" s="138">
        <v>0</v>
      </c>
      <c r="F7" s="46">
        <v>1135104.8476879247</v>
      </c>
      <c r="G7" s="46">
        <f>ROUND((F7*E7),2)</f>
        <v>0</v>
      </c>
      <c r="H7" s="55"/>
      <c r="I7" s="18"/>
      <c r="J7" s="55"/>
      <c r="K7" s="18"/>
      <c r="L7" s="55"/>
      <c r="M7" s="18"/>
      <c r="N7" s="55"/>
      <c r="O7" s="18"/>
      <c r="P7" s="55"/>
      <c r="Q7" s="18"/>
      <c r="R7" s="18"/>
      <c r="S7" s="18"/>
      <c r="T7" s="18"/>
      <c r="U7" s="18"/>
      <c r="V7" s="19">
        <f>E7-H7</f>
        <v>0</v>
      </c>
      <c r="W7" s="18">
        <f>G7-I7</f>
        <v>0</v>
      </c>
      <c r="X7" s="1"/>
      <c r="Y7" s="1"/>
    </row>
    <row r="8" spans="1:25" ht="45">
      <c r="A8" s="16">
        <v>2</v>
      </c>
      <c r="B8" s="60" t="s">
        <v>9</v>
      </c>
      <c r="C8" s="54" t="s">
        <v>60</v>
      </c>
      <c r="D8" s="47" t="s">
        <v>62</v>
      </c>
      <c r="E8" s="48">
        <v>809.7482</v>
      </c>
      <c r="F8" s="46">
        <v>7719.2099957279806</v>
      </c>
      <c r="G8" s="46">
        <f t="shared" ref="G8:G14" si="0">ROUND((F8*E8),2)</f>
        <v>6250616.4000000004</v>
      </c>
      <c r="H8" s="57">
        <v>751.40099999999995</v>
      </c>
      <c r="I8" s="18">
        <f>ROUND((H8*F8),2)</f>
        <v>5800222.1100000003</v>
      </c>
      <c r="J8" s="57"/>
      <c r="K8" s="18"/>
      <c r="L8" s="64">
        <v>33.619399999999999</v>
      </c>
      <c r="M8" s="18">
        <f>ROUND((L8*F8),2)</f>
        <v>259515.21</v>
      </c>
      <c r="N8" s="64"/>
      <c r="O8" s="18"/>
      <c r="P8" s="64"/>
      <c r="Q8" s="18"/>
      <c r="R8" s="18"/>
      <c r="S8" s="18"/>
      <c r="T8" s="18"/>
      <c r="U8" s="18"/>
      <c r="V8" s="32">
        <f>E8-H8-J8-L8</f>
        <v>24.727800000000045</v>
      </c>
      <c r="W8" s="18">
        <f>G8-I8-K8-M8</f>
        <v>190879.08000000005</v>
      </c>
      <c r="X8" s="1"/>
      <c r="Y8" s="1"/>
    </row>
    <row r="9" spans="1:25" ht="78.75">
      <c r="A9" s="16">
        <v>3</v>
      </c>
      <c r="B9" s="60" t="s">
        <v>10</v>
      </c>
      <c r="C9" s="44" t="s">
        <v>110</v>
      </c>
      <c r="D9" s="49" t="s">
        <v>89</v>
      </c>
      <c r="E9" s="51">
        <v>7692.6</v>
      </c>
      <c r="F9" s="46">
        <v>343.12999981163387</v>
      </c>
      <c r="G9" s="46">
        <f t="shared" si="0"/>
        <v>2639561.84</v>
      </c>
      <c r="H9" s="64">
        <v>5303.5023000000001</v>
      </c>
      <c r="I9" s="18">
        <f t="shared" ref="I9:I10" si="1">ROUND((F9*H9),2)</f>
        <v>1819790.74</v>
      </c>
      <c r="J9" s="64"/>
      <c r="K9" s="18"/>
      <c r="L9" s="64">
        <v>2154.1876999999999</v>
      </c>
      <c r="M9" s="18">
        <f t="shared" ref="M9:M13" si="2">ROUND((L9*F9),2)</f>
        <v>739166.43</v>
      </c>
      <c r="N9" s="64"/>
      <c r="O9" s="18"/>
      <c r="P9" s="64"/>
      <c r="Q9" s="18"/>
      <c r="R9" s="18"/>
      <c r="S9" s="18"/>
      <c r="T9" s="18"/>
      <c r="U9" s="18"/>
      <c r="V9" s="32">
        <f t="shared" ref="V9:V13" si="3">E9-H9-J9-L9</f>
        <v>234.91000000000031</v>
      </c>
      <c r="W9" s="18">
        <f t="shared" ref="W9:W13" si="4">G9-I9-K9-M9</f>
        <v>80604.669999999809</v>
      </c>
      <c r="X9" s="1"/>
      <c r="Y9" s="1"/>
    </row>
    <row r="10" spans="1:25" ht="33.75">
      <c r="A10" s="16">
        <v>4</v>
      </c>
      <c r="B10" s="60" t="s">
        <v>11</v>
      </c>
      <c r="C10" s="44" t="s">
        <v>91</v>
      </c>
      <c r="D10" s="47" t="s">
        <v>89</v>
      </c>
      <c r="E10" s="51">
        <v>23.9</v>
      </c>
      <c r="F10" s="46">
        <v>23492.969936903319</v>
      </c>
      <c r="G10" s="46">
        <f t="shared" si="0"/>
        <v>561481.98</v>
      </c>
      <c r="H10" s="56">
        <v>22.945740000000001</v>
      </c>
      <c r="I10" s="18">
        <f t="shared" si="1"/>
        <v>539063.57999999996</v>
      </c>
      <c r="J10" s="56"/>
      <c r="K10" s="18"/>
      <c r="L10" s="56">
        <v>0.22425999999999999</v>
      </c>
      <c r="M10" s="18">
        <f t="shared" si="2"/>
        <v>5268.53</v>
      </c>
      <c r="N10" s="56"/>
      <c r="O10" s="18"/>
      <c r="P10" s="56"/>
      <c r="Q10" s="18"/>
      <c r="R10" s="18"/>
      <c r="S10" s="18"/>
      <c r="T10" s="18"/>
      <c r="U10" s="18"/>
      <c r="V10" s="32">
        <f t="shared" si="3"/>
        <v>0.72999999999999787</v>
      </c>
      <c r="W10" s="18">
        <f t="shared" si="4"/>
        <v>17149.870000000024</v>
      </c>
      <c r="X10" s="1"/>
      <c r="Y10" s="1"/>
    </row>
    <row r="11" spans="1:25" ht="23.25" customHeight="1">
      <c r="A11" s="16">
        <v>5</v>
      </c>
      <c r="B11" s="60" t="s">
        <v>12</v>
      </c>
      <c r="C11" s="44" t="s">
        <v>111</v>
      </c>
      <c r="D11" s="49" t="s">
        <v>90</v>
      </c>
      <c r="E11" s="48">
        <v>100.0932</v>
      </c>
      <c r="F11" s="46">
        <v>779034.45730000001</v>
      </c>
      <c r="G11" s="46">
        <f t="shared" si="0"/>
        <v>77976051.739999995</v>
      </c>
      <c r="H11" s="55">
        <v>73.449314000000001</v>
      </c>
      <c r="I11" s="18">
        <f>ROUND((F11*H11),2)-0.06</f>
        <v>57219546.409999996</v>
      </c>
      <c r="J11" s="55"/>
      <c r="K11" s="18"/>
      <c r="L11" s="55">
        <v>23.529285999999999</v>
      </c>
      <c r="M11" s="18">
        <f>ROUND((L11*F11),2)+0.06</f>
        <v>18330124.609999999</v>
      </c>
      <c r="N11" s="55"/>
      <c r="O11" s="18"/>
      <c r="P11" s="55"/>
      <c r="Q11" s="18"/>
      <c r="R11" s="18"/>
      <c r="S11" s="18"/>
      <c r="T11" s="18"/>
      <c r="U11" s="18"/>
      <c r="V11" s="32">
        <f t="shared" si="3"/>
        <v>3.1145999999999958</v>
      </c>
      <c r="W11" s="18">
        <f t="shared" si="4"/>
        <v>2426380.7199999988</v>
      </c>
      <c r="X11" s="1"/>
      <c r="Y11" s="1"/>
    </row>
    <row r="12" spans="1:25" ht="33.75">
      <c r="A12" s="16">
        <v>6</v>
      </c>
      <c r="B12" s="60" t="s">
        <v>13</v>
      </c>
      <c r="C12" s="44" t="s">
        <v>91</v>
      </c>
      <c r="D12" s="47" t="s">
        <v>89</v>
      </c>
      <c r="E12" s="53">
        <v>23.79</v>
      </c>
      <c r="F12" s="46">
        <v>23492.96986004664</v>
      </c>
      <c r="G12" s="46">
        <f>ROUND((F12*E12),2)+0.01</f>
        <v>558897.76</v>
      </c>
      <c r="H12" s="57"/>
      <c r="I12" s="18"/>
      <c r="J12" s="56">
        <v>22.789020000000001</v>
      </c>
      <c r="K12" s="18">
        <f>ROUND((J12*F12),2)</f>
        <v>535381.76000000001</v>
      </c>
      <c r="L12" s="56">
        <v>0.25097999999999998</v>
      </c>
      <c r="M12" s="18">
        <f t="shared" si="2"/>
        <v>5896.27</v>
      </c>
      <c r="N12" s="56"/>
      <c r="O12" s="18"/>
      <c r="P12" s="56"/>
      <c r="Q12" s="18"/>
      <c r="R12" s="18"/>
      <c r="S12" s="18"/>
      <c r="T12" s="18"/>
      <c r="U12" s="18"/>
      <c r="V12" s="32">
        <f t="shared" si="3"/>
        <v>0.74999999999999845</v>
      </c>
      <c r="W12" s="18">
        <f t="shared" si="4"/>
        <v>17619.73</v>
      </c>
      <c r="X12" s="1"/>
      <c r="Y12" s="1"/>
    </row>
    <row r="13" spans="1:25" ht="56.25">
      <c r="A13" s="16">
        <v>7</v>
      </c>
      <c r="B13" s="60" t="s">
        <v>48</v>
      </c>
      <c r="C13" s="54" t="s">
        <v>93</v>
      </c>
      <c r="D13" s="47" t="s">
        <v>112</v>
      </c>
      <c r="E13" s="53">
        <v>79.278139999999993</v>
      </c>
      <c r="F13" s="46">
        <v>917203.40795698995</v>
      </c>
      <c r="G13" s="46">
        <f t="shared" si="0"/>
        <v>72714180.180000007</v>
      </c>
      <c r="H13" s="58"/>
      <c r="I13" s="18"/>
      <c r="J13" s="64">
        <v>75.963399999999993</v>
      </c>
      <c r="K13" s="18">
        <f>ROUND((J13*F13),2)</f>
        <v>69673889.359999999</v>
      </c>
      <c r="L13" s="56">
        <v>0.83316000000000001</v>
      </c>
      <c r="M13" s="18">
        <f t="shared" si="2"/>
        <v>764177.19</v>
      </c>
      <c r="N13" s="56"/>
      <c r="O13" s="18"/>
      <c r="P13" s="56"/>
      <c r="Q13" s="18"/>
      <c r="R13" s="18"/>
      <c r="S13" s="18"/>
      <c r="T13" s="18"/>
      <c r="U13" s="18"/>
      <c r="V13" s="32">
        <f t="shared" si="3"/>
        <v>2.4815800000000006</v>
      </c>
      <c r="W13" s="18">
        <f t="shared" si="4"/>
        <v>2276113.6300000078</v>
      </c>
      <c r="X13" s="1"/>
      <c r="Y13" s="1"/>
    </row>
    <row r="14" spans="1:25" ht="33.75">
      <c r="A14" s="16">
        <v>8</v>
      </c>
      <c r="B14" s="60" t="s">
        <v>61</v>
      </c>
      <c r="C14" s="54" t="s">
        <v>113</v>
      </c>
      <c r="D14" s="47" t="s">
        <v>112</v>
      </c>
      <c r="E14" s="63">
        <v>31.650950000000002</v>
      </c>
      <c r="F14" s="46">
        <v>44879.470007944918</v>
      </c>
      <c r="G14" s="46">
        <f t="shared" si="0"/>
        <v>1420477.86</v>
      </c>
      <c r="H14" s="58"/>
      <c r="I14" s="18"/>
      <c r="J14" s="58"/>
      <c r="K14" s="18"/>
      <c r="L14" s="58"/>
      <c r="M14" s="18"/>
      <c r="N14" s="58"/>
      <c r="O14" s="18"/>
      <c r="P14" s="57">
        <v>30.207999999999998</v>
      </c>
      <c r="Q14" s="18">
        <f>ROUND((P14*F14),2)</f>
        <v>1355719.03</v>
      </c>
      <c r="R14" s="18"/>
      <c r="S14" s="18"/>
      <c r="T14" s="18"/>
      <c r="U14" s="18"/>
      <c r="V14" s="18">
        <f>E14-H14-P14</f>
        <v>1.4429500000000033</v>
      </c>
      <c r="W14" s="18">
        <f>G14-I14-K14-M14-Q14</f>
        <v>64758.830000000075</v>
      </c>
      <c r="X14" s="1"/>
      <c r="Y14" s="1"/>
    </row>
    <row r="15" spans="1:25" ht="15">
      <c r="A15" s="16"/>
      <c r="B15" s="6"/>
      <c r="C15" s="8" t="s">
        <v>29</v>
      </c>
      <c r="D15" s="7"/>
      <c r="E15" s="17"/>
      <c r="F15" s="18"/>
      <c r="G15" s="160">
        <f>SUM(G9:G14,G8:G8,G7)</f>
        <v>162121267.76000002</v>
      </c>
      <c r="H15" s="18"/>
      <c r="I15" s="37">
        <f>SUM(I7:I14)</f>
        <v>65378622.839999996</v>
      </c>
      <c r="J15" s="18"/>
      <c r="K15" s="37">
        <f>SUM(K7:K14)</f>
        <v>70209271.120000005</v>
      </c>
      <c r="L15" s="18"/>
      <c r="M15" s="37">
        <f>SUM(M7:M14)</f>
        <v>20104148.240000002</v>
      </c>
      <c r="N15" s="18"/>
      <c r="O15" s="37">
        <f>SUM(O7:O14)</f>
        <v>0</v>
      </c>
      <c r="P15" s="18"/>
      <c r="Q15" s="37">
        <f>SUM(Q7:Q14)</f>
        <v>1355719.03</v>
      </c>
      <c r="R15" s="37"/>
      <c r="S15" s="37"/>
      <c r="T15" s="37"/>
      <c r="U15" s="37"/>
      <c r="V15" s="18"/>
      <c r="W15" s="37">
        <f>SUM(W7:W14)</f>
        <v>5073506.5300000068</v>
      </c>
      <c r="X15" s="35"/>
      <c r="Y15" s="35"/>
    </row>
    <row r="16" spans="1:25" ht="25.5" customHeight="1">
      <c r="A16" s="142" t="s">
        <v>446</v>
      </c>
      <c r="B16" s="143"/>
      <c r="C16" s="143"/>
      <c r="D16" s="143"/>
      <c r="E16" s="143"/>
      <c r="F16" s="143"/>
      <c r="G16" s="144"/>
      <c r="H16" s="13"/>
      <c r="I16" s="14"/>
      <c r="J16" s="13"/>
      <c r="K16" s="14"/>
      <c r="L16" s="13"/>
      <c r="M16" s="14"/>
      <c r="N16" s="13"/>
      <c r="O16" s="14"/>
      <c r="P16" s="13"/>
      <c r="Q16" s="14"/>
      <c r="R16" s="14"/>
      <c r="S16" s="14"/>
      <c r="T16" s="14"/>
      <c r="U16" s="14"/>
      <c r="V16" s="14"/>
      <c r="W16" s="15"/>
      <c r="X16" s="1"/>
      <c r="Y16" s="1"/>
    </row>
    <row r="17" spans="1:25" ht="45">
      <c r="A17" s="16">
        <v>9</v>
      </c>
      <c r="B17" s="60" t="s">
        <v>14</v>
      </c>
      <c r="C17" s="61" t="s">
        <v>114</v>
      </c>
      <c r="D17" s="45" t="s">
        <v>109</v>
      </c>
      <c r="E17" s="73">
        <v>0</v>
      </c>
      <c r="F17" s="62">
        <v>403612.15999999997</v>
      </c>
      <c r="G17" s="62">
        <f>ROUND((E17*F17),2)</f>
        <v>0</v>
      </c>
      <c r="H17" s="58"/>
      <c r="I17" s="18"/>
      <c r="J17" s="58"/>
      <c r="K17" s="18"/>
      <c r="L17" s="58"/>
      <c r="M17" s="18"/>
      <c r="N17" s="58"/>
      <c r="O17" s="18"/>
      <c r="P17" s="58"/>
      <c r="Q17" s="18"/>
      <c r="R17" s="18"/>
      <c r="S17" s="18"/>
      <c r="T17" s="18"/>
      <c r="U17" s="18"/>
      <c r="V17" s="18">
        <f t="shared" ref="V17:V24" si="5">E17-H17</f>
        <v>0</v>
      </c>
      <c r="W17" s="18">
        <f t="shared" ref="W17:W24" si="6">G17-I17</f>
        <v>0</v>
      </c>
      <c r="X17" s="1"/>
      <c r="Y17" s="1"/>
    </row>
    <row r="18" spans="1:25" ht="56.25">
      <c r="A18" s="16">
        <v>10</v>
      </c>
      <c r="B18" s="60" t="s">
        <v>15</v>
      </c>
      <c r="C18" s="61" t="s">
        <v>115</v>
      </c>
      <c r="D18" s="45" t="s">
        <v>109</v>
      </c>
      <c r="E18" s="63">
        <v>1.934E-2</v>
      </c>
      <c r="F18" s="62">
        <v>1044953.22</v>
      </c>
      <c r="G18" s="62">
        <f t="shared" ref="G18:G23" si="7">ROUND((E18*F18),2)</f>
        <v>20209.400000000001</v>
      </c>
      <c r="H18" s="58"/>
      <c r="I18" s="18"/>
      <c r="J18" s="58"/>
      <c r="K18" s="18"/>
      <c r="L18" s="58"/>
      <c r="M18" s="18"/>
      <c r="N18" s="58"/>
      <c r="O18" s="18"/>
      <c r="P18" s="58"/>
      <c r="Q18" s="18"/>
      <c r="R18" s="18"/>
      <c r="S18" s="18"/>
      <c r="T18" s="18"/>
      <c r="U18" s="18"/>
      <c r="V18" s="18">
        <f t="shared" si="5"/>
        <v>1.934E-2</v>
      </c>
      <c r="W18" s="18">
        <f t="shared" si="6"/>
        <v>20209.400000000001</v>
      </c>
      <c r="X18" s="1"/>
      <c r="Y18" s="1"/>
    </row>
    <row r="19" spans="1:25" ht="56.25">
      <c r="A19" s="16">
        <v>11</v>
      </c>
      <c r="B19" s="60" t="s">
        <v>16</v>
      </c>
      <c r="C19" s="54" t="s">
        <v>116</v>
      </c>
      <c r="D19" s="47" t="s">
        <v>112</v>
      </c>
      <c r="E19" s="63">
        <v>3.8559999999999997E-2</v>
      </c>
      <c r="F19" s="62">
        <v>1055884.3600000001</v>
      </c>
      <c r="G19" s="62">
        <f t="shared" si="7"/>
        <v>40714.9</v>
      </c>
      <c r="H19" s="57"/>
      <c r="I19" s="18"/>
      <c r="J19" s="57"/>
      <c r="K19" s="18"/>
      <c r="L19" s="57"/>
      <c r="M19" s="18"/>
      <c r="N19" s="57"/>
      <c r="O19" s="18"/>
      <c r="P19" s="57"/>
      <c r="Q19" s="18"/>
      <c r="R19" s="18"/>
      <c r="S19" s="18"/>
      <c r="T19" s="18"/>
      <c r="U19" s="18"/>
      <c r="V19" s="19">
        <f t="shared" si="5"/>
        <v>3.8559999999999997E-2</v>
      </c>
      <c r="W19" s="18">
        <f t="shared" si="6"/>
        <v>40714.9</v>
      </c>
      <c r="X19" s="1"/>
      <c r="Y19" s="1"/>
    </row>
    <row r="20" spans="1:25" ht="33.75">
      <c r="A20" s="16">
        <v>12</v>
      </c>
      <c r="B20" s="60" t="s">
        <v>17</v>
      </c>
      <c r="C20" s="44" t="s">
        <v>117</v>
      </c>
      <c r="D20" s="49" t="s">
        <v>89</v>
      </c>
      <c r="E20" s="50">
        <v>5.7000000000000002E-2</v>
      </c>
      <c r="F20" s="62">
        <v>23492.97</v>
      </c>
      <c r="G20" s="62">
        <f t="shared" si="7"/>
        <v>1339.1</v>
      </c>
      <c r="H20" s="64"/>
      <c r="I20" s="18"/>
      <c r="J20" s="64"/>
      <c r="K20" s="18"/>
      <c r="L20" s="64"/>
      <c r="M20" s="18"/>
      <c r="N20" s="64"/>
      <c r="O20" s="18"/>
      <c r="P20" s="64"/>
      <c r="Q20" s="18"/>
      <c r="R20" s="18"/>
      <c r="S20" s="18"/>
      <c r="T20" s="18"/>
      <c r="U20" s="18"/>
      <c r="V20" s="32">
        <f t="shared" si="5"/>
        <v>5.7000000000000002E-2</v>
      </c>
      <c r="W20" s="18">
        <f t="shared" si="6"/>
        <v>1339.1</v>
      </c>
      <c r="X20" s="5"/>
      <c r="Y20" s="5"/>
    </row>
    <row r="21" spans="1:25" ht="45">
      <c r="A21" s="16">
        <v>13</v>
      </c>
      <c r="B21" s="60" t="s">
        <v>63</v>
      </c>
      <c r="C21" s="61" t="s">
        <v>118</v>
      </c>
      <c r="D21" s="47" t="s">
        <v>90</v>
      </c>
      <c r="E21" s="51">
        <v>0</v>
      </c>
      <c r="F21" s="62">
        <v>763141.1</v>
      </c>
      <c r="G21" s="62">
        <f>ROUND((E21*F21),2)</f>
        <v>0</v>
      </c>
      <c r="H21" s="57"/>
      <c r="I21" s="18"/>
      <c r="J21" s="57"/>
      <c r="K21" s="18"/>
      <c r="L21" s="57"/>
      <c r="M21" s="18"/>
      <c r="N21" s="57"/>
      <c r="O21" s="18"/>
      <c r="P21" s="57"/>
      <c r="Q21" s="18"/>
      <c r="R21" s="18"/>
      <c r="S21" s="18"/>
      <c r="T21" s="18"/>
      <c r="U21" s="18"/>
      <c r="V21" s="19">
        <f t="shared" si="5"/>
        <v>0</v>
      </c>
      <c r="W21" s="18">
        <f t="shared" si="6"/>
        <v>0</v>
      </c>
      <c r="X21" s="5"/>
      <c r="Y21" s="5"/>
    </row>
    <row r="22" spans="1:25" ht="33.75">
      <c r="A22" s="16">
        <v>14</v>
      </c>
      <c r="B22" s="60" t="s">
        <v>92</v>
      </c>
      <c r="C22" s="44" t="s">
        <v>91</v>
      </c>
      <c r="D22" s="49" t="s">
        <v>89</v>
      </c>
      <c r="E22" s="51">
        <v>0</v>
      </c>
      <c r="F22" s="62">
        <v>23492.959999999999</v>
      </c>
      <c r="G22" s="62">
        <f t="shared" si="7"/>
        <v>0</v>
      </c>
      <c r="H22" s="58"/>
      <c r="I22" s="18"/>
      <c r="J22" s="58"/>
      <c r="K22" s="18"/>
      <c r="L22" s="58"/>
      <c r="M22" s="18"/>
      <c r="N22" s="58"/>
      <c r="O22" s="18"/>
      <c r="P22" s="58"/>
      <c r="Q22" s="18"/>
      <c r="R22" s="18"/>
      <c r="S22" s="18"/>
      <c r="T22" s="18"/>
      <c r="U22" s="18"/>
      <c r="V22" s="18">
        <f t="shared" si="5"/>
        <v>0</v>
      </c>
      <c r="W22" s="18">
        <f t="shared" si="6"/>
        <v>0</v>
      </c>
      <c r="X22" s="5"/>
      <c r="Y22" s="5"/>
    </row>
    <row r="23" spans="1:25" ht="56.25">
      <c r="A23" s="16">
        <v>15</v>
      </c>
      <c r="B23" s="60" t="s">
        <v>94</v>
      </c>
      <c r="C23" s="54" t="s">
        <v>93</v>
      </c>
      <c r="D23" s="47" t="s">
        <v>112</v>
      </c>
      <c r="E23" s="51">
        <v>0</v>
      </c>
      <c r="F23" s="62">
        <v>917203.41</v>
      </c>
      <c r="G23" s="62">
        <f t="shared" si="7"/>
        <v>0</v>
      </c>
      <c r="H23" s="58"/>
      <c r="I23" s="18"/>
      <c r="J23" s="58"/>
      <c r="K23" s="18"/>
      <c r="L23" s="58"/>
      <c r="M23" s="18"/>
      <c r="N23" s="58"/>
      <c r="O23" s="18"/>
      <c r="P23" s="58"/>
      <c r="Q23" s="18"/>
      <c r="R23" s="18"/>
      <c r="S23" s="18"/>
      <c r="T23" s="18"/>
      <c r="U23" s="18"/>
      <c r="V23" s="19">
        <f t="shared" si="5"/>
        <v>0</v>
      </c>
      <c r="W23" s="18">
        <f t="shared" si="6"/>
        <v>0</v>
      </c>
      <c r="X23" s="5"/>
      <c r="Y23" s="5"/>
    </row>
    <row r="24" spans="1:25" ht="33.75">
      <c r="A24" s="16">
        <v>16</v>
      </c>
      <c r="B24" s="60" t="s">
        <v>95</v>
      </c>
      <c r="C24" s="54" t="s">
        <v>119</v>
      </c>
      <c r="D24" s="45" t="s">
        <v>120</v>
      </c>
      <c r="E24" s="51">
        <v>0</v>
      </c>
      <c r="F24" s="62">
        <v>131902.56</v>
      </c>
      <c r="G24" s="62">
        <f>ROUND((E24*F24),2)</f>
        <v>0</v>
      </c>
      <c r="H24" s="58"/>
      <c r="I24" s="18"/>
      <c r="J24" s="58"/>
      <c r="K24" s="18"/>
      <c r="L24" s="58"/>
      <c r="M24" s="18"/>
      <c r="N24" s="58"/>
      <c r="O24" s="18"/>
      <c r="P24" s="58"/>
      <c r="Q24" s="18"/>
      <c r="R24" s="18"/>
      <c r="S24" s="18"/>
      <c r="T24" s="18"/>
      <c r="U24" s="18"/>
      <c r="V24" s="18">
        <f t="shared" si="5"/>
        <v>0</v>
      </c>
      <c r="W24" s="18">
        <f t="shared" si="6"/>
        <v>0</v>
      </c>
      <c r="X24" s="5"/>
      <c r="Y24" s="5"/>
    </row>
    <row r="25" spans="1:25" ht="22.5">
      <c r="A25" s="16">
        <v>17</v>
      </c>
      <c r="B25" s="60" t="s">
        <v>121</v>
      </c>
      <c r="C25" s="54" t="s">
        <v>122</v>
      </c>
      <c r="D25" s="47" t="s">
        <v>112</v>
      </c>
      <c r="E25" s="51">
        <v>0</v>
      </c>
      <c r="F25" s="62">
        <v>44879.49</v>
      </c>
      <c r="G25" s="62">
        <f>ROUND((E25*F25),2)</f>
        <v>0</v>
      </c>
      <c r="H25" s="58"/>
      <c r="I25" s="18"/>
      <c r="J25" s="58"/>
      <c r="K25" s="18"/>
      <c r="L25" s="58"/>
      <c r="M25" s="18"/>
      <c r="N25" s="58"/>
      <c r="O25" s="18"/>
      <c r="P25" s="58"/>
      <c r="Q25" s="18"/>
      <c r="R25" s="18"/>
      <c r="S25" s="18"/>
      <c r="T25" s="18"/>
      <c r="U25" s="18"/>
      <c r="V25" s="18">
        <f t="shared" ref="V25" si="8">E25-H25</f>
        <v>0</v>
      </c>
      <c r="W25" s="18">
        <f t="shared" ref="W25" si="9">G25-I25</f>
        <v>0</v>
      </c>
      <c r="X25" s="5"/>
      <c r="Y25" s="5"/>
    </row>
    <row r="26" spans="1:25" ht="15">
      <c r="A26" s="16"/>
      <c r="B26" s="6"/>
      <c r="C26" s="8" t="s">
        <v>30</v>
      </c>
      <c r="D26" s="7"/>
      <c r="E26" s="17"/>
      <c r="F26" s="18"/>
      <c r="G26" s="160">
        <f>SUM(G17:G25)</f>
        <v>62263.4</v>
      </c>
      <c r="H26" s="18"/>
      <c r="I26" s="37">
        <f>SUM(I17:I23)</f>
        <v>0</v>
      </c>
      <c r="J26" s="18"/>
      <c r="K26" s="37">
        <f>SUM(K17:K23)</f>
        <v>0</v>
      </c>
      <c r="L26" s="18"/>
      <c r="M26" s="37">
        <f>SUM(M17:M23)</f>
        <v>0</v>
      </c>
      <c r="N26" s="18"/>
      <c r="O26" s="37">
        <f>SUM(O17:O23)</f>
        <v>0</v>
      </c>
      <c r="P26" s="18"/>
      <c r="Q26" s="37">
        <f>SUM(Q17:Q23)</f>
        <v>0</v>
      </c>
      <c r="R26" s="37"/>
      <c r="S26" s="37"/>
      <c r="T26" s="37"/>
      <c r="U26" s="37"/>
      <c r="V26" s="18"/>
      <c r="W26" s="37">
        <f>SUM(W17:W25)</f>
        <v>62263.4</v>
      </c>
      <c r="X26" s="35"/>
      <c r="Y26" s="35"/>
    </row>
    <row r="27" spans="1:25" ht="15">
      <c r="A27" s="139" t="s">
        <v>123</v>
      </c>
      <c r="B27" s="140"/>
      <c r="C27" s="140"/>
      <c r="D27" s="140"/>
      <c r="E27" s="140"/>
      <c r="F27" s="140"/>
      <c r="G27" s="141"/>
      <c r="H27" s="20"/>
      <c r="I27" s="21"/>
      <c r="J27" s="20"/>
      <c r="K27" s="21"/>
      <c r="L27" s="20"/>
      <c r="M27" s="21"/>
      <c r="N27" s="20"/>
      <c r="O27" s="21"/>
      <c r="P27" s="20"/>
      <c r="Q27" s="21"/>
      <c r="R27" s="21"/>
      <c r="S27" s="21"/>
      <c r="T27" s="21"/>
      <c r="U27" s="21"/>
      <c r="V27" s="21"/>
      <c r="W27" s="21"/>
      <c r="X27" s="1"/>
      <c r="Y27" s="1"/>
    </row>
    <row r="28" spans="1:25" ht="45">
      <c r="A28" s="16">
        <v>18</v>
      </c>
      <c r="B28" s="60" t="s">
        <v>18</v>
      </c>
      <c r="C28" s="44" t="s">
        <v>60</v>
      </c>
      <c r="D28" s="47" t="s">
        <v>62</v>
      </c>
      <c r="E28" s="50">
        <v>0</v>
      </c>
      <c r="F28" s="62">
        <v>7688.4246913580246</v>
      </c>
      <c r="G28" s="62">
        <v>0</v>
      </c>
      <c r="H28" s="64"/>
      <c r="I28" s="18"/>
      <c r="J28" s="64"/>
      <c r="K28" s="18"/>
      <c r="L28" s="64"/>
      <c r="M28" s="18"/>
      <c r="N28" s="64"/>
      <c r="O28" s="18"/>
      <c r="P28" s="64"/>
      <c r="Q28" s="18"/>
      <c r="R28" s="18"/>
      <c r="S28" s="18"/>
      <c r="T28" s="18"/>
      <c r="U28" s="18"/>
      <c r="V28" s="32">
        <f t="shared" ref="V28:V31" si="10">E28-H28</f>
        <v>0</v>
      </c>
      <c r="W28" s="18">
        <f t="shared" ref="W28:W31" si="11">G28-I28</f>
        <v>0</v>
      </c>
      <c r="X28" s="1"/>
      <c r="Y28" s="1"/>
    </row>
    <row r="29" spans="1:25" ht="78.75">
      <c r="A29" s="16">
        <v>19</v>
      </c>
      <c r="B29" s="60" t="s">
        <v>19</v>
      </c>
      <c r="C29" s="44" t="s">
        <v>110</v>
      </c>
      <c r="D29" s="49" t="s">
        <v>89</v>
      </c>
      <c r="E29" s="51">
        <v>0</v>
      </c>
      <c r="F29" s="62">
        <v>343.13037037037037</v>
      </c>
      <c r="G29" s="62">
        <v>0</v>
      </c>
      <c r="H29" s="58"/>
      <c r="I29" s="18"/>
      <c r="J29" s="58"/>
      <c r="K29" s="18"/>
      <c r="L29" s="58"/>
      <c r="M29" s="18"/>
      <c r="N29" s="58"/>
      <c r="O29" s="18"/>
      <c r="P29" s="58"/>
      <c r="Q29" s="18"/>
      <c r="R29" s="18"/>
      <c r="S29" s="18"/>
      <c r="T29" s="18"/>
      <c r="U29" s="18"/>
      <c r="V29" s="18">
        <f t="shared" si="10"/>
        <v>0</v>
      </c>
      <c r="W29" s="18">
        <f t="shared" si="11"/>
        <v>0</v>
      </c>
      <c r="X29" s="1"/>
      <c r="Y29" s="1"/>
    </row>
    <row r="30" spans="1:25" ht="22.5">
      <c r="A30" s="16">
        <v>20</v>
      </c>
      <c r="B30" s="60" t="s">
        <v>20</v>
      </c>
      <c r="C30" s="54" t="s">
        <v>124</v>
      </c>
      <c r="D30" s="49" t="s">
        <v>89</v>
      </c>
      <c r="E30" s="63">
        <v>0</v>
      </c>
      <c r="F30" s="62">
        <v>23493.168724279836</v>
      </c>
      <c r="G30" s="62">
        <v>0</v>
      </c>
      <c r="H30" s="57"/>
      <c r="I30" s="18"/>
      <c r="J30" s="57"/>
      <c r="K30" s="18"/>
      <c r="L30" s="57"/>
      <c r="M30" s="18"/>
      <c r="N30" s="57"/>
      <c r="O30" s="18"/>
      <c r="P30" s="57"/>
      <c r="Q30" s="18"/>
      <c r="R30" s="18"/>
      <c r="S30" s="18"/>
      <c r="T30" s="18"/>
      <c r="U30" s="18"/>
      <c r="V30" s="19">
        <f t="shared" si="10"/>
        <v>0</v>
      </c>
      <c r="W30" s="18">
        <f t="shared" si="11"/>
        <v>0</v>
      </c>
      <c r="X30" s="1"/>
      <c r="Y30" s="1"/>
    </row>
    <row r="31" spans="1:25" ht="56.25">
      <c r="A31" s="16">
        <v>21</v>
      </c>
      <c r="B31" s="60" t="s">
        <v>21</v>
      </c>
      <c r="C31" s="54" t="s">
        <v>93</v>
      </c>
      <c r="D31" s="47" t="s">
        <v>112</v>
      </c>
      <c r="E31" s="53">
        <v>0</v>
      </c>
      <c r="F31" s="62">
        <v>917203.45679012348</v>
      </c>
      <c r="G31" s="62">
        <v>0</v>
      </c>
      <c r="H31" s="56"/>
      <c r="I31" s="18"/>
      <c r="J31" s="56"/>
      <c r="K31" s="18"/>
      <c r="L31" s="56"/>
      <c r="M31" s="18"/>
      <c r="N31" s="56"/>
      <c r="O31" s="18"/>
      <c r="P31" s="56"/>
      <c r="Q31" s="18"/>
      <c r="R31" s="18"/>
      <c r="S31" s="18"/>
      <c r="T31" s="18"/>
      <c r="U31" s="18"/>
      <c r="V31" s="33">
        <f t="shared" si="10"/>
        <v>0</v>
      </c>
      <c r="W31" s="18">
        <f t="shared" si="11"/>
        <v>0</v>
      </c>
      <c r="X31" s="5"/>
      <c r="Y31" s="5"/>
    </row>
    <row r="32" spans="1:25" ht="15">
      <c r="A32" s="16"/>
      <c r="B32" s="9"/>
      <c r="C32" s="10" t="s">
        <v>31</v>
      </c>
      <c r="D32" s="11"/>
      <c r="E32" s="22"/>
      <c r="F32" s="23"/>
      <c r="G32" s="161">
        <f>SUM(G28:G31)</f>
        <v>0</v>
      </c>
      <c r="H32" s="23"/>
      <c r="I32" s="40">
        <f>SUM(I28:I31)</f>
        <v>0</v>
      </c>
      <c r="J32" s="23"/>
      <c r="K32" s="40">
        <f>SUM(K28:K31)</f>
        <v>0</v>
      </c>
      <c r="L32" s="23"/>
      <c r="M32" s="40">
        <f>SUM(M28:M31)</f>
        <v>0</v>
      </c>
      <c r="N32" s="23"/>
      <c r="O32" s="40">
        <f>SUM(O28:O31)</f>
        <v>0</v>
      </c>
      <c r="P32" s="23"/>
      <c r="Q32" s="40">
        <f>SUM(Q28:Q31)</f>
        <v>0</v>
      </c>
      <c r="R32" s="40"/>
      <c r="S32" s="40"/>
      <c r="T32" s="40"/>
      <c r="U32" s="40"/>
      <c r="V32" s="23"/>
      <c r="W32" s="40">
        <f>SUM(W28:W31)</f>
        <v>0</v>
      </c>
      <c r="X32" s="1"/>
      <c r="Y32" s="1"/>
    </row>
    <row r="33" spans="1:25" ht="15">
      <c r="A33" s="139" t="s">
        <v>125</v>
      </c>
      <c r="B33" s="140"/>
      <c r="C33" s="140"/>
      <c r="D33" s="140"/>
      <c r="E33" s="140"/>
      <c r="F33" s="140"/>
      <c r="G33" s="141"/>
      <c r="H33" s="20"/>
      <c r="I33" s="21"/>
      <c r="J33" s="20"/>
      <c r="K33" s="21"/>
      <c r="L33" s="20"/>
      <c r="M33" s="21"/>
      <c r="N33" s="20"/>
      <c r="O33" s="21"/>
      <c r="P33" s="20"/>
      <c r="Q33" s="21"/>
      <c r="R33" s="21"/>
      <c r="S33" s="21"/>
      <c r="T33" s="21"/>
      <c r="U33" s="21"/>
      <c r="V33" s="21"/>
      <c r="W33" s="21"/>
      <c r="X33" s="1"/>
      <c r="Y33" s="1"/>
    </row>
    <row r="34" spans="1:25" ht="45">
      <c r="A34" s="16">
        <v>22</v>
      </c>
      <c r="B34" s="60" t="s">
        <v>22</v>
      </c>
      <c r="C34" s="44" t="s">
        <v>60</v>
      </c>
      <c r="D34" s="45" t="s">
        <v>62</v>
      </c>
      <c r="E34" s="53">
        <v>37.522599999999997</v>
      </c>
      <c r="F34" s="62">
        <v>7688.42</v>
      </c>
      <c r="G34" s="62">
        <f>ROUND((F34*E34),2)</f>
        <v>288489.51</v>
      </c>
      <c r="H34" s="57">
        <v>33.225000000000001</v>
      </c>
      <c r="I34" s="18">
        <f>ROUND((F34*H34),2)+0.01</f>
        <v>255447.76</v>
      </c>
      <c r="J34" s="57"/>
      <c r="K34" s="18"/>
      <c r="L34" s="57"/>
      <c r="M34" s="18"/>
      <c r="N34" s="57"/>
      <c r="O34" s="18"/>
      <c r="P34" s="64">
        <v>4.2976000000000001</v>
      </c>
      <c r="Q34" s="18">
        <f>ROUND((P34*F34),2)-0.01</f>
        <v>33041.74</v>
      </c>
      <c r="R34" s="18"/>
      <c r="S34" s="18"/>
      <c r="T34" s="18"/>
      <c r="U34" s="18"/>
      <c r="V34" s="18">
        <f>E34-H34-P34</f>
        <v>0</v>
      </c>
      <c r="W34" s="18">
        <f>G34-I34-Q34</f>
        <v>1.0000000002037268E-2</v>
      </c>
      <c r="X34" s="1"/>
      <c r="Y34" s="1"/>
    </row>
    <row r="35" spans="1:25" ht="78.75">
      <c r="A35" s="16">
        <v>23</v>
      </c>
      <c r="B35" s="60" t="s">
        <v>126</v>
      </c>
      <c r="C35" s="44" t="s">
        <v>110</v>
      </c>
      <c r="D35" s="45" t="s">
        <v>89</v>
      </c>
      <c r="E35" s="50">
        <v>356.46</v>
      </c>
      <c r="F35" s="62">
        <v>343.13</v>
      </c>
      <c r="G35" s="62">
        <f t="shared" ref="G35:G40" si="12">ROUND((F35*E35),2)</f>
        <v>122312.12</v>
      </c>
      <c r="H35" s="66">
        <v>221.94399999999999</v>
      </c>
      <c r="I35" s="18">
        <f>ROUND((F35*H35),2)</f>
        <v>76155.64</v>
      </c>
      <c r="J35" s="66"/>
      <c r="K35" s="18"/>
      <c r="L35" s="66"/>
      <c r="M35" s="18"/>
      <c r="N35" s="66"/>
      <c r="O35" s="18"/>
      <c r="P35" s="66">
        <v>134.51599999999999</v>
      </c>
      <c r="Q35" s="18">
        <f>ROUND((P35*F35),2)</f>
        <v>46156.480000000003</v>
      </c>
      <c r="R35" s="18"/>
      <c r="S35" s="18"/>
      <c r="T35" s="18"/>
      <c r="U35" s="18"/>
      <c r="V35" s="18">
        <f t="shared" ref="V35:V40" si="13">E35-H35-P35</f>
        <v>0</v>
      </c>
      <c r="W35" s="18">
        <f t="shared" ref="W35:W40" si="14">G35-I35-Q35</f>
        <v>0</v>
      </c>
      <c r="X35" s="1"/>
      <c r="Y35" s="1"/>
    </row>
    <row r="36" spans="1:25" ht="33.75">
      <c r="A36" s="16">
        <v>24</v>
      </c>
      <c r="B36" s="60" t="s">
        <v>127</v>
      </c>
      <c r="C36" s="54" t="s">
        <v>91</v>
      </c>
      <c r="D36" s="47" t="s">
        <v>89</v>
      </c>
      <c r="E36" s="48">
        <v>1.1277999999999999</v>
      </c>
      <c r="F36" s="62">
        <v>23492.97</v>
      </c>
      <c r="G36" s="62">
        <f t="shared" si="12"/>
        <v>26495.37</v>
      </c>
      <c r="H36" s="65"/>
      <c r="I36" s="27"/>
      <c r="J36" s="126">
        <v>0.23791999999999999</v>
      </c>
      <c r="K36" s="27">
        <f>ROUND((J36*F36),2)</f>
        <v>5589.45</v>
      </c>
      <c r="L36" s="126"/>
      <c r="M36" s="27"/>
      <c r="N36" s="65">
        <v>0.8</v>
      </c>
      <c r="O36" s="27">
        <f>ROUND((N36*F36),2)</f>
        <v>18794.38</v>
      </c>
      <c r="P36" s="126">
        <v>8.9880000000000002E-2</v>
      </c>
      <c r="Q36" s="18">
        <f>ROUND((P36*F36),2)-0.01</f>
        <v>2111.54</v>
      </c>
      <c r="R36" s="18"/>
      <c r="S36" s="18"/>
      <c r="T36" s="18"/>
      <c r="U36" s="18"/>
      <c r="V36" s="18">
        <f t="shared" si="13"/>
        <v>1.03792</v>
      </c>
      <c r="W36" s="18">
        <f t="shared" si="14"/>
        <v>24383.829999999998</v>
      </c>
      <c r="X36" s="1"/>
      <c r="Y36" s="1"/>
    </row>
    <row r="37" spans="1:25" ht="45">
      <c r="A37" s="16">
        <v>25</v>
      </c>
      <c r="B37" s="60" t="s">
        <v>128</v>
      </c>
      <c r="C37" s="44" t="s">
        <v>129</v>
      </c>
      <c r="D37" s="49" t="s">
        <v>90</v>
      </c>
      <c r="E37" s="48">
        <v>3.7446000000000002</v>
      </c>
      <c r="F37" s="62">
        <v>779034.46</v>
      </c>
      <c r="G37" s="62">
        <f t="shared" si="12"/>
        <v>2917172.44</v>
      </c>
      <c r="H37" s="65"/>
      <c r="I37" s="27"/>
      <c r="J37" s="128">
        <v>0.88897769999999998</v>
      </c>
      <c r="K37" s="27">
        <f t="shared" ref="K37:K38" si="15">ROUND((J37*F37),2)</f>
        <v>692544.26</v>
      </c>
      <c r="L37" s="128"/>
      <c r="M37" s="27"/>
      <c r="N37" s="128">
        <v>2.7983240999999999</v>
      </c>
      <c r="O37" s="27">
        <f t="shared" ref="O37:O38" si="16">ROUND((N37*F37),2)</f>
        <v>2179990.9</v>
      </c>
      <c r="P37" s="128">
        <v>5.7298200000000001E-2</v>
      </c>
      <c r="Q37" s="18">
        <f t="shared" ref="Q37:Q38" si="17">ROUND((P37*F37),2)</f>
        <v>44637.27</v>
      </c>
      <c r="R37" s="18"/>
      <c r="S37" s="18"/>
      <c r="T37" s="18"/>
      <c r="U37" s="18"/>
      <c r="V37" s="18">
        <f t="shared" si="13"/>
        <v>3.6873018000000002</v>
      </c>
      <c r="W37" s="18">
        <f t="shared" si="14"/>
        <v>2872535.17</v>
      </c>
      <c r="X37" s="1"/>
      <c r="Y37" s="1"/>
    </row>
    <row r="38" spans="1:25" ht="33.75">
      <c r="A38" s="16">
        <v>26</v>
      </c>
      <c r="B38" s="60" t="s">
        <v>130</v>
      </c>
      <c r="C38" s="54" t="s">
        <v>91</v>
      </c>
      <c r="D38" s="47" t="s">
        <v>89</v>
      </c>
      <c r="E38" s="48">
        <v>1.0530999999999999</v>
      </c>
      <c r="F38" s="62">
        <v>23492.97</v>
      </c>
      <c r="G38" s="62">
        <f t="shared" si="12"/>
        <v>24740.45</v>
      </c>
      <c r="H38" s="65"/>
      <c r="I38" s="27"/>
      <c r="J38" s="70">
        <v>0.22620000000000001</v>
      </c>
      <c r="K38" s="27">
        <f t="shared" si="15"/>
        <v>5314.11</v>
      </c>
      <c r="L38" s="70"/>
      <c r="M38" s="27"/>
      <c r="N38" s="65">
        <v>0.74</v>
      </c>
      <c r="O38" s="27">
        <f t="shared" si="16"/>
        <v>17384.8</v>
      </c>
      <c r="P38" s="70">
        <v>8.6900000000000005E-2</v>
      </c>
      <c r="Q38" s="18">
        <f t="shared" si="17"/>
        <v>2041.54</v>
      </c>
      <c r="R38" s="18"/>
      <c r="S38" s="18"/>
      <c r="T38" s="18"/>
      <c r="U38" s="18"/>
      <c r="V38" s="18">
        <f t="shared" si="13"/>
        <v>0.96619999999999995</v>
      </c>
      <c r="W38" s="18">
        <f t="shared" si="14"/>
        <v>22698.91</v>
      </c>
      <c r="X38" s="1"/>
      <c r="Y38" s="1"/>
    </row>
    <row r="39" spans="1:25" ht="56.25">
      <c r="A39" s="16">
        <v>27</v>
      </c>
      <c r="B39" s="60" t="s">
        <v>131</v>
      </c>
      <c r="C39" s="54" t="s">
        <v>93</v>
      </c>
      <c r="D39" s="47" t="s">
        <v>112</v>
      </c>
      <c r="E39" s="48">
        <v>3.4632999999999998</v>
      </c>
      <c r="F39" s="62">
        <v>917203.41</v>
      </c>
      <c r="G39" s="62">
        <f t="shared" si="12"/>
        <v>3176550.57</v>
      </c>
      <c r="H39" s="65"/>
      <c r="I39" s="27"/>
      <c r="J39" s="126">
        <v>0.74846999999999997</v>
      </c>
      <c r="K39" s="27">
        <f>ROUND((J39*F39),2)-0.01</f>
        <v>686499.23</v>
      </c>
      <c r="L39" s="126"/>
      <c r="M39" s="27"/>
      <c r="N39" s="126">
        <v>2.4355799999999999</v>
      </c>
      <c r="O39" s="27">
        <f>ROUND((N39*F39),2)-0.01</f>
        <v>2233922.27</v>
      </c>
      <c r="P39" s="126">
        <v>0.27925</v>
      </c>
      <c r="Q39" s="18">
        <f>ROUND((P39*F39),2)+0.01</f>
        <v>256129.06</v>
      </c>
      <c r="R39" s="18"/>
      <c r="S39" s="18"/>
      <c r="T39" s="18"/>
      <c r="U39" s="18"/>
      <c r="V39" s="18">
        <f t="shared" si="13"/>
        <v>3.18405</v>
      </c>
      <c r="W39" s="18">
        <f t="shared" si="14"/>
        <v>2920421.51</v>
      </c>
      <c r="X39" s="1"/>
      <c r="Y39" s="1"/>
    </row>
    <row r="40" spans="1:25" ht="22.5">
      <c r="A40" s="16">
        <v>28</v>
      </c>
      <c r="B40" s="60" t="s">
        <v>132</v>
      </c>
      <c r="C40" s="54" t="s">
        <v>122</v>
      </c>
      <c r="D40" s="47" t="s">
        <v>112</v>
      </c>
      <c r="E40" s="63">
        <v>1.21245</v>
      </c>
      <c r="F40" s="62">
        <v>44879.48</v>
      </c>
      <c r="G40" s="62">
        <f t="shared" si="12"/>
        <v>54414.13</v>
      </c>
      <c r="H40" s="65"/>
      <c r="I40" s="27"/>
      <c r="J40" s="65"/>
      <c r="K40" s="27"/>
      <c r="L40" s="65"/>
      <c r="M40" s="27"/>
      <c r="N40" s="65"/>
      <c r="O40" s="27"/>
      <c r="P40" s="126">
        <v>1.21245</v>
      </c>
      <c r="Q40" s="18">
        <f>ROUND((P40*F40),2)</f>
        <v>54414.13</v>
      </c>
      <c r="R40" s="18"/>
      <c r="S40" s="18"/>
      <c r="T40" s="18"/>
      <c r="U40" s="18"/>
      <c r="V40" s="18">
        <f t="shared" si="13"/>
        <v>0</v>
      </c>
      <c r="W40" s="18">
        <f t="shared" si="14"/>
        <v>0</v>
      </c>
      <c r="X40" s="1"/>
      <c r="Y40" s="1"/>
    </row>
    <row r="41" spans="1:25" ht="15">
      <c r="A41" s="16"/>
      <c r="B41" s="9"/>
      <c r="C41" s="10" t="s">
        <v>32</v>
      </c>
      <c r="D41" s="11"/>
      <c r="E41" s="22"/>
      <c r="F41" s="23"/>
      <c r="G41" s="161">
        <f>SUM(G34:G40)</f>
        <v>6610174.5899999999</v>
      </c>
      <c r="H41" s="23"/>
      <c r="I41" s="40">
        <f>SUM(I34:I40)</f>
        <v>331603.40000000002</v>
      </c>
      <c r="J41" s="23"/>
      <c r="K41" s="40">
        <f>SUM(K34:K40)</f>
        <v>1389947.0499999998</v>
      </c>
      <c r="L41" s="23"/>
      <c r="M41" s="40">
        <f>SUM(M34:M40)</f>
        <v>0</v>
      </c>
      <c r="N41" s="23"/>
      <c r="O41" s="40">
        <f>SUM(O34:O40)</f>
        <v>4450092.3499999996</v>
      </c>
      <c r="P41" s="23"/>
      <c r="Q41" s="40">
        <f>SUM(Q34:Q40)</f>
        <v>438531.76</v>
      </c>
      <c r="R41" s="40"/>
      <c r="S41" s="40"/>
      <c r="T41" s="40"/>
      <c r="U41" s="40"/>
      <c r="V41" s="23"/>
      <c r="W41" s="40">
        <f>SUM(W34:W40)</f>
        <v>5840039.4299999997</v>
      </c>
      <c r="X41" s="36"/>
      <c r="Y41" s="36"/>
    </row>
    <row r="42" spans="1:25" ht="15">
      <c r="A42" s="139" t="s">
        <v>133</v>
      </c>
      <c r="B42" s="140"/>
      <c r="C42" s="140"/>
      <c r="D42" s="140"/>
      <c r="E42" s="140"/>
      <c r="F42" s="140"/>
      <c r="G42" s="141"/>
      <c r="H42" s="20"/>
      <c r="I42" s="21"/>
      <c r="J42" s="20"/>
      <c r="K42" s="21"/>
      <c r="L42" s="20"/>
      <c r="M42" s="21"/>
      <c r="N42" s="20"/>
      <c r="O42" s="21"/>
      <c r="P42" s="20"/>
      <c r="Q42" s="21"/>
      <c r="R42" s="21"/>
      <c r="S42" s="21"/>
      <c r="T42" s="21"/>
      <c r="U42" s="21"/>
      <c r="V42" s="21"/>
      <c r="W42" s="21"/>
      <c r="X42" s="1"/>
      <c r="Y42" s="1"/>
    </row>
    <row r="43" spans="1:25" ht="45">
      <c r="A43" s="16">
        <v>29</v>
      </c>
      <c r="B43" s="60" t="s">
        <v>23</v>
      </c>
      <c r="C43" s="44" t="s">
        <v>134</v>
      </c>
      <c r="D43" s="45" t="s">
        <v>62</v>
      </c>
      <c r="E43" s="109">
        <v>0.26112000000000002</v>
      </c>
      <c r="F43" s="62">
        <v>365932.14</v>
      </c>
      <c r="G43" s="62">
        <f>ROUND((F43*E43),2)</f>
        <v>95552.2</v>
      </c>
      <c r="H43" s="58"/>
      <c r="I43" s="18"/>
      <c r="J43" s="58"/>
      <c r="K43" s="18"/>
      <c r="L43" s="58"/>
      <c r="M43" s="18"/>
      <c r="N43" s="56">
        <v>0.26112000000000002</v>
      </c>
      <c r="O43" s="18">
        <f>ROUND((N43*F43),2)</f>
        <v>95552.2</v>
      </c>
      <c r="P43" s="56"/>
      <c r="Q43" s="18"/>
      <c r="R43" s="18"/>
      <c r="S43" s="18"/>
      <c r="T43" s="18"/>
      <c r="U43" s="18"/>
      <c r="V43" s="33">
        <f>E43-H43-N43</f>
        <v>0</v>
      </c>
      <c r="W43" s="18">
        <f>G43-I43-O43</f>
        <v>0</v>
      </c>
      <c r="X43" s="1"/>
      <c r="Y43" s="1"/>
    </row>
    <row r="44" spans="1:25" ht="45">
      <c r="A44" s="16">
        <v>30</v>
      </c>
      <c r="B44" s="60" t="s">
        <v>64</v>
      </c>
      <c r="C44" s="44" t="s">
        <v>135</v>
      </c>
      <c r="D44" s="47" t="s">
        <v>112</v>
      </c>
      <c r="E44" s="63">
        <v>1.3055699999999999</v>
      </c>
      <c r="F44" s="62">
        <v>659697.79</v>
      </c>
      <c r="G44" s="62">
        <f t="shared" ref="G44:G49" si="18">ROUND((F44*E44),2)</f>
        <v>861281.64</v>
      </c>
      <c r="H44" s="65"/>
      <c r="I44" s="27"/>
      <c r="J44" s="65"/>
      <c r="K44" s="27"/>
      <c r="L44" s="65"/>
      <c r="M44" s="27"/>
      <c r="N44" s="126">
        <v>1.3055699999999999</v>
      </c>
      <c r="O44" s="18">
        <f t="shared" ref="O44:O48" si="19">ROUND((N44*F44),2)</f>
        <v>861281.64</v>
      </c>
      <c r="P44" s="126"/>
      <c r="Q44" s="18"/>
      <c r="R44" s="18"/>
      <c r="S44" s="18"/>
      <c r="T44" s="18"/>
      <c r="U44" s="18"/>
      <c r="V44" s="18">
        <f t="shared" ref="V44:V48" si="20">E44-H44-N44</f>
        <v>0</v>
      </c>
      <c r="W44" s="18">
        <f t="shared" ref="W44:W48" si="21">G44-I44-O44</f>
        <v>0</v>
      </c>
      <c r="X44" s="1"/>
      <c r="Y44" s="1"/>
    </row>
    <row r="45" spans="1:25" ht="33.75">
      <c r="A45" s="16">
        <v>31</v>
      </c>
      <c r="B45" s="60" t="s">
        <v>65</v>
      </c>
      <c r="C45" s="54" t="s">
        <v>117</v>
      </c>
      <c r="D45" s="47" t="s">
        <v>89</v>
      </c>
      <c r="E45" s="48">
        <v>1.0445</v>
      </c>
      <c r="F45" s="62">
        <v>23492.97</v>
      </c>
      <c r="G45" s="62">
        <f t="shared" si="18"/>
        <v>24538.41</v>
      </c>
      <c r="H45" s="66"/>
      <c r="I45" s="27"/>
      <c r="J45" s="66"/>
      <c r="K45" s="27"/>
      <c r="L45" s="66"/>
      <c r="M45" s="27"/>
      <c r="N45" s="126">
        <v>1.0444599999999999</v>
      </c>
      <c r="O45" s="18">
        <f t="shared" si="19"/>
        <v>24537.47</v>
      </c>
      <c r="P45" s="126">
        <v>4.0000000000000003E-5</v>
      </c>
      <c r="Q45" s="18">
        <f>ROUND((P45*F45),2)</f>
        <v>0.94</v>
      </c>
      <c r="R45" s="18"/>
      <c r="S45" s="18"/>
      <c r="T45" s="18"/>
      <c r="U45" s="18"/>
      <c r="V45" s="18">
        <f>E45-H45-N45-P45</f>
        <v>4.0000283901137079E-17</v>
      </c>
      <c r="W45" s="18">
        <f>G45-I45-O45-Q45</f>
        <v>-1.3096190798478347E-12</v>
      </c>
      <c r="X45" s="1"/>
      <c r="Y45" s="1"/>
    </row>
    <row r="46" spans="1:25" ht="45">
      <c r="A46" s="16">
        <v>32</v>
      </c>
      <c r="B46" s="60" t="s">
        <v>66</v>
      </c>
      <c r="C46" s="61" t="s">
        <v>118</v>
      </c>
      <c r="D46" s="49" t="s">
        <v>90</v>
      </c>
      <c r="E46" s="50">
        <v>2.3159999999999998</v>
      </c>
      <c r="F46" s="62">
        <v>763141.11</v>
      </c>
      <c r="G46" s="62">
        <f t="shared" si="18"/>
        <v>1767434.81</v>
      </c>
      <c r="H46" s="66"/>
      <c r="I46" s="27"/>
      <c r="J46" s="66"/>
      <c r="K46" s="27"/>
      <c r="L46" s="66"/>
      <c r="M46" s="27"/>
      <c r="N46" s="70">
        <v>2.2850999999999999</v>
      </c>
      <c r="O46" s="18">
        <f t="shared" si="19"/>
        <v>1743853.75</v>
      </c>
      <c r="P46" s="70">
        <v>3.09E-2</v>
      </c>
      <c r="Q46" s="18">
        <f>ROUND((P46*F46),2)</f>
        <v>23581.06</v>
      </c>
      <c r="R46" s="18"/>
      <c r="S46" s="18"/>
      <c r="T46" s="18"/>
      <c r="U46" s="18"/>
      <c r="V46" s="18">
        <f>E46-H46-N46-P46</f>
        <v>-7.2858385991025898E-17</v>
      </c>
      <c r="W46" s="18">
        <f>G46-I46-O46-Q46</f>
        <v>5.4569682106375694E-11</v>
      </c>
      <c r="X46" s="1"/>
      <c r="Y46" s="1"/>
    </row>
    <row r="47" spans="1:25" ht="33.75">
      <c r="A47" s="16">
        <v>33</v>
      </c>
      <c r="B47" s="60" t="s">
        <v>67</v>
      </c>
      <c r="C47" s="54" t="s">
        <v>91</v>
      </c>
      <c r="D47" s="47" t="s">
        <v>89</v>
      </c>
      <c r="E47" s="50">
        <v>0.38500000000000001</v>
      </c>
      <c r="F47" s="62">
        <v>23492.98</v>
      </c>
      <c r="G47" s="62">
        <f t="shared" si="18"/>
        <v>9044.7999999999993</v>
      </c>
      <c r="H47" s="66"/>
      <c r="I47" s="27"/>
      <c r="J47" s="66"/>
      <c r="K47" s="27"/>
      <c r="L47" s="66"/>
      <c r="M47" s="27"/>
      <c r="N47" s="66">
        <v>0.38500000000000001</v>
      </c>
      <c r="O47" s="18">
        <f t="shared" si="19"/>
        <v>9044.7999999999993</v>
      </c>
      <c r="P47" s="66"/>
      <c r="Q47" s="18"/>
      <c r="R47" s="18"/>
      <c r="S47" s="18"/>
      <c r="T47" s="18"/>
      <c r="U47" s="18"/>
      <c r="V47" s="18">
        <f t="shared" si="20"/>
        <v>0</v>
      </c>
      <c r="W47" s="18">
        <f t="shared" si="21"/>
        <v>0</v>
      </c>
      <c r="X47" s="1"/>
      <c r="Y47" s="1"/>
    </row>
    <row r="48" spans="1:25" ht="56.25">
      <c r="A48" s="16">
        <v>34</v>
      </c>
      <c r="B48" s="60" t="s">
        <v>68</v>
      </c>
      <c r="C48" s="54" t="s">
        <v>93</v>
      </c>
      <c r="D48" s="47" t="s">
        <v>112</v>
      </c>
      <c r="E48" s="48">
        <v>1.2762</v>
      </c>
      <c r="F48" s="62">
        <v>917203.41</v>
      </c>
      <c r="G48" s="62">
        <f t="shared" si="18"/>
        <v>1170534.99</v>
      </c>
      <c r="H48" s="65"/>
      <c r="I48" s="27"/>
      <c r="J48" s="65"/>
      <c r="K48" s="27"/>
      <c r="L48" s="65"/>
      <c r="M48" s="27"/>
      <c r="N48" s="70">
        <v>1.2762</v>
      </c>
      <c r="O48" s="18">
        <f t="shared" si="19"/>
        <v>1170534.99</v>
      </c>
      <c r="P48" s="70"/>
      <c r="Q48" s="18"/>
      <c r="R48" s="18"/>
      <c r="S48" s="18"/>
      <c r="T48" s="18"/>
      <c r="U48" s="18"/>
      <c r="V48" s="18">
        <f t="shared" si="20"/>
        <v>0</v>
      </c>
      <c r="W48" s="18">
        <f t="shared" si="21"/>
        <v>0</v>
      </c>
      <c r="X48" s="1"/>
      <c r="Y48" s="1"/>
    </row>
    <row r="49" spans="1:25" ht="22.5">
      <c r="A49" s="16">
        <v>35</v>
      </c>
      <c r="B49" s="60" t="s">
        <v>136</v>
      </c>
      <c r="C49" s="54" t="s">
        <v>137</v>
      </c>
      <c r="D49" s="47" t="s">
        <v>112</v>
      </c>
      <c r="E49" s="63">
        <v>0.43643999999999999</v>
      </c>
      <c r="F49" s="62">
        <v>44879.44</v>
      </c>
      <c r="G49" s="62">
        <f t="shared" si="18"/>
        <v>19587.18</v>
      </c>
      <c r="H49" s="65"/>
      <c r="I49" s="27"/>
      <c r="J49" s="65"/>
      <c r="K49" s="27"/>
      <c r="L49" s="65"/>
      <c r="M49" s="27"/>
      <c r="N49" s="65"/>
      <c r="O49" s="27"/>
      <c r="P49" s="126">
        <v>0.43643999999999999</v>
      </c>
      <c r="Q49" s="27">
        <f>ROUND((P49*F49),2)</f>
        <v>19587.18</v>
      </c>
      <c r="R49" s="27"/>
      <c r="S49" s="27"/>
      <c r="T49" s="27"/>
      <c r="U49" s="27"/>
      <c r="V49" s="27">
        <f t="shared" ref="V49" si="22">E49-H49</f>
        <v>0.43643999999999999</v>
      </c>
      <c r="W49" s="27">
        <f t="shared" ref="W49" si="23">G49-I49</f>
        <v>19587.18</v>
      </c>
      <c r="X49" s="1"/>
      <c r="Y49" s="1"/>
    </row>
    <row r="50" spans="1:25" ht="15">
      <c r="A50" s="16"/>
      <c r="B50" s="24"/>
      <c r="C50" s="10" t="s">
        <v>33</v>
      </c>
      <c r="D50" s="25"/>
      <c r="E50" s="22"/>
      <c r="F50" s="23"/>
      <c r="G50" s="161">
        <f>SUM(G43:G49)</f>
        <v>3947974.03</v>
      </c>
      <c r="H50" s="23"/>
      <c r="I50" s="40">
        <f>SUM(I43:I48)</f>
        <v>0</v>
      </c>
      <c r="J50" s="23"/>
      <c r="K50" s="40">
        <f>SUM(K43:K48)</f>
        <v>0</v>
      </c>
      <c r="L50" s="23"/>
      <c r="M50" s="40">
        <f>SUM(M43:M48)</f>
        <v>0</v>
      </c>
      <c r="N50" s="23"/>
      <c r="O50" s="40">
        <f>SUM(O43:O48)</f>
        <v>3904804.8499999996</v>
      </c>
      <c r="P50" s="23"/>
      <c r="Q50" s="40">
        <f>SUM(Q43:Q49)</f>
        <v>43169.18</v>
      </c>
      <c r="R50" s="40"/>
      <c r="S50" s="40"/>
      <c r="T50" s="40"/>
      <c r="U50" s="40"/>
      <c r="V50" s="23"/>
      <c r="W50" s="40">
        <f>SUM(W43:W49)</f>
        <v>19587.180000000055</v>
      </c>
      <c r="X50" s="36"/>
      <c r="Y50" s="36"/>
    </row>
    <row r="51" spans="1:25" ht="15">
      <c r="A51" s="139" t="s">
        <v>138</v>
      </c>
      <c r="B51" s="140"/>
      <c r="C51" s="140"/>
      <c r="D51" s="140"/>
      <c r="E51" s="140"/>
      <c r="F51" s="140"/>
      <c r="G51" s="141"/>
      <c r="H51" s="20"/>
      <c r="I51" s="21"/>
      <c r="J51" s="20"/>
      <c r="K51" s="21"/>
      <c r="L51" s="20"/>
      <c r="M51" s="21"/>
      <c r="N51" s="20"/>
      <c r="O51" s="21"/>
      <c r="P51" s="20"/>
      <c r="Q51" s="21"/>
      <c r="R51" s="21"/>
      <c r="S51" s="21"/>
      <c r="T51" s="21"/>
      <c r="U51" s="21"/>
      <c r="V51" s="21"/>
      <c r="W51" s="21"/>
      <c r="X51" s="1"/>
      <c r="Y51" s="1"/>
    </row>
    <row r="52" spans="1:25" ht="33.75">
      <c r="A52" s="16">
        <v>36</v>
      </c>
      <c r="B52" s="60" t="s">
        <v>24</v>
      </c>
      <c r="C52" s="67" t="s">
        <v>139</v>
      </c>
      <c r="D52" s="47" t="s">
        <v>112</v>
      </c>
      <c r="E52" s="68">
        <v>0</v>
      </c>
      <c r="F52" s="62">
        <v>44879.47</v>
      </c>
      <c r="G52" s="62">
        <f>ROUND((F52*E52),2)</f>
        <v>0</v>
      </c>
      <c r="H52" s="64"/>
      <c r="I52" s="18"/>
      <c r="J52" s="64"/>
      <c r="K52" s="18"/>
      <c r="L52" s="64"/>
      <c r="M52" s="18"/>
      <c r="N52" s="64"/>
      <c r="O52" s="18"/>
      <c r="P52" s="64"/>
      <c r="Q52" s="18"/>
      <c r="R52" s="18"/>
      <c r="S52" s="18"/>
      <c r="T52" s="18"/>
      <c r="U52" s="18"/>
      <c r="V52" s="32">
        <f t="shared" ref="V52" si="24">E52-H52</f>
        <v>0</v>
      </c>
      <c r="W52" s="18">
        <f t="shared" ref="W52" si="25">G52-I52</f>
        <v>0</v>
      </c>
      <c r="X52" s="1"/>
      <c r="Y52" s="1"/>
    </row>
    <row r="53" spans="1:25" ht="15">
      <c r="A53" s="16"/>
      <c r="B53" s="9"/>
      <c r="C53" s="10" t="s">
        <v>34</v>
      </c>
      <c r="D53" s="11"/>
      <c r="E53" s="26"/>
      <c r="F53" s="27"/>
      <c r="G53" s="162">
        <f>SUM(G52:G52)</f>
        <v>0</v>
      </c>
      <c r="H53" s="27"/>
      <c r="I53" s="41">
        <f>SUM(I52:I52)</f>
        <v>0</v>
      </c>
      <c r="J53" s="27"/>
      <c r="K53" s="41">
        <f>SUM(K52:K52)</f>
        <v>0</v>
      </c>
      <c r="L53" s="27"/>
      <c r="M53" s="41">
        <f>SUM(M52:M52)</f>
        <v>0</v>
      </c>
      <c r="N53" s="27"/>
      <c r="O53" s="41">
        <f>SUM(O52:O52)</f>
        <v>0</v>
      </c>
      <c r="P53" s="27"/>
      <c r="Q53" s="41">
        <f>SUM(Q52:Q52)</f>
        <v>0</v>
      </c>
      <c r="R53" s="41"/>
      <c r="S53" s="41"/>
      <c r="T53" s="41"/>
      <c r="U53" s="41"/>
      <c r="V53" s="28"/>
      <c r="W53" s="41">
        <f>SUM(W52:W52)</f>
        <v>0</v>
      </c>
      <c r="X53" s="35"/>
      <c r="Y53" s="35"/>
    </row>
    <row r="54" spans="1:25" ht="15">
      <c r="A54" s="145" t="s">
        <v>140</v>
      </c>
      <c r="B54" s="145"/>
      <c r="C54" s="145"/>
      <c r="D54" s="145"/>
      <c r="E54" s="145"/>
      <c r="F54" s="145"/>
      <c r="G54" s="145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1"/>
      <c r="Y54" s="1"/>
    </row>
    <row r="55" spans="1:25" ht="56.25">
      <c r="A55" s="69">
        <v>37</v>
      </c>
      <c r="B55" s="60" t="s">
        <v>25</v>
      </c>
      <c r="C55" s="44" t="s">
        <v>141</v>
      </c>
      <c r="D55" s="45" t="s">
        <v>109</v>
      </c>
      <c r="E55" s="109">
        <v>0.62458000000000002</v>
      </c>
      <c r="F55" s="62">
        <v>365932.16</v>
      </c>
      <c r="G55" s="62">
        <f>ROUND((F55*E55),2)</f>
        <v>228553.91</v>
      </c>
      <c r="H55" s="65"/>
      <c r="I55" s="18"/>
      <c r="J55" s="65"/>
      <c r="K55" s="18"/>
      <c r="L55" s="65"/>
      <c r="M55" s="18"/>
      <c r="N55" s="126">
        <v>0.62458000000000002</v>
      </c>
      <c r="O55" s="18">
        <f>ROUND((N55*F55),2)</f>
        <v>228553.91</v>
      </c>
      <c r="P55" s="126"/>
      <c r="Q55" s="18"/>
      <c r="R55" s="27"/>
      <c r="S55" s="27"/>
      <c r="T55" s="27"/>
      <c r="U55" s="27"/>
      <c r="V55" s="27">
        <f>E55-H55-N55</f>
        <v>0</v>
      </c>
      <c r="W55" s="18">
        <f>G55-I55-O55</f>
        <v>0</v>
      </c>
      <c r="X55" s="1"/>
      <c r="Y55" s="1"/>
    </row>
    <row r="56" spans="1:25" ht="45">
      <c r="A56" s="69">
        <v>38</v>
      </c>
      <c r="B56" s="60" t="s">
        <v>49</v>
      </c>
      <c r="C56" s="44" t="s">
        <v>135</v>
      </c>
      <c r="D56" s="47" t="s">
        <v>112</v>
      </c>
      <c r="E56" s="63">
        <v>3.1229100000000001</v>
      </c>
      <c r="F56" s="62">
        <v>659697.78</v>
      </c>
      <c r="G56" s="62">
        <f t="shared" ref="G56:G67" si="26">ROUND((F56*E56),2)</f>
        <v>2060176.79</v>
      </c>
      <c r="H56" s="65"/>
      <c r="I56" s="27"/>
      <c r="J56" s="65"/>
      <c r="K56" s="27"/>
      <c r="L56" s="65"/>
      <c r="M56" s="27"/>
      <c r="N56" s="126">
        <v>3.1229100000000001</v>
      </c>
      <c r="O56" s="18">
        <f>ROUND((N56*F56),2)+0.01</f>
        <v>2060176.8</v>
      </c>
      <c r="P56" s="126"/>
      <c r="Q56" s="18"/>
      <c r="R56" s="27"/>
      <c r="S56" s="27"/>
      <c r="T56" s="27"/>
      <c r="U56" s="27"/>
      <c r="V56" s="27">
        <f t="shared" ref="V56:V62" si="27">E56-H56-N56</f>
        <v>0</v>
      </c>
      <c r="W56" s="18">
        <f t="shared" ref="W56:W62" si="28">G56-I56-O56</f>
        <v>-1.0000000009313226E-2</v>
      </c>
      <c r="X56" s="1"/>
      <c r="Y56" s="1"/>
    </row>
    <row r="57" spans="1:25" ht="33.75">
      <c r="A57" s="69">
        <v>39</v>
      </c>
      <c r="B57" s="60" t="s">
        <v>50</v>
      </c>
      <c r="C57" s="54" t="s">
        <v>117</v>
      </c>
      <c r="D57" s="47" t="s">
        <v>89</v>
      </c>
      <c r="E57" s="50">
        <v>2.4980000000000002</v>
      </c>
      <c r="F57" s="62">
        <v>23492.97</v>
      </c>
      <c r="G57" s="62">
        <f t="shared" si="26"/>
        <v>58685.440000000002</v>
      </c>
      <c r="H57" s="70"/>
      <c r="I57" s="27"/>
      <c r="J57" s="70"/>
      <c r="K57" s="27"/>
      <c r="L57" s="70"/>
      <c r="M57" s="27"/>
      <c r="N57" s="66">
        <v>2.4980000000000002</v>
      </c>
      <c r="O57" s="18">
        <f>ROUND((N57*F57),2)-0.01</f>
        <v>58685.43</v>
      </c>
      <c r="P57" s="66"/>
      <c r="Q57" s="18"/>
      <c r="R57" s="27"/>
      <c r="S57" s="27"/>
      <c r="T57" s="27"/>
      <c r="U57" s="27"/>
      <c r="V57" s="27">
        <f t="shared" si="27"/>
        <v>0</v>
      </c>
      <c r="W57" s="18">
        <f t="shared" si="28"/>
        <v>1.0000000002037268E-2</v>
      </c>
      <c r="X57" s="1"/>
      <c r="Y57" s="1"/>
    </row>
    <row r="58" spans="1:25" ht="45">
      <c r="A58" s="69">
        <v>40</v>
      </c>
      <c r="B58" s="60" t="s">
        <v>51</v>
      </c>
      <c r="C58" s="61" t="s">
        <v>118</v>
      </c>
      <c r="D58" s="49" t="s">
        <v>90</v>
      </c>
      <c r="E58" s="48">
        <v>5.5023</v>
      </c>
      <c r="F58" s="62">
        <v>763141.1</v>
      </c>
      <c r="G58" s="62">
        <f t="shared" si="26"/>
        <v>4199031.2699999996</v>
      </c>
      <c r="H58" s="65"/>
      <c r="I58" s="27"/>
      <c r="J58" s="65"/>
      <c r="K58" s="27"/>
      <c r="L58" s="65"/>
      <c r="M58" s="27"/>
      <c r="N58" s="70">
        <v>5.5130999999999997</v>
      </c>
      <c r="O58" s="18">
        <f>ROUND((N58*F58),2)-0.02</f>
        <v>4207273.1800000006</v>
      </c>
      <c r="P58" s="70">
        <v>-1.0800000000000001E-2</v>
      </c>
      <c r="Q58" s="18">
        <f>ROUND((P58*F58),2)-0.01</f>
        <v>-8241.93</v>
      </c>
      <c r="R58" s="27"/>
      <c r="S58" s="27"/>
      <c r="T58" s="27"/>
      <c r="U58" s="27"/>
      <c r="V58" s="27">
        <f>E58-H58-N58-P58</f>
        <v>3.0184188481996443E-16</v>
      </c>
      <c r="W58" s="18">
        <f>G58-I58-O58-P58</f>
        <v>-8241.8992000010803</v>
      </c>
      <c r="X58" s="1"/>
      <c r="Y58" s="1"/>
    </row>
    <row r="59" spans="1:25" ht="33.75">
      <c r="A59" s="69">
        <v>41</v>
      </c>
      <c r="B59" s="60" t="s">
        <v>70</v>
      </c>
      <c r="C59" s="54" t="s">
        <v>91</v>
      </c>
      <c r="D59" s="47" t="s">
        <v>89</v>
      </c>
      <c r="E59" s="50">
        <v>0.95499999999999996</v>
      </c>
      <c r="F59" s="62">
        <v>23492.98</v>
      </c>
      <c r="G59" s="62">
        <f t="shared" si="26"/>
        <v>22435.8</v>
      </c>
      <c r="H59" s="65"/>
      <c r="I59" s="27"/>
      <c r="J59" s="65"/>
      <c r="K59" s="27"/>
      <c r="L59" s="65"/>
      <c r="M59" s="27"/>
      <c r="N59" s="66">
        <v>0.95499999999999996</v>
      </c>
      <c r="O59" s="18">
        <f t="shared" ref="O59:O62" si="29">ROUND((N59*F59),2)</f>
        <v>22435.8</v>
      </c>
      <c r="P59" s="66"/>
      <c r="Q59" s="18"/>
      <c r="R59" s="27"/>
      <c r="S59" s="27"/>
      <c r="T59" s="27"/>
      <c r="U59" s="27"/>
      <c r="V59" s="27">
        <f t="shared" si="27"/>
        <v>0</v>
      </c>
      <c r="W59" s="18">
        <f t="shared" si="28"/>
        <v>0</v>
      </c>
      <c r="X59" s="1"/>
      <c r="Y59" s="1"/>
    </row>
    <row r="60" spans="1:25" ht="56.25">
      <c r="A60" s="69">
        <v>42</v>
      </c>
      <c r="B60" s="60" t="s">
        <v>71</v>
      </c>
      <c r="C60" s="54" t="s">
        <v>93</v>
      </c>
      <c r="D60" s="47" t="s">
        <v>112</v>
      </c>
      <c r="E60" s="48">
        <v>3.1838000000000002</v>
      </c>
      <c r="F60" s="62">
        <v>917203.41</v>
      </c>
      <c r="G60" s="62">
        <f t="shared" si="26"/>
        <v>2920192.22</v>
      </c>
      <c r="H60" s="65"/>
      <c r="I60" s="27"/>
      <c r="J60" s="65"/>
      <c r="K60" s="27"/>
      <c r="L60" s="65"/>
      <c r="M60" s="27"/>
      <c r="N60" s="70">
        <v>3.1838000000000002</v>
      </c>
      <c r="O60" s="18">
        <f t="shared" si="29"/>
        <v>2920192.22</v>
      </c>
      <c r="P60" s="70"/>
      <c r="Q60" s="18"/>
      <c r="R60" s="27"/>
      <c r="S60" s="27"/>
      <c r="T60" s="27"/>
      <c r="U60" s="27"/>
      <c r="V60" s="27">
        <f t="shared" si="27"/>
        <v>0</v>
      </c>
      <c r="W60" s="18">
        <f t="shared" si="28"/>
        <v>0</v>
      </c>
      <c r="X60" s="1"/>
      <c r="Y60" s="1"/>
    </row>
    <row r="61" spans="1:25" ht="33.75">
      <c r="A61" s="69">
        <v>43</v>
      </c>
      <c r="B61" s="60" t="s">
        <v>72</v>
      </c>
      <c r="C61" s="44" t="s">
        <v>73</v>
      </c>
      <c r="D61" s="45" t="s">
        <v>109</v>
      </c>
      <c r="E61" s="63">
        <v>7.5310000000000002E-2</v>
      </c>
      <c r="F61" s="62">
        <v>84514.29</v>
      </c>
      <c r="G61" s="62">
        <f t="shared" si="26"/>
        <v>6364.77</v>
      </c>
      <c r="H61" s="65"/>
      <c r="I61" s="27"/>
      <c r="J61" s="65"/>
      <c r="K61" s="27"/>
      <c r="L61" s="65"/>
      <c r="M61" s="27"/>
      <c r="N61" s="70">
        <v>7.4200000000000002E-2</v>
      </c>
      <c r="O61" s="18">
        <f t="shared" si="29"/>
        <v>6270.96</v>
      </c>
      <c r="P61" s="70"/>
      <c r="Q61" s="18"/>
      <c r="R61" s="27"/>
      <c r="S61" s="27"/>
      <c r="T61" s="27"/>
      <c r="U61" s="27"/>
      <c r="V61" s="27">
        <f t="shared" si="27"/>
        <v>1.1099999999999999E-3</v>
      </c>
      <c r="W61" s="18">
        <f t="shared" si="28"/>
        <v>93.8100000000004</v>
      </c>
      <c r="X61" s="1"/>
      <c r="Y61" s="1"/>
    </row>
    <row r="62" spans="1:25" ht="45">
      <c r="A62" s="69">
        <v>44</v>
      </c>
      <c r="B62" s="60" t="s">
        <v>74</v>
      </c>
      <c r="C62" s="44" t="s">
        <v>142</v>
      </c>
      <c r="D62" s="45" t="s">
        <v>120</v>
      </c>
      <c r="E62" s="48">
        <v>0.2152</v>
      </c>
      <c r="F62" s="62">
        <v>403570.79</v>
      </c>
      <c r="G62" s="62">
        <f t="shared" si="26"/>
        <v>86848.43</v>
      </c>
      <c r="H62" s="65"/>
      <c r="I62" s="27"/>
      <c r="J62" s="65"/>
      <c r="K62" s="27"/>
      <c r="L62" s="65"/>
      <c r="M62" s="27"/>
      <c r="N62" s="70">
        <v>0.2152</v>
      </c>
      <c r="O62" s="18">
        <f t="shared" si="29"/>
        <v>86848.43</v>
      </c>
      <c r="P62" s="70"/>
      <c r="Q62" s="18"/>
      <c r="R62" s="27"/>
      <c r="S62" s="27"/>
      <c r="T62" s="27"/>
      <c r="U62" s="27"/>
      <c r="V62" s="27">
        <f t="shared" si="27"/>
        <v>0</v>
      </c>
      <c r="W62" s="18">
        <f t="shared" si="28"/>
        <v>0</v>
      </c>
      <c r="X62" s="1"/>
      <c r="Y62" s="1"/>
    </row>
    <row r="63" spans="1:25" ht="22.5">
      <c r="A63" s="69">
        <v>45</v>
      </c>
      <c r="B63" s="60" t="s">
        <v>75</v>
      </c>
      <c r="C63" s="44" t="s">
        <v>143</v>
      </c>
      <c r="D63" s="47" t="s">
        <v>69</v>
      </c>
      <c r="E63" s="51">
        <v>0</v>
      </c>
      <c r="F63" s="62">
        <v>181143.24</v>
      </c>
      <c r="G63" s="62">
        <f t="shared" si="26"/>
        <v>0</v>
      </c>
      <c r="H63" s="70"/>
      <c r="I63" s="27"/>
      <c r="J63" s="70"/>
      <c r="K63" s="27"/>
      <c r="L63" s="70"/>
      <c r="M63" s="27"/>
      <c r="N63" s="70"/>
      <c r="O63" s="27"/>
      <c r="P63" s="70"/>
      <c r="Q63" s="27"/>
      <c r="R63" s="27"/>
      <c r="S63" s="27"/>
      <c r="T63" s="27"/>
      <c r="U63" s="27"/>
      <c r="V63" s="34">
        <f>E63-H63</f>
        <v>0</v>
      </c>
      <c r="W63" s="18">
        <f>G63-I63</f>
        <v>0</v>
      </c>
      <c r="X63" s="1"/>
      <c r="Y63" s="1"/>
    </row>
    <row r="64" spans="1:25" ht="22.5">
      <c r="A64" s="69">
        <v>46</v>
      </c>
      <c r="B64" s="136" t="s">
        <v>448</v>
      </c>
      <c r="C64" s="137" t="s">
        <v>168</v>
      </c>
      <c r="D64" s="47" t="s">
        <v>69</v>
      </c>
      <c r="E64" s="51">
        <v>6.13</v>
      </c>
      <c r="F64" s="62">
        <v>156045.11092985299</v>
      </c>
      <c r="G64" s="62">
        <f t="shared" ref="G64" si="30">ROUND((F64*E64),2)</f>
        <v>956556.53</v>
      </c>
      <c r="H64" s="70"/>
      <c r="I64" s="27"/>
      <c r="J64" s="70"/>
      <c r="K64" s="27"/>
      <c r="L64" s="70"/>
      <c r="M64" s="27"/>
      <c r="N64" s="70"/>
      <c r="O64" s="27"/>
      <c r="P64" s="70"/>
      <c r="Q64" s="27"/>
      <c r="R64" s="27"/>
      <c r="S64" s="27"/>
      <c r="T64" s="27"/>
      <c r="U64" s="27"/>
      <c r="V64" s="34"/>
      <c r="W64" s="18"/>
      <c r="X64" s="1"/>
      <c r="Y64" s="1"/>
    </row>
    <row r="65" spans="1:25" ht="33.75">
      <c r="A65" s="69">
        <v>47</v>
      </c>
      <c r="B65" s="60" t="s">
        <v>76</v>
      </c>
      <c r="C65" s="44" t="s">
        <v>144</v>
      </c>
      <c r="D65" s="45" t="s">
        <v>120</v>
      </c>
      <c r="E65" s="50">
        <v>0</v>
      </c>
      <c r="F65" s="62">
        <v>53485.32</v>
      </c>
      <c r="G65" s="62">
        <f t="shared" si="26"/>
        <v>0</v>
      </c>
      <c r="H65" s="66"/>
      <c r="I65" s="27"/>
      <c r="J65" s="66"/>
      <c r="K65" s="27"/>
      <c r="L65" s="66"/>
      <c r="M65" s="27"/>
      <c r="N65" s="66"/>
      <c r="O65" s="27"/>
      <c r="P65" s="66"/>
      <c r="Q65" s="27"/>
      <c r="R65" s="27"/>
      <c r="S65" s="27"/>
      <c r="T65" s="27"/>
      <c r="U65" s="27"/>
      <c r="V65" s="28">
        <f>E65-H65</f>
        <v>0</v>
      </c>
      <c r="W65" s="18">
        <f>G65-I65</f>
        <v>0</v>
      </c>
      <c r="X65" s="1"/>
      <c r="Y65" s="1"/>
    </row>
    <row r="66" spans="1:25" ht="78.75">
      <c r="A66" s="69">
        <v>48</v>
      </c>
      <c r="B66" s="60" t="s">
        <v>78</v>
      </c>
      <c r="C66" s="44" t="s">
        <v>145</v>
      </c>
      <c r="D66" s="47" t="s">
        <v>62</v>
      </c>
      <c r="E66" s="51">
        <v>0</v>
      </c>
      <c r="F66" s="62">
        <v>50916.65</v>
      </c>
      <c r="G66" s="62">
        <f t="shared" si="26"/>
        <v>0</v>
      </c>
      <c r="H66" s="65"/>
      <c r="I66" s="27"/>
      <c r="J66" s="65"/>
      <c r="K66" s="27"/>
      <c r="L66" s="65"/>
      <c r="M66" s="27"/>
      <c r="N66" s="65"/>
      <c r="O66" s="27"/>
      <c r="P66" s="65"/>
      <c r="Q66" s="27"/>
      <c r="R66" s="27"/>
      <c r="S66" s="27"/>
      <c r="T66" s="27"/>
      <c r="U66" s="27"/>
      <c r="V66" s="27">
        <f>E66-H66</f>
        <v>0</v>
      </c>
      <c r="W66" s="18">
        <f>G66-I66</f>
        <v>0</v>
      </c>
      <c r="X66" s="1"/>
      <c r="Y66" s="1"/>
    </row>
    <row r="67" spans="1:25" ht="45">
      <c r="A67" s="69">
        <v>49</v>
      </c>
      <c r="B67" s="60" t="s">
        <v>79</v>
      </c>
      <c r="C67" s="44" t="s">
        <v>146</v>
      </c>
      <c r="D67" s="47" t="s">
        <v>62</v>
      </c>
      <c r="E67" s="51">
        <v>0</v>
      </c>
      <c r="F67" s="62">
        <v>7909.15</v>
      </c>
      <c r="G67" s="62">
        <f t="shared" si="26"/>
        <v>0</v>
      </c>
      <c r="H67" s="66"/>
      <c r="I67" s="27"/>
      <c r="J67" s="66"/>
      <c r="K67" s="27"/>
      <c r="L67" s="66"/>
      <c r="M67" s="27"/>
      <c r="N67" s="66"/>
      <c r="O67" s="27"/>
      <c r="P67" s="66"/>
      <c r="Q67" s="27"/>
      <c r="R67" s="27"/>
      <c r="S67" s="27"/>
      <c r="T67" s="27"/>
      <c r="U67" s="27"/>
      <c r="V67" s="28">
        <f>E67-H67</f>
        <v>0</v>
      </c>
      <c r="W67" s="18">
        <f>G67-I67</f>
        <v>0</v>
      </c>
      <c r="X67" s="1"/>
      <c r="Y67" s="1"/>
    </row>
    <row r="68" spans="1:25" ht="15">
      <c r="A68" s="30"/>
      <c r="B68" s="9"/>
      <c r="C68" s="10" t="s">
        <v>35</v>
      </c>
      <c r="D68" s="11"/>
      <c r="E68" s="30"/>
      <c r="F68" s="30"/>
      <c r="G68" s="163">
        <f>SUM(G55:G67)</f>
        <v>10538845.159999998</v>
      </c>
      <c r="H68" s="29"/>
      <c r="I68" s="41">
        <f>SUM(I55:I67)</f>
        <v>0</v>
      </c>
      <c r="J68" s="29"/>
      <c r="K68" s="41">
        <f>SUM(K55:K67)</f>
        <v>0</v>
      </c>
      <c r="L68" s="29"/>
      <c r="M68" s="41">
        <f>SUM(M55:M67)</f>
        <v>0</v>
      </c>
      <c r="N68" s="29"/>
      <c r="O68" s="41">
        <f>SUM(O55:O67)</f>
        <v>9590436.7300000004</v>
      </c>
      <c r="P68" s="29"/>
      <c r="Q68" s="41">
        <f>SUM(Q55:Q67)</f>
        <v>-8241.93</v>
      </c>
      <c r="R68" s="41"/>
      <c r="S68" s="41"/>
      <c r="T68" s="41"/>
      <c r="U68" s="41"/>
      <c r="V68" s="29"/>
      <c r="W68" s="31">
        <f>SUM(W55:W67)</f>
        <v>-8148.0892000010872</v>
      </c>
      <c r="X68" s="35"/>
      <c r="Y68" s="35"/>
    </row>
    <row r="69" spans="1:25" ht="15">
      <c r="A69" s="145" t="s">
        <v>147</v>
      </c>
      <c r="B69" s="145"/>
      <c r="C69" s="145"/>
      <c r="D69" s="145"/>
      <c r="E69" s="145"/>
      <c r="F69" s="145"/>
      <c r="G69" s="145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1"/>
      <c r="Y69" s="1"/>
    </row>
    <row r="70" spans="1:25" ht="45">
      <c r="A70" s="69">
        <v>49</v>
      </c>
      <c r="B70" s="60" t="s">
        <v>26</v>
      </c>
      <c r="C70" s="44" t="s">
        <v>148</v>
      </c>
      <c r="D70" s="45" t="s">
        <v>109</v>
      </c>
      <c r="E70" s="109">
        <v>0.22516</v>
      </c>
      <c r="F70" s="62">
        <v>403612.15</v>
      </c>
      <c r="G70" s="62">
        <f>ROUND((F70*E70),2)</f>
        <v>90877.31</v>
      </c>
      <c r="H70" s="65"/>
      <c r="I70" s="18"/>
      <c r="J70" s="65"/>
      <c r="K70" s="18"/>
      <c r="L70" s="65"/>
      <c r="M70" s="18"/>
      <c r="N70" s="65"/>
      <c r="O70" s="18"/>
      <c r="P70" s="70">
        <v>0.2016</v>
      </c>
      <c r="Q70" s="18">
        <f>ROUND((P70*F70),2)</f>
        <v>81368.210000000006</v>
      </c>
      <c r="R70" s="27"/>
      <c r="S70" s="27"/>
      <c r="T70" s="27"/>
      <c r="U70" s="27"/>
      <c r="V70" s="27">
        <f>E70-H70-P70</f>
        <v>2.3559999999999998E-2</v>
      </c>
      <c r="W70" s="18">
        <f>G70-I70-Q70</f>
        <v>9509.0999999999913</v>
      </c>
      <c r="X70" s="1"/>
      <c r="Y70" s="1"/>
    </row>
    <row r="71" spans="1:25" ht="45">
      <c r="A71" s="69">
        <v>50</v>
      </c>
      <c r="B71" s="60" t="s">
        <v>36</v>
      </c>
      <c r="C71" s="44" t="s">
        <v>135</v>
      </c>
      <c r="D71" s="47" t="s">
        <v>112</v>
      </c>
      <c r="E71" s="48">
        <v>1.5011000000000001</v>
      </c>
      <c r="F71" s="62">
        <v>659697.81000000006</v>
      </c>
      <c r="G71" s="62">
        <f t="shared" ref="G71:G76" si="31">ROUND((F71*E71),2)</f>
        <v>990272.38</v>
      </c>
      <c r="H71" s="65"/>
      <c r="I71" s="18"/>
      <c r="J71" s="65"/>
      <c r="K71" s="18"/>
      <c r="L71" s="65"/>
      <c r="M71" s="18"/>
      <c r="N71" s="65"/>
      <c r="O71" s="18"/>
      <c r="P71" s="66">
        <v>1.3440000000000001</v>
      </c>
      <c r="Q71" s="18">
        <f t="shared" ref="Q71:Q76" si="32">ROUND((P71*F71),2)</f>
        <v>886633.86</v>
      </c>
      <c r="R71" s="27"/>
      <c r="S71" s="27"/>
      <c r="T71" s="27"/>
      <c r="U71" s="27"/>
      <c r="V71" s="27">
        <f t="shared" ref="V71:V76" si="33">E71-H71-P71</f>
        <v>0.15710000000000002</v>
      </c>
      <c r="W71" s="18">
        <f t="shared" ref="W71:W76" si="34">G71-I71-Q71</f>
        <v>103638.52000000002</v>
      </c>
      <c r="X71" s="1"/>
      <c r="Y71" s="1"/>
    </row>
    <row r="72" spans="1:25" ht="33.75">
      <c r="A72" s="69">
        <v>51</v>
      </c>
      <c r="B72" s="60" t="s">
        <v>37</v>
      </c>
      <c r="C72" s="54" t="s">
        <v>117</v>
      </c>
      <c r="D72" s="47" t="s">
        <v>89</v>
      </c>
      <c r="E72" s="48">
        <v>1.2010000000000001</v>
      </c>
      <c r="F72" s="62">
        <v>23492.98</v>
      </c>
      <c r="G72" s="62">
        <f t="shared" si="31"/>
        <v>28215.07</v>
      </c>
      <c r="H72" s="65"/>
      <c r="I72" s="18"/>
      <c r="J72" s="65"/>
      <c r="K72" s="18"/>
      <c r="L72" s="65"/>
      <c r="M72" s="18"/>
      <c r="N72" s="65"/>
      <c r="O72" s="18"/>
      <c r="P72" s="70">
        <v>1.0751999999999999</v>
      </c>
      <c r="Q72" s="18">
        <f t="shared" si="32"/>
        <v>25259.65</v>
      </c>
      <c r="R72" s="27"/>
      <c r="S72" s="27"/>
      <c r="T72" s="27"/>
      <c r="U72" s="27"/>
      <c r="V72" s="27">
        <f t="shared" si="33"/>
        <v>0.12580000000000013</v>
      </c>
      <c r="W72" s="18">
        <f t="shared" si="34"/>
        <v>2955.4199999999983</v>
      </c>
      <c r="X72" s="1"/>
      <c r="Y72" s="1"/>
    </row>
    <row r="73" spans="1:25" ht="45">
      <c r="A73" s="69">
        <v>52</v>
      </c>
      <c r="B73" s="60" t="s">
        <v>38</v>
      </c>
      <c r="C73" s="61" t="s">
        <v>118</v>
      </c>
      <c r="D73" s="49" t="s">
        <v>90</v>
      </c>
      <c r="E73" s="48">
        <v>2.5116999999999998</v>
      </c>
      <c r="F73" s="62">
        <v>763141.09</v>
      </c>
      <c r="G73" s="62">
        <f t="shared" si="31"/>
        <v>1916781.48</v>
      </c>
      <c r="H73" s="65"/>
      <c r="I73" s="18"/>
      <c r="J73" s="65"/>
      <c r="K73" s="18"/>
      <c r="L73" s="65"/>
      <c r="M73" s="18"/>
      <c r="N73" s="65"/>
      <c r="O73" s="18"/>
      <c r="P73" s="128">
        <v>2.2540224000000002</v>
      </c>
      <c r="Q73" s="18">
        <f t="shared" si="32"/>
        <v>1720137.11</v>
      </c>
      <c r="R73" s="27"/>
      <c r="S73" s="27"/>
      <c r="T73" s="27"/>
      <c r="U73" s="27"/>
      <c r="V73" s="27">
        <f t="shared" si="33"/>
        <v>0.25767759999999962</v>
      </c>
      <c r="W73" s="18">
        <f t="shared" si="34"/>
        <v>196644.36999999988</v>
      </c>
      <c r="X73" s="1"/>
      <c r="Y73" s="1"/>
    </row>
    <row r="74" spans="1:25" ht="33.75">
      <c r="A74" s="69">
        <v>53</v>
      </c>
      <c r="B74" s="60" t="s">
        <v>149</v>
      </c>
      <c r="C74" s="54" t="s">
        <v>150</v>
      </c>
      <c r="D74" s="47" t="s">
        <v>89</v>
      </c>
      <c r="E74" s="50">
        <v>0.41799999999999998</v>
      </c>
      <c r="F74" s="62">
        <v>23492.93</v>
      </c>
      <c r="G74" s="62">
        <f t="shared" si="31"/>
        <v>9820.0400000000009</v>
      </c>
      <c r="H74" s="65"/>
      <c r="I74" s="27"/>
      <c r="J74" s="65"/>
      <c r="K74" s="27"/>
      <c r="L74" s="65"/>
      <c r="M74" s="27"/>
      <c r="N74" s="65"/>
      <c r="O74" s="27"/>
      <c r="P74" s="70">
        <v>0.4032</v>
      </c>
      <c r="Q74" s="18">
        <f t="shared" si="32"/>
        <v>9472.35</v>
      </c>
      <c r="R74" s="27"/>
      <c r="S74" s="27"/>
      <c r="T74" s="27"/>
      <c r="U74" s="27"/>
      <c r="V74" s="27">
        <f t="shared" si="33"/>
        <v>1.479999999999998E-2</v>
      </c>
      <c r="W74" s="18">
        <f t="shared" si="34"/>
        <v>347.69000000000051</v>
      </c>
      <c r="X74" s="1"/>
      <c r="Y74" s="1"/>
    </row>
    <row r="75" spans="1:25" ht="56.25">
      <c r="A75" s="69">
        <v>54</v>
      </c>
      <c r="B75" s="60" t="s">
        <v>151</v>
      </c>
      <c r="C75" s="54" t="s">
        <v>93</v>
      </c>
      <c r="D75" s="47" t="s">
        <v>112</v>
      </c>
      <c r="E75" s="63">
        <v>1.3880699999999999</v>
      </c>
      <c r="F75" s="62">
        <v>917203.44</v>
      </c>
      <c r="G75" s="62">
        <f t="shared" si="31"/>
        <v>1273142.58</v>
      </c>
      <c r="H75" s="65"/>
      <c r="I75" s="27"/>
      <c r="J75" s="65"/>
      <c r="K75" s="27"/>
      <c r="L75" s="65"/>
      <c r="M75" s="27"/>
      <c r="N75" s="65"/>
      <c r="O75" s="27"/>
      <c r="P75" s="66">
        <v>1.3440000000000001</v>
      </c>
      <c r="Q75" s="18">
        <f t="shared" si="32"/>
        <v>1232721.42</v>
      </c>
      <c r="R75" s="27"/>
      <c r="S75" s="27"/>
      <c r="T75" s="27"/>
      <c r="U75" s="27"/>
      <c r="V75" s="27">
        <f t="shared" si="33"/>
        <v>4.4069999999999832E-2</v>
      </c>
      <c r="W75" s="18">
        <f t="shared" si="34"/>
        <v>40421.160000000149</v>
      </c>
      <c r="X75" s="1"/>
      <c r="Y75" s="1"/>
    </row>
    <row r="76" spans="1:25" ht="22.5">
      <c r="A76" s="69">
        <v>55</v>
      </c>
      <c r="B76" s="60" t="s">
        <v>152</v>
      </c>
      <c r="C76" s="54" t="s">
        <v>137</v>
      </c>
      <c r="D76" s="47" t="s">
        <v>112</v>
      </c>
      <c r="E76" s="63">
        <v>0.82067000000000001</v>
      </c>
      <c r="F76" s="62">
        <v>44879.49</v>
      </c>
      <c r="G76" s="62">
        <f t="shared" si="31"/>
        <v>36831.25</v>
      </c>
      <c r="H76" s="65"/>
      <c r="I76" s="27"/>
      <c r="J76" s="65"/>
      <c r="K76" s="27"/>
      <c r="L76" s="65"/>
      <c r="M76" s="27"/>
      <c r="N76" s="65"/>
      <c r="O76" s="27"/>
      <c r="P76" s="126">
        <v>0.82067000000000001</v>
      </c>
      <c r="Q76" s="18">
        <f t="shared" si="32"/>
        <v>36831.25</v>
      </c>
      <c r="R76" s="27"/>
      <c r="S76" s="27"/>
      <c r="T76" s="27"/>
      <c r="U76" s="27"/>
      <c r="V76" s="27">
        <f t="shared" si="33"/>
        <v>0</v>
      </c>
      <c r="W76" s="18">
        <f t="shared" si="34"/>
        <v>0</v>
      </c>
      <c r="X76" s="1"/>
      <c r="Y76" s="1"/>
    </row>
    <row r="77" spans="1:25" ht="15">
      <c r="A77" s="30"/>
      <c r="B77" s="9"/>
      <c r="C77" s="10" t="s">
        <v>39</v>
      </c>
      <c r="D77" s="11"/>
      <c r="E77" s="30"/>
      <c r="F77" s="30"/>
      <c r="G77" s="163">
        <f>SUM(G70:G76)</f>
        <v>4345940.1100000003</v>
      </c>
      <c r="H77" s="29"/>
      <c r="I77" s="41">
        <f>SUM(I70:I76)</f>
        <v>0</v>
      </c>
      <c r="J77" s="29"/>
      <c r="K77" s="41">
        <f>SUM(K70:K76)</f>
        <v>0</v>
      </c>
      <c r="L77" s="29"/>
      <c r="M77" s="41">
        <f>SUM(M70:M76)</f>
        <v>0</v>
      </c>
      <c r="N77" s="29"/>
      <c r="O77" s="41">
        <f>SUM(O70:O76)</f>
        <v>0</v>
      </c>
      <c r="P77" s="29"/>
      <c r="Q77" s="41">
        <f>SUM(Q70:Q76)</f>
        <v>3992423.85</v>
      </c>
      <c r="R77" s="41"/>
      <c r="S77" s="41"/>
      <c r="T77" s="41"/>
      <c r="U77" s="41"/>
      <c r="V77" s="29"/>
      <c r="W77" s="31">
        <f>SUM(W70:W76)</f>
        <v>353516.26000000007</v>
      </c>
      <c r="X77" s="1"/>
      <c r="Y77" s="1"/>
    </row>
    <row r="78" spans="1:25" ht="15">
      <c r="A78" s="145" t="s">
        <v>153</v>
      </c>
      <c r="B78" s="145"/>
      <c r="C78" s="145"/>
      <c r="D78" s="145"/>
      <c r="E78" s="145"/>
      <c r="F78" s="145"/>
      <c r="G78" s="145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1"/>
      <c r="Y78" s="1"/>
    </row>
    <row r="79" spans="1:25" ht="33.75">
      <c r="A79" s="69">
        <v>56</v>
      </c>
      <c r="B79" s="60" t="s">
        <v>40</v>
      </c>
      <c r="C79" s="44" t="s">
        <v>154</v>
      </c>
      <c r="D79" s="47" t="s">
        <v>155</v>
      </c>
      <c r="E79" s="72">
        <v>2</v>
      </c>
      <c r="F79" s="62">
        <v>2579.4139999999998</v>
      </c>
      <c r="G79" s="62">
        <f>ROUND((F79*E79),2)</f>
        <v>5158.83</v>
      </c>
      <c r="H79" s="66"/>
      <c r="I79" s="18"/>
      <c r="J79" s="66"/>
      <c r="K79" s="18"/>
      <c r="L79" s="66"/>
      <c r="M79" s="18"/>
      <c r="N79" s="66"/>
      <c r="O79" s="18"/>
      <c r="P79" s="65">
        <v>2</v>
      </c>
      <c r="Q79" s="18">
        <f>ROUND((P79*F79),2)</f>
        <v>5158.83</v>
      </c>
      <c r="R79" s="27"/>
      <c r="S79" s="27"/>
      <c r="T79" s="27"/>
      <c r="U79" s="27"/>
      <c r="V79" s="28">
        <f>E79-H79-P79</f>
        <v>0</v>
      </c>
      <c r="W79" s="18">
        <f>G79-I79-Q79</f>
        <v>0</v>
      </c>
      <c r="X79" s="1"/>
      <c r="Y79" s="1"/>
    </row>
    <row r="80" spans="1:25" ht="67.5">
      <c r="A80" s="69">
        <v>57</v>
      </c>
      <c r="B80" s="60" t="s">
        <v>41</v>
      </c>
      <c r="C80" s="44" t="s">
        <v>156</v>
      </c>
      <c r="D80" s="45" t="s">
        <v>109</v>
      </c>
      <c r="E80" s="63">
        <v>8.9529999999999998E-2</v>
      </c>
      <c r="F80" s="62">
        <v>607472.94207317079</v>
      </c>
      <c r="G80" s="62">
        <f t="shared" ref="G80:G90" si="35">ROUND((F80*E80),2)</f>
        <v>54387.05</v>
      </c>
      <c r="H80" s="70"/>
      <c r="I80" s="18"/>
      <c r="J80" s="70"/>
      <c r="K80" s="18"/>
      <c r="L80" s="70"/>
      <c r="M80" s="18"/>
      <c r="N80" s="70"/>
      <c r="O80" s="18"/>
      <c r="P80" s="126">
        <v>8.9529999999999998E-2</v>
      </c>
      <c r="Q80" s="18">
        <f t="shared" ref="Q80:Q88" si="36">ROUND((P80*F80),2)</f>
        <v>54387.05</v>
      </c>
      <c r="R80" s="27"/>
      <c r="S80" s="27"/>
      <c r="T80" s="27"/>
      <c r="U80" s="27"/>
      <c r="V80" s="28">
        <f t="shared" ref="V80:V88" si="37">E80-H80-P80</f>
        <v>0</v>
      </c>
      <c r="W80" s="18">
        <f t="shared" ref="W80:W88" si="38">G80-I80-Q80</f>
        <v>0</v>
      </c>
      <c r="X80" s="1"/>
      <c r="Y80" s="1"/>
    </row>
    <row r="81" spans="1:25" ht="33.75">
      <c r="A81" s="69">
        <v>58</v>
      </c>
      <c r="B81" s="60" t="s">
        <v>42</v>
      </c>
      <c r="C81" s="44" t="s">
        <v>73</v>
      </c>
      <c r="D81" s="49" t="s">
        <v>109</v>
      </c>
      <c r="E81" s="52">
        <v>4.3215000000000003E-2</v>
      </c>
      <c r="F81" s="62">
        <v>84513.888888888891</v>
      </c>
      <c r="G81" s="62">
        <f t="shared" si="35"/>
        <v>3652.27</v>
      </c>
      <c r="H81" s="66"/>
      <c r="I81" s="27"/>
      <c r="J81" s="66"/>
      <c r="K81" s="27"/>
      <c r="L81" s="66"/>
      <c r="M81" s="27"/>
      <c r="N81" s="66"/>
      <c r="O81" s="27"/>
      <c r="P81" s="127">
        <v>4.3215000000000003E-2</v>
      </c>
      <c r="Q81" s="18">
        <f t="shared" si="36"/>
        <v>3652.27</v>
      </c>
      <c r="R81" s="27"/>
      <c r="S81" s="27"/>
      <c r="T81" s="27"/>
      <c r="U81" s="27"/>
      <c r="V81" s="28">
        <f t="shared" si="37"/>
        <v>0</v>
      </c>
      <c r="W81" s="18">
        <f t="shared" si="38"/>
        <v>0</v>
      </c>
      <c r="X81" s="1"/>
      <c r="Y81" s="1"/>
    </row>
    <row r="82" spans="1:25" ht="45">
      <c r="A82" s="69">
        <v>59</v>
      </c>
      <c r="B82" s="60" t="s">
        <v>100</v>
      </c>
      <c r="C82" s="44" t="s">
        <v>142</v>
      </c>
      <c r="D82" s="49" t="s">
        <v>120</v>
      </c>
      <c r="E82" s="63">
        <v>0.17286000000000001</v>
      </c>
      <c r="F82" s="62">
        <v>385876.15740740736</v>
      </c>
      <c r="G82" s="62">
        <f t="shared" si="35"/>
        <v>66702.55</v>
      </c>
      <c r="H82" s="66"/>
      <c r="I82" s="27"/>
      <c r="J82" s="66"/>
      <c r="K82" s="27"/>
      <c r="L82" s="66"/>
      <c r="M82" s="27"/>
      <c r="N82" s="66"/>
      <c r="O82" s="27"/>
      <c r="P82" s="70">
        <v>0.17280000000000001</v>
      </c>
      <c r="Q82" s="18">
        <f t="shared" si="36"/>
        <v>66679.399999999994</v>
      </c>
      <c r="R82" s="27"/>
      <c r="S82" s="27"/>
      <c r="T82" s="27"/>
      <c r="U82" s="27"/>
      <c r="V82" s="28">
        <f t="shared" si="37"/>
        <v>6.0000000000004494E-5</v>
      </c>
      <c r="W82" s="18">
        <f t="shared" si="38"/>
        <v>23.150000000008731</v>
      </c>
      <c r="X82" s="1"/>
      <c r="Y82" s="1"/>
    </row>
    <row r="83" spans="1:25" ht="22.5">
      <c r="A83" s="69">
        <v>60</v>
      </c>
      <c r="B83" s="60" t="s">
        <v>101</v>
      </c>
      <c r="C83" s="44" t="s">
        <v>157</v>
      </c>
      <c r="D83" s="49" t="s">
        <v>120</v>
      </c>
      <c r="E83" s="48">
        <v>1.6705000000000001</v>
      </c>
      <c r="F83" s="62">
        <v>131120.91463414635</v>
      </c>
      <c r="G83" s="62">
        <f t="shared" si="35"/>
        <v>219037.49</v>
      </c>
      <c r="H83" s="70"/>
      <c r="I83" s="27"/>
      <c r="J83" s="70"/>
      <c r="K83" s="27"/>
      <c r="L83" s="70"/>
      <c r="M83" s="27"/>
      <c r="N83" s="70"/>
      <c r="O83" s="27"/>
      <c r="P83" s="66">
        <v>1.3120000000000001</v>
      </c>
      <c r="Q83" s="18">
        <f t="shared" si="36"/>
        <v>172030.64</v>
      </c>
      <c r="R83" s="27"/>
      <c r="S83" s="27"/>
      <c r="T83" s="27"/>
      <c r="U83" s="27"/>
      <c r="V83" s="28">
        <f t="shared" si="37"/>
        <v>0.35850000000000004</v>
      </c>
      <c r="W83" s="18">
        <f t="shared" si="38"/>
        <v>47006.849999999977</v>
      </c>
      <c r="X83" s="1"/>
      <c r="Y83" s="1"/>
    </row>
    <row r="84" spans="1:25" ht="22.5">
      <c r="A84" s="69">
        <v>61</v>
      </c>
      <c r="B84" s="60" t="s">
        <v>102</v>
      </c>
      <c r="C84" s="44" t="s">
        <v>158</v>
      </c>
      <c r="D84" s="49" t="s">
        <v>69</v>
      </c>
      <c r="E84" s="51">
        <v>2.2400000000000002</v>
      </c>
      <c r="F84" s="62">
        <v>164889.35661764705</v>
      </c>
      <c r="G84" s="62">
        <f t="shared" si="35"/>
        <v>369352.16</v>
      </c>
      <c r="H84" s="65"/>
      <c r="I84" s="27"/>
      <c r="J84" s="65"/>
      <c r="K84" s="27"/>
      <c r="L84" s="65"/>
      <c r="M84" s="27"/>
      <c r="N84" s="65"/>
      <c r="O84" s="27"/>
      <c r="P84" s="65">
        <v>2.2400000000000002</v>
      </c>
      <c r="Q84" s="18">
        <f t="shared" si="36"/>
        <v>369352.16</v>
      </c>
      <c r="R84" s="27"/>
      <c r="S84" s="27"/>
      <c r="T84" s="27"/>
      <c r="U84" s="27"/>
      <c r="V84" s="28">
        <f t="shared" si="37"/>
        <v>0</v>
      </c>
      <c r="W84" s="18">
        <f t="shared" si="38"/>
        <v>0</v>
      </c>
      <c r="X84" s="1"/>
      <c r="Y84" s="1"/>
    </row>
    <row r="85" spans="1:25" ht="22.5">
      <c r="A85" s="69">
        <v>62</v>
      </c>
      <c r="B85" s="60" t="s">
        <v>103</v>
      </c>
      <c r="C85" s="44" t="s">
        <v>77</v>
      </c>
      <c r="D85" s="49" t="s">
        <v>69</v>
      </c>
      <c r="E85" s="51">
        <v>2.52</v>
      </c>
      <c r="F85" s="62">
        <v>109211.93421052632</v>
      </c>
      <c r="G85" s="62">
        <f t="shared" si="35"/>
        <v>275214.07</v>
      </c>
      <c r="H85" s="66"/>
      <c r="I85" s="27"/>
      <c r="J85" s="66"/>
      <c r="K85" s="27"/>
      <c r="L85" s="66"/>
      <c r="M85" s="27"/>
      <c r="N85" s="66"/>
      <c r="O85" s="27"/>
      <c r="P85" s="66">
        <v>2.52</v>
      </c>
      <c r="Q85" s="18">
        <f t="shared" si="36"/>
        <v>275214.07</v>
      </c>
      <c r="R85" s="27"/>
      <c r="S85" s="27"/>
      <c r="T85" s="27"/>
      <c r="U85" s="27"/>
      <c r="V85" s="28">
        <f t="shared" si="37"/>
        <v>0</v>
      </c>
      <c r="W85" s="18">
        <f t="shared" si="38"/>
        <v>0</v>
      </c>
      <c r="X85" s="1"/>
      <c r="Y85" s="1"/>
    </row>
    <row r="86" spans="1:25" ht="33.75">
      <c r="A86" s="69">
        <v>63</v>
      </c>
      <c r="B86" s="60" t="s">
        <v>104</v>
      </c>
      <c r="C86" s="44" t="s">
        <v>159</v>
      </c>
      <c r="D86" s="47" t="s">
        <v>62</v>
      </c>
      <c r="E86" s="48">
        <v>5.2316000000000003</v>
      </c>
      <c r="F86" s="62">
        <v>61253.164634146349</v>
      </c>
      <c r="G86" s="62">
        <f t="shared" si="35"/>
        <v>320452.06</v>
      </c>
      <c r="H86" s="65"/>
      <c r="I86" s="27"/>
      <c r="J86" s="65"/>
      <c r="K86" s="27"/>
      <c r="L86" s="65"/>
      <c r="M86" s="27"/>
      <c r="N86" s="65"/>
      <c r="O86" s="27"/>
      <c r="P86" s="70">
        <v>5.2316000000000003</v>
      </c>
      <c r="Q86" s="18">
        <f t="shared" si="36"/>
        <v>320452.06</v>
      </c>
      <c r="R86" s="27"/>
      <c r="S86" s="27"/>
      <c r="T86" s="27"/>
      <c r="U86" s="27"/>
      <c r="V86" s="28">
        <f t="shared" si="37"/>
        <v>0</v>
      </c>
      <c r="W86" s="18">
        <f t="shared" si="38"/>
        <v>0</v>
      </c>
      <c r="X86" s="1"/>
      <c r="Y86" s="1"/>
    </row>
    <row r="87" spans="1:25" ht="45">
      <c r="A87" s="69">
        <v>64</v>
      </c>
      <c r="B87" s="60" t="s">
        <v>160</v>
      </c>
      <c r="C87" s="44" t="s">
        <v>97</v>
      </c>
      <c r="D87" s="49" t="s">
        <v>120</v>
      </c>
      <c r="E87" s="48">
        <v>0.15690000000000001</v>
      </c>
      <c r="F87" s="62">
        <v>165832.36788617886</v>
      </c>
      <c r="G87" s="62">
        <f t="shared" si="35"/>
        <v>26019.1</v>
      </c>
      <c r="H87" s="65"/>
      <c r="I87" s="27"/>
      <c r="J87" s="65"/>
      <c r="K87" s="27"/>
      <c r="L87" s="65"/>
      <c r="M87" s="27"/>
      <c r="N87" s="65"/>
      <c r="O87" s="27"/>
      <c r="P87" s="70">
        <v>0.15690000000000001</v>
      </c>
      <c r="Q87" s="18">
        <f t="shared" si="36"/>
        <v>26019.1</v>
      </c>
      <c r="R87" s="27"/>
      <c r="S87" s="27"/>
      <c r="T87" s="27"/>
      <c r="U87" s="27"/>
      <c r="V87" s="28">
        <f t="shared" si="37"/>
        <v>0</v>
      </c>
      <c r="W87" s="18">
        <f t="shared" si="38"/>
        <v>0</v>
      </c>
      <c r="X87" s="1"/>
      <c r="Y87" s="1"/>
    </row>
    <row r="88" spans="1:25" ht="67.5">
      <c r="A88" s="69">
        <v>65</v>
      </c>
      <c r="B88" s="60" t="s">
        <v>161</v>
      </c>
      <c r="C88" s="44" t="s">
        <v>162</v>
      </c>
      <c r="D88" s="47" t="s">
        <v>62</v>
      </c>
      <c r="E88" s="71">
        <v>5.7778</v>
      </c>
      <c r="F88" s="62">
        <v>244241.25762195123</v>
      </c>
      <c r="G88" s="62">
        <f t="shared" si="35"/>
        <v>1411177.14</v>
      </c>
      <c r="H88" s="65"/>
      <c r="I88" s="27"/>
      <c r="J88" s="65"/>
      <c r="K88" s="27"/>
      <c r="L88" s="65"/>
      <c r="M88" s="27"/>
      <c r="N88" s="65"/>
      <c r="O88" s="27"/>
      <c r="P88" s="70">
        <v>5.7778</v>
      </c>
      <c r="Q88" s="18">
        <f t="shared" si="36"/>
        <v>1411177.14</v>
      </c>
      <c r="R88" s="27"/>
      <c r="S88" s="27"/>
      <c r="T88" s="27"/>
      <c r="U88" s="27"/>
      <c r="V88" s="28">
        <f t="shared" si="37"/>
        <v>0</v>
      </c>
      <c r="W88" s="18">
        <f t="shared" si="38"/>
        <v>0</v>
      </c>
      <c r="X88" s="1"/>
      <c r="Y88" s="1"/>
    </row>
    <row r="89" spans="1:25" ht="56.25">
      <c r="A89" s="69">
        <v>66</v>
      </c>
      <c r="B89" s="60" t="s">
        <v>163</v>
      </c>
      <c r="C89" s="44" t="s">
        <v>80</v>
      </c>
      <c r="D89" s="49" t="s">
        <v>120</v>
      </c>
      <c r="E89" s="53">
        <v>0</v>
      </c>
      <c r="F89" s="62">
        <v>53485.317460317456</v>
      </c>
      <c r="G89" s="62">
        <f t="shared" si="35"/>
        <v>0</v>
      </c>
      <c r="H89" s="65"/>
      <c r="I89" s="27"/>
      <c r="J89" s="65"/>
      <c r="K89" s="27"/>
      <c r="L89" s="65"/>
      <c r="M89" s="27"/>
      <c r="N89" s="65"/>
      <c r="O89" s="27"/>
      <c r="P89" s="65"/>
      <c r="Q89" s="27"/>
      <c r="R89" s="27"/>
      <c r="S89" s="27"/>
      <c r="T89" s="27"/>
      <c r="U89" s="27"/>
      <c r="V89" s="27">
        <f t="shared" ref="V89" si="39">E89-H89</f>
        <v>0</v>
      </c>
      <c r="W89" s="18">
        <f t="shared" ref="W89" si="40">G89-I89</f>
        <v>0</v>
      </c>
      <c r="X89" s="1"/>
      <c r="Y89" s="1"/>
    </row>
    <row r="90" spans="1:25" ht="22.5">
      <c r="A90" s="69">
        <v>67</v>
      </c>
      <c r="B90" s="60" t="s">
        <v>164</v>
      </c>
      <c r="C90" s="44" t="s">
        <v>81</v>
      </c>
      <c r="D90" s="47" t="s">
        <v>155</v>
      </c>
      <c r="E90" s="74">
        <v>14</v>
      </c>
      <c r="F90" s="62">
        <v>227137.99812499998</v>
      </c>
      <c r="G90" s="62">
        <f t="shared" si="35"/>
        <v>3179931.97</v>
      </c>
      <c r="H90" s="65"/>
      <c r="I90" s="27"/>
      <c r="J90" s="65"/>
      <c r="K90" s="27"/>
      <c r="L90" s="65"/>
      <c r="M90" s="27"/>
      <c r="N90" s="65"/>
      <c r="O90" s="27"/>
      <c r="P90" s="65"/>
      <c r="Q90" s="27"/>
      <c r="R90" s="27">
        <v>14</v>
      </c>
      <c r="S90" s="27">
        <f>ROUND((R90*F90),2)</f>
        <v>3179931.97</v>
      </c>
      <c r="T90" s="27"/>
      <c r="U90" s="27"/>
      <c r="V90" s="27">
        <f>E90-H90-R90</f>
        <v>0</v>
      </c>
      <c r="W90" s="18">
        <f>G90-I90-S90</f>
        <v>0</v>
      </c>
      <c r="X90" s="1"/>
      <c r="Y90" s="1"/>
    </row>
    <row r="91" spans="1:25" ht="15">
      <c r="A91" s="30"/>
      <c r="B91" s="9"/>
      <c r="C91" s="10" t="s">
        <v>43</v>
      </c>
      <c r="D91" s="11"/>
      <c r="E91" s="30"/>
      <c r="F91" s="30"/>
      <c r="G91" s="163">
        <f>SUM(G79:G90)</f>
        <v>5931084.6899999995</v>
      </c>
      <c r="H91" s="29"/>
      <c r="I91" s="41">
        <f>SUM(I79:I90)</f>
        <v>0</v>
      </c>
      <c r="J91" s="29"/>
      <c r="K91" s="41">
        <f>SUM(K79:K90)</f>
        <v>0</v>
      </c>
      <c r="L91" s="29"/>
      <c r="M91" s="41">
        <f>SUM(M79:M90)</f>
        <v>0</v>
      </c>
      <c r="N91" s="29"/>
      <c r="O91" s="41">
        <f>SUM(O79:O90)</f>
        <v>0</v>
      </c>
      <c r="P91" s="29"/>
      <c r="Q91" s="41">
        <f>SUM(Q79:Q90)</f>
        <v>2704122.7199999997</v>
      </c>
      <c r="R91" s="41"/>
      <c r="S91" s="41">
        <f>S90</f>
        <v>3179931.97</v>
      </c>
      <c r="T91" s="41"/>
      <c r="U91" s="41"/>
      <c r="V91" s="29"/>
      <c r="W91" s="31">
        <f>SUM(W79:W90)</f>
        <v>47029.999999999985</v>
      </c>
      <c r="X91" s="35"/>
      <c r="Y91" s="35"/>
    </row>
    <row r="92" spans="1:25" ht="15">
      <c r="A92" s="145" t="s">
        <v>165</v>
      </c>
      <c r="B92" s="145"/>
      <c r="C92" s="145"/>
      <c r="D92" s="145"/>
      <c r="E92" s="145"/>
      <c r="F92" s="145"/>
      <c r="G92" s="145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1"/>
      <c r="Y92" s="1"/>
    </row>
    <row r="93" spans="1:25" ht="67.5">
      <c r="A93" s="69">
        <v>68</v>
      </c>
      <c r="B93" s="60" t="s">
        <v>84</v>
      </c>
      <c r="C93" s="44" t="s">
        <v>166</v>
      </c>
      <c r="D93" s="45" t="s">
        <v>109</v>
      </c>
      <c r="E93" s="63">
        <v>0.24529000000000001</v>
      </c>
      <c r="F93" s="62">
        <v>607472.91220556747</v>
      </c>
      <c r="G93" s="62">
        <f>ROUND((F93*E93),2)</f>
        <v>149007.03</v>
      </c>
      <c r="H93" s="65"/>
      <c r="I93" s="18"/>
      <c r="J93" s="65"/>
      <c r="K93" s="18"/>
      <c r="L93" s="65"/>
      <c r="M93" s="18"/>
      <c r="N93" s="126">
        <v>0.24529000000000001</v>
      </c>
      <c r="O93" s="18">
        <f>ROUND((N93*F93),2)</f>
        <v>149007.03</v>
      </c>
      <c r="P93" s="126"/>
      <c r="Q93" s="18"/>
      <c r="R93" s="27"/>
      <c r="S93" s="27"/>
      <c r="T93" s="27"/>
      <c r="U93" s="27"/>
      <c r="V93" s="27">
        <f>E93-H93-N93</f>
        <v>0</v>
      </c>
      <c r="W93" s="18">
        <f>G93-I93-O93</f>
        <v>0</v>
      </c>
      <c r="X93" s="75"/>
      <c r="Y93" s="76"/>
    </row>
    <row r="94" spans="1:25" ht="33.75">
      <c r="A94" s="69">
        <v>69</v>
      </c>
      <c r="B94" s="60" t="s">
        <v>85</v>
      </c>
      <c r="C94" s="44" t="s">
        <v>167</v>
      </c>
      <c r="D94" s="45" t="s">
        <v>109</v>
      </c>
      <c r="E94" s="63">
        <v>0.14479</v>
      </c>
      <c r="F94" s="62">
        <v>84514.28571428571</v>
      </c>
      <c r="G94" s="62">
        <f t="shared" ref="G94:G104" si="41">ROUND((F94*E94),2)</f>
        <v>12236.82</v>
      </c>
      <c r="H94" s="65"/>
      <c r="I94" s="18"/>
      <c r="J94" s="65"/>
      <c r="K94" s="18"/>
      <c r="L94" s="65"/>
      <c r="M94" s="18"/>
      <c r="N94" s="126">
        <v>0.14479</v>
      </c>
      <c r="O94" s="18">
        <f t="shared" ref="O94:O101" si="42">ROUND((N94*F94),2)</f>
        <v>12236.82</v>
      </c>
      <c r="P94" s="126"/>
      <c r="Q94" s="18"/>
      <c r="R94" s="27"/>
      <c r="S94" s="27"/>
      <c r="T94" s="27"/>
      <c r="U94" s="27"/>
      <c r="V94" s="27">
        <f t="shared" ref="V94:V97" si="43">E94-H94-N94</f>
        <v>0</v>
      </c>
      <c r="W94" s="18">
        <f t="shared" ref="W94:W97" si="44">G94-I94-O94</f>
        <v>0</v>
      </c>
      <c r="X94" s="1"/>
      <c r="Y94" s="1"/>
    </row>
    <row r="95" spans="1:25" ht="45">
      <c r="A95" s="69">
        <v>70</v>
      </c>
      <c r="B95" s="60" t="s">
        <v>44</v>
      </c>
      <c r="C95" s="44" t="s">
        <v>96</v>
      </c>
      <c r="D95" s="49" t="s">
        <v>109</v>
      </c>
      <c r="E95" s="48">
        <v>0.43459999999999999</v>
      </c>
      <c r="F95" s="62">
        <v>385876.17977528088</v>
      </c>
      <c r="G95" s="62">
        <f t="shared" si="41"/>
        <v>167701.79</v>
      </c>
      <c r="H95" s="65"/>
      <c r="I95" s="18"/>
      <c r="J95" s="65"/>
      <c r="K95" s="18"/>
      <c r="L95" s="65"/>
      <c r="M95" s="18"/>
      <c r="N95" s="70">
        <v>0.43459999999999999</v>
      </c>
      <c r="O95" s="18">
        <f t="shared" si="42"/>
        <v>167701.79</v>
      </c>
      <c r="P95" s="70"/>
      <c r="Q95" s="18"/>
      <c r="R95" s="27"/>
      <c r="S95" s="27"/>
      <c r="T95" s="27"/>
      <c r="U95" s="27"/>
      <c r="V95" s="27">
        <f t="shared" si="43"/>
        <v>0</v>
      </c>
      <c r="W95" s="18">
        <f t="shared" si="44"/>
        <v>0</v>
      </c>
      <c r="X95" s="1"/>
      <c r="Y95" s="1"/>
    </row>
    <row r="96" spans="1:25" ht="22.5">
      <c r="A96" s="69">
        <v>71</v>
      </c>
      <c r="B96" s="60" t="s">
        <v>45</v>
      </c>
      <c r="C96" s="44" t="s">
        <v>77</v>
      </c>
      <c r="D96" s="49" t="s">
        <v>69</v>
      </c>
      <c r="E96" s="51">
        <v>6.87</v>
      </c>
      <c r="F96" s="62">
        <v>109211.94683026586</v>
      </c>
      <c r="G96" s="62">
        <f t="shared" si="41"/>
        <v>750286.07</v>
      </c>
      <c r="H96" s="65"/>
      <c r="I96" s="18"/>
      <c r="J96" s="65"/>
      <c r="K96" s="18"/>
      <c r="L96" s="65"/>
      <c r="M96" s="18"/>
      <c r="N96" s="65">
        <v>6.87</v>
      </c>
      <c r="O96" s="18">
        <f t="shared" si="42"/>
        <v>750286.07</v>
      </c>
      <c r="P96" s="65"/>
      <c r="Q96" s="18"/>
      <c r="R96" s="27"/>
      <c r="S96" s="27"/>
      <c r="T96" s="27"/>
      <c r="U96" s="27"/>
      <c r="V96" s="27">
        <f t="shared" si="43"/>
        <v>0</v>
      </c>
      <c r="W96" s="18">
        <f t="shared" si="44"/>
        <v>0</v>
      </c>
      <c r="X96" s="1"/>
      <c r="Y96" s="1"/>
    </row>
    <row r="97" spans="1:25" ht="22.5">
      <c r="A97" s="69">
        <v>72</v>
      </c>
      <c r="B97" s="60" t="s">
        <v>46</v>
      </c>
      <c r="C97" s="44" t="s">
        <v>168</v>
      </c>
      <c r="D97" s="49" t="s">
        <v>69</v>
      </c>
      <c r="E97" s="51">
        <v>6.93</v>
      </c>
      <c r="F97" s="62">
        <v>156045.1109725686</v>
      </c>
      <c r="G97" s="62">
        <f t="shared" si="41"/>
        <v>1081392.6200000001</v>
      </c>
      <c r="H97" s="65"/>
      <c r="I97" s="18"/>
      <c r="J97" s="65"/>
      <c r="K97" s="18"/>
      <c r="L97" s="65"/>
      <c r="M97" s="18"/>
      <c r="N97" s="65">
        <v>6.93</v>
      </c>
      <c r="O97" s="18">
        <f t="shared" si="42"/>
        <v>1081392.6200000001</v>
      </c>
      <c r="P97" s="65"/>
      <c r="Q97" s="18"/>
      <c r="R97" s="27"/>
      <c r="S97" s="27"/>
      <c r="T97" s="27"/>
      <c r="U97" s="27"/>
      <c r="V97" s="27">
        <f t="shared" si="43"/>
        <v>0</v>
      </c>
      <c r="W97" s="18">
        <f t="shared" si="44"/>
        <v>0</v>
      </c>
      <c r="X97" s="1"/>
      <c r="Y97" s="1"/>
    </row>
    <row r="98" spans="1:25" ht="33.75">
      <c r="A98" s="69">
        <v>73</v>
      </c>
      <c r="B98" s="60" t="s">
        <v>52</v>
      </c>
      <c r="C98" s="44" t="s">
        <v>144</v>
      </c>
      <c r="D98" s="49" t="s">
        <v>120</v>
      </c>
      <c r="E98" s="50">
        <v>0</v>
      </c>
      <c r="F98" s="62">
        <v>53485.318352059927</v>
      </c>
      <c r="G98" s="62">
        <f t="shared" si="41"/>
        <v>0</v>
      </c>
      <c r="H98" s="65"/>
      <c r="I98" s="27"/>
      <c r="J98" s="65"/>
      <c r="K98" s="27"/>
      <c r="L98" s="65"/>
      <c r="M98" s="27"/>
      <c r="N98" s="70"/>
      <c r="O98" s="27"/>
      <c r="P98" s="70"/>
      <c r="Q98" s="27"/>
      <c r="R98" s="27"/>
      <c r="S98" s="27"/>
      <c r="T98" s="27"/>
      <c r="U98" s="27"/>
      <c r="V98" s="27">
        <f>E98-H98</f>
        <v>0</v>
      </c>
      <c r="W98" s="18">
        <f>G98-I98</f>
        <v>0</v>
      </c>
      <c r="X98" s="1"/>
      <c r="Y98" s="1"/>
    </row>
    <row r="99" spans="1:25" ht="33.75">
      <c r="A99" s="69">
        <v>74</v>
      </c>
      <c r="B99" s="60" t="s">
        <v>53</v>
      </c>
      <c r="C99" s="44" t="s">
        <v>169</v>
      </c>
      <c r="D99" s="47" t="s">
        <v>62</v>
      </c>
      <c r="E99" s="48">
        <v>12.504899999999999</v>
      </c>
      <c r="F99" s="62">
        <v>61253.16220556746</v>
      </c>
      <c r="G99" s="62">
        <f t="shared" si="41"/>
        <v>765964.67</v>
      </c>
      <c r="H99" s="65"/>
      <c r="I99" s="27"/>
      <c r="J99" s="65"/>
      <c r="K99" s="27"/>
      <c r="L99" s="65"/>
      <c r="M99" s="27"/>
      <c r="N99" s="70">
        <v>12.504899999999999</v>
      </c>
      <c r="O99" s="18">
        <f t="shared" si="42"/>
        <v>765964.67</v>
      </c>
      <c r="P99" s="70"/>
      <c r="Q99" s="18"/>
      <c r="R99" s="27"/>
      <c r="S99" s="27"/>
      <c r="T99" s="27"/>
      <c r="U99" s="27"/>
      <c r="V99" s="27">
        <f>E99-H99-N99</f>
        <v>0</v>
      </c>
      <c r="W99" s="18">
        <f>G99-I99-O99</f>
        <v>0</v>
      </c>
      <c r="X99" s="1"/>
      <c r="Y99" s="1"/>
    </row>
    <row r="100" spans="1:25" ht="45">
      <c r="A100" s="69">
        <v>75</v>
      </c>
      <c r="B100" s="60" t="s">
        <v>54</v>
      </c>
      <c r="C100" s="44" t="s">
        <v>97</v>
      </c>
      <c r="D100" s="45" t="s">
        <v>120</v>
      </c>
      <c r="E100" s="48">
        <v>0.37509999999999999</v>
      </c>
      <c r="F100" s="62">
        <v>165832.45895788723</v>
      </c>
      <c r="G100" s="62">
        <f t="shared" si="41"/>
        <v>62203.76</v>
      </c>
      <c r="H100" s="65"/>
      <c r="I100" s="27"/>
      <c r="J100" s="65"/>
      <c r="K100" s="27"/>
      <c r="L100" s="65"/>
      <c r="M100" s="27"/>
      <c r="N100" s="70">
        <v>0.37509999999999999</v>
      </c>
      <c r="O100" s="18">
        <f t="shared" si="42"/>
        <v>62203.76</v>
      </c>
      <c r="P100" s="70"/>
      <c r="Q100" s="18"/>
      <c r="R100" s="27"/>
      <c r="S100" s="27"/>
      <c r="T100" s="27"/>
      <c r="U100" s="27"/>
      <c r="V100" s="27">
        <f t="shared" ref="V100:V101" si="45">E100-H100-N100</f>
        <v>0</v>
      </c>
      <c r="W100" s="18">
        <f t="shared" ref="W100:W101" si="46">G100-I100-O100</f>
        <v>0</v>
      </c>
      <c r="X100" s="1"/>
      <c r="Y100" s="1"/>
    </row>
    <row r="101" spans="1:25" ht="67.5">
      <c r="A101" s="69">
        <v>76</v>
      </c>
      <c r="B101" s="60" t="s">
        <v>55</v>
      </c>
      <c r="C101" s="44" t="s">
        <v>162</v>
      </c>
      <c r="D101" s="47" t="s">
        <v>62</v>
      </c>
      <c r="E101" s="50">
        <v>13.882999999999999</v>
      </c>
      <c r="F101" s="62">
        <v>244241.25749464671</v>
      </c>
      <c r="G101" s="62">
        <f t="shared" si="41"/>
        <v>3390801.38</v>
      </c>
      <c r="H101" s="65"/>
      <c r="I101" s="27"/>
      <c r="J101" s="65"/>
      <c r="K101" s="27"/>
      <c r="L101" s="65"/>
      <c r="M101" s="27"/>
      <c r="N101" s="66">
        <v>13.882999999999999</v>
      </c>
      <c r="O101" s="18">
        <f t="shared" si="42"/>
        <v>3390801.38</v>
      </c>
      <c r="P101" s="66"/>
      <c r="Q101" s="18"/>
      <c r="R101" s="27"/>
      <c r="S101" s="27"/>
      <c r="T101" s="27"/>
      <c r="U101" s="27"/>
      <c r="V101" s="27">
        <f t="shared" si="45"/>
        <v>0</v>
      </c>
      <c r="W101" s="18">
        <f t="shared" si="46"/>
        <v>0</v>
      </c>
      <c r="X101" s="1"/>
      <c r="Y101" s="1"/>
    </row>
    <row r="102" spans="1:25" ht="78.75">
      <c r="A102" s="69">
        <v>77</v>
      </c>
      <c r="B102" s="60" t="s">
        <v>56</v>
      </c>
      <c r="C102" s="44" t="s">
        <v>145</v>
      </c>
      <c r="D102" s="47" t="s">
        <v>62</v>
      </c>
      <c r="E102" s="71">
        <v>15.097899999999999</v>
      </c>
      <c r="F102" s="62">
        <v>50916.652351738245</v>
      </c>
      <c r="G102" s="62">
        <f t="shared" si="41"/>
        <v>768734.53</v>
      </c>
      <c r="H102" s="65"/>
      <c r="I102" s="27"/>
      <c r="J102" s="65"/>
      <c r="K102" s="27"/>
      <c r="L102" s="65"/>
      <c r="M102" s="27"/>
      <c r="N102" s="65"/>
      <c r="O102" s="27"/>
      <c r="P102" s="65"/>
      <c r="Q102" s="27"/>
      <c r="R102" s="27"/>
      <c r="S102" s="27"/>
      <c r="T102" s="27"/>
      <c r="U102" s="27"/>
      <c r="V102" s="27">
        <f>E102-H102</f>
        <v>15.097899999999999</v>
      </c>
      <c r="W102" s="18">
        <f>G102-I102</f>
        <v>768734.53</v>
      </c>
      <c r="X102" s="1"/>
      <c r="Y102" s="1"/>
    </row>
    <row r="103" spans="1:25" ht="45">
      <c r="A103" s="69">
        <v>78</v>
      </c>
      <c r="B103" s="60" t="s">
        <v>57</v>
      </c>
      <c r="C103" s="44" t="s">
        <v>146</v>
      </c>
      <c r="D103" s="47" t="s">
        <v>62</v>
      </c>
      <c r="E103" s="71">
        <v>15.097899999999999</v>
      </c>
      <c r="F103" s="62">
        <v>7909.1574642126789</v>
      </c>
      <c r="G103" s="62">
        <f t="shared" si="41"/>
        <v>119411.67</v>
      </c>
      <c r="H103" s="65"/>
      <c r="I103" s="27"/>
      <c r="J103" s="65"/>
      <c r="K103" s="27"/>
      <c r="L103" s="65"/>
      <c r="M103" s="27"/>
      <c r="N103" s="65"/>
      <c r="O103" s="27"/>
      <c r="P103" s="65"/>
      <c r="Q103" s="27"/>
      <c r="R103" s="27"/>
      <c r="S103" s="27"/>
      <c r="T103" s="27"/>
      <c r="U103" s="27"/>
      <c r="V103" s="27">
        <f>E103-H103</f>
        <v>15.097899999999999</v>
      </c>
      <c r="W103" s="18">
        <f>G103-I103</f>
        <v>119411.67</v>
      </c>
      <c r="X103" s="1"/>
      <c r="Y103" s="1"/>
    </row>
    <row r="104" spans="1:25" ht="67.5">
      <c r="A104" s="69">
        <v>79</v>
      </c>
      <c r="B104" s="60" t="s">
        <v>58</v>
      </c>
      <c r="C104" s="44" t="s">
        <v>170</v>
      </c>
      <c r="D104" s="49" t="s">
        <v>171</v>
      </c>
      <c r="E104" s="77">
        <v>0</v>
      </c>
      <c r="F104" s="62">
        <v>9367.7694444444442</v>
      </c>
      <c r="G104" s="62">
        <f t="shared" si="41"/>
        <v>0</v>
      </c>
      <c r="H104" s="65"/>
      <c r="I104" s="27"/>
      <c r="J104" s="65"/>
      <c r="K104" s="27"/>
      <c r="L104" s="65"/>
      <c r="M104" s="27"/>
      <c r="N104" s="65"/>
      <c r="O104" s="27"/>
      <c r="P104" s="65"/>
      <c r="Q104" s="27"/>
      <c r="R104" s="27"/>
      <c r="S104" s="27"/>
      <c r="T104" s="27"/>
      <c r="U104" s="27"/>
      <c r="V104" s="27">
        <f>E104-H104</f>
        <v>0</v>
      </c>
      <c r="W104" s="18">
        <f>G104-I104</f>
        <v>0</v>
      </c>
      <c r="X104" s="1"/>
      <c r="Y104" s="1"/>
    </row>
    <row r="105" spans="1:25" ht="15">
      <c r="A105" s="30"/>
      <c r="B105" s="6"/>
      <c r="C105" s="12" t="s">
        <v>47</v>
      </c>
      <c r="D105" s="7"/>
      <c r="E105" s="30"/>
      <c r="F105" s="30"/>
      <c r="G105" s="163">
        <f>SUM(G93:G104)</f>
        <v>7267740.3399999999</v>
      </c>
      <c r="H105" s="29"/>
      <c r="I105" s="41">
        <f>SUM(I93:I104)</f>
        <v>0</v>
      </c>
      <c r="J105" s="29"/>
      <c r="K105" s="41">
        <f>SUM(K93:K104)</f>
        <v>0</v>
      </c>
      <c r="L105" s="29"/>
      <c r="M105" s="41">
        <f>SUM(M93:M104)</f>
        <v>0</v>
      </c>
      <c r="N105" s="29"/>
      <c r="O105" s="41">
        <f>SUM(O93:O104)</f>
        <v>6379594.1399999997</v>
      </c>
      <c r="P105" s="29"/>
      <c r="Q105" s="41">
        <f>SUM(Q93:Q104)</f>
        <v>0</v>
      </c>
      <c r="R105" s="41"/>
      <c r="S105" s="41"/>
      <c r="T105" s="41"/>
      <c r="U105" s="41"/>
      <c r="V105" s="29"/>
      <c r="W105" s="31">
        <f>SUM(W93:W104)</f>
        <v>888146.20000000007</v>
      </c>
      <c r="X105" s="35"/>
      <c r="Y105" s="35"/>
    </row>
    <row r="106" spans="1:25" ht="15">
      <c r="A106" s="145" t="s">
        <v>172</v>
      </c>
      <c r="B106" s="145"/>
      <c r="C106" s="145"/>
      <c r="D106" s="145"/>
      <c r="E106" s="145"/>
      <c r="F106" s="145"/>
      <c r="G106" s="145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35"/>
      <c r="Y106" s="35"/>
    </row>
    <row r="107" spans="1:25" ht="22.5">
      <c r="A107" s="132">
        <v>80</v>
      </c>
      <c r="B107" s="60" t="s">
        <v>173</v>
      </c>
      <c r="C107" s="44" t="s">
        <v>82</v>
      </c>
      <c r="D107" s="78" t="s">
        <v>174</v>
      </c>
      <c r="E107" s="79">
        <v>17.899999999999999</v>
      </c>
      <c r="F107" s="62">
        <v>22366.360317460319</v>
      </c>
      <c r="G107" s="62">
        <f>ROUND((F107*E107),2)</f>
        <v>400357.85</v>
      </c>
      <c r="H107" s="79">
        <v>12.6</v>
      </c>
      <c r="I107" s="62">
        <f>ROUND((H107*F107),2)</f>
        <v>281816.14</v>
      </c>
      <c r="J107" s="79"/>
      <c r="K107" s="62"/>
      <c r="L107" s="79">
        <v>5.3</v>
      </c>
      <c r="M107" s="62">
        <f>ROUND((L107*F107),2)</f>
        <v>118541.71</v>
      </c>
      <c r="N107" s="79"/>
      <c r="O107" s="62"/>
      <c r="P107" s="79"/>
      <c r="Q107" s="62"/>
      <c r="R107" s="135"/>
      <c r="S107" s="135"/>
      <c r="T107" s="135"/>
      <c r="U107" s="135"/>
      <c r="V107" s="27">
        <f>E107-H107-L107</f>
        <v>0</v>
      </c>
      <c r="W107" s="18">
        <f>G107-I107-M107</f>
        <v>0</v>
      </c>
      <c r="X107" s="35"/>
      <c r="Y107" s="35"/>
    </row>
    <row r="108" spans="1:25" ht="22.5">
      <c r="A108" s="132">
        <v>81</v>
      </c>
      <c r="B108" s="60" t="s">
        <v>175</v>
      </c>
      <c r="C108" s="44" t="s">
        <v>176</v>
      </c>
      <c r="D108" s="78" t="s">
        <v>89</v>
      </c>
      <c r="E108" s="79">
        <v>1866.97</v>
      </c>
      <c r="F108" s="62">
        <v>468.5500007609308</v>
      </c>
      <c r="G108" s="62">
        <f t="shared" ref="G108:G112" si="47">ROUND((F108*E108),2)</f>
        <v>874768.79</v>
      </c>
      <c r="H108" s="79">
        <v>1314.18</v>
      </c>
      <c r="I108" s="62">
        <f t="shared" ref="I108:I110" si="48">ROUND((H108*F108),2)</f>
        <v>615759.04</v>
      </c>
      <c r="J108" s="79"/>
      <c r="K108" s="62"/>
      <c r="L108" s="79">
        <v>552.79</v>
      </c>
      <c r="M108" s="62">
        <f>ROUND((L108*F108),2)</f>
        <v>259009.75</v>
      </c>
      <c r="N108" s="79"/>
      <c r="O108" s="62"/>
      <c r="P108" s="79"/>
      <c r="Q108" s="62"/>
      <c r="R108" s="135"/>
      <c r="S108" s="135"/>
      <c r="T108" s="135"/>
      <c r="U108" s="135"/>
      <c r="V108" s="27">
        <f>E108-H108-L108</f>
        <v>0</v>
      </c>
      <c r="W108" s="18">
        <f>G108-I108-M108</f>
        <v>0</v>
      </c>
      <c r="X108" s="35"/>
      <c r="Y108" s="35"/>
    </row>
    <row r="109" spans="1:25" ht="22.5">
      <c r="A109" s="132">
        <v>82</v>
      </c>
      <c r="B109" s="60" t="s">
        <v>177</v>
      </c>
      <c r="C109" s="44" t="s">
        <v>178</v>
      </c>
      <c r="D109" s="78" t="s">
        <v>174</v>
      </c>
      <c r="E109" s="79">
        <v>0.7</v>
      </c>
      <c r="F109" s="62">
        <v>37019.528571428571</v>
      </c>
      <c r="G109" s="62">
        <f t="shared" si="47"/>
        <v>25913.67</v>
      </c>
      <c r="H109" s="79">
        <v>0.7</v>
      </c>
      <c r="I109" s="62">
        <f t="shared" si="48"/>
        <v>25913.67</v>
      </c>
      <c r="J109" s="79"/>
      <c r="K109" s="62"/>
      <c r="L109" s="79"/>
      <c r="M109" s="62"/>
      <c r="N109" s="79"/>
      <c r="O109" s="62"/>
      <c r="P109" s="79"/>
      <c r="Q109" s="62"/>
      <c r="R109" s="135"/>
      <c r="S109" s="135"/>
      <c r="T109" s="135"/>
      <c r="U109" s="135"/>
      <c r="V109" s="27">
        <f t="shared" ref="V109:V112" si="49">E109-H109</f>
        <v>0</v>
      </c>
      <c r="W109" s="18">
        <f t="shared" ref="W109:W112" si="50">G109-I109</f>
        <v>0</v>
      </c>
      <c r="X109" s="35"/>
      <c r="Y109" s="35"/>
    </row>
    <row r="110" spans="1:25" ht="22.5">
      <c r="A110" s="132">
        <v>83</v>
      </c>
      <c r="B110" s="60" t="s">
        <v>179</v>
      </c>
      <c r="C110" s="44" t="s">
        <v>176</v>
      </c>
      <c r="D110" s="78" t="s">
        <v>89</v>
      </c>
      <c r="E110" s="79">
        <v>73.009999999999991</v>
      </c>
      <c r="F110" s="62">
        <v>468.54992466785382</v>
      </c>
      <c r="G110" s="62">
        <f t="shared" si="47"/>
        <v>34208.83</v>
      </c>
      <c r="H110" s="79">
        <v>73.009999999999991</v>
      </c>
      <c r="I110" s="62">
        <f t="shared" si="48"/>
        <v>34208.83</v>
      </c>
      <c r="J110" s="79"/>
      <c r="K110" s="62"/>
      <c r="L110" s="79"/>
      <c r="M110" s="62"/>
      <c r="N110" s="79"/>
      <c r="O110" s="62"/>
      <c r="P110" s="79"/>
      <c r="Q110" s="62"/>
      <c r="R110" s="135"/>
      <c r="S110" s="135"/>
      <c r="T110" s="135"/>
      <c r="U110" s="135"/>
      <c r="V110" s="27">
        <f t="shared" si="49"/>
        <v>0</v>
      </c>
      <c r="W110" s="18">
        <f t="shared" si="50"/>
        <v>0</v>
      </c>
      <c r="X110" s="35"/>
      <c r="Y110" s="35"/>
    </row>
    <row r="111" spans="1:25" ht="22.5">
      <c r="A111" s="132">
        <v>84</v>
      </c>
      <c r="B111" s="60" t="s">
        <v>180</v>
      </c>
      <c r="C111" s="80" t="s">
        <v>83</v>
      </c>
      <c r="D111" s="47" t="s">
        <v>62</v>
      </c>
      <c r="E111" s="79">
        <v>643.4</v>
      </c>
      <c r="F111" s="62">
        <v>3062.1</v>
      </c>
      <c r="G111" s="62">
        <f t="shared" si="47"/>
        <v>1970155.14</v>
      </c>
      <c r="H111" s="79">
        <v>643.4</v>
      </c>
      <c r="I111" s="62">
        <f>ROUND((H111*F111),2)-0.09</f>
        <v>1970155.0499999998</v>
      </c>
      <c r="J111" s="79"/>
      <c r="K111" s="62"/>
      <c r="L111" s="79"/>
      <c r="M111" s="62"/>
      <c r="N111" s="79"/>
      <c r="O111" s="62"/>
      <c r="P111" s="79"/>
      <c r="Q111" s="62"/>
      <c r="R111" s="135"/>
      <c r="S111" s="135"/>
      <c r="T111" s="135"/>
      <c r="U111" s="135"/>
      <c r="V111" s="27">
        <f t="shared" si="49"/>
        <v>0</v>
      </c>
      <c r="W111" s="18">
        <f t="shared" si="50"/>
        <v>9.0000000083819032E-2</v>
      </c>
      <c r="X111" s="35"/>
      <c r="Y111" s="35"/>
    </row>
    <row r="112" spans="1:25" ht="33.75">
      <c r="A112" s="69">
        <v>85</v>
      </c>
      <c r="B112" s="60" t="s">
        <v>181</v>
      </c>
      <c r="C112" s="44" t="s">
        <v>182</v>
      </c>
      <c r="D112" s="78" t="s">
        <v>89</v>
      </c>
      <c r="E112" s="79">
        <v>308.83</v>
      </c>
      <c r="F112" s="62">
        <v>468.55</v>
      </c>
      <c r="G112" s="62">
        <f t="shared" si="47"/>
        <v>144702.29999999999</v>
      </c>
      <c r="H112" s="79">
        <v>308.83</v>
      </c>
      <c r="I112" s="62">
        <f>ROUND((H112*F112),2)+1.87</f>
        <v>144704.16999999998</v>
      </c>
      <c r="J112" s="79"/>
      <c r="K112" s="62"/>
      <c r="L112" s="79"/>
      <c r="M112" s="62"/>
      <c r="N112" s="79"/>
      <c r="O112" s="62"/>
      <c r="P112" s="79"/>
      <c r="Q112" s="62"/>
      <c r="R112" s="135"/>
      <c r="S112" s="135"/>
      <c r="T112" s="135"/>
      <c r="U112" s="135"/>
      <c r="V112" s="27">
        <f t="shared" si="49"/>
        <v>0</v>
      </c>
      <c r="W112" s="18">
        <f t="shared" si="50"/>
        <v>-1.8699999999953434</v>
      </c>
      <c r="X112" s="35"/>
      <c r="Y112" s="35"/>
    </row>
    <row r="113" spans="1:25" ht="15">
      <c r="A113" s="38"/>
      <c r="B113" s="60"/>
      <c r="C113" s="82" t="s">
        <v>183</v>
      </c>
      <c r="D113" s="47"/>
      <c r="E113" s="74"/>
      <c r="F113" s="62"/>
      <c r="G113" s="164">
        <f>SUM(G107:G112)</f>
        <v>3450106.58</v>
      </c>
      <c r="H113" s="15"/>
      <c r="I113" s="41">
        <f>SUM(I107:I112)</f>
        <v>3072556.9</v>
      </c>
      <c r="J113" s="15"/>
      <c r="K113" s="41">
        <f>SUM(K107:K112)</f>
        <v>0</v>
      </c>
      <c r="L113" s="15"/>
      <c r="M113" s="41">
        <f>SUM(M107:M112)</f>
        <v>377551.46</v>
      </c>
      <c r="N113" s="15"/>
      <c r="O113" s="41">
        <f>SUM(O107:O112)</f>
        <v>0</v>
      </c>
      <c r="P113" s="15"/>
      <c r="Q113" s="41">
        <f>SUM(Q107:Q112)</f>
        <v>0</v>
      </c>
      <c r="R113" s="41"/>
      <c r="S113" s="41"/>
      <c r="T113" s="41"/>
      <c r="U113" s="41"/>
      <c r="V113" s="29"/>
      <c r="W113" s="31">
        <f>SUM(W107:W112)</f>
        <v>-1.7799999999115244</v>
      </c>
      <c r="X113" s="35"/>
      <c r="Y113" s="35"/>
    </row>
    <row r="114" spans="1:25" ht="15">
      <c r="A114" s="145" t="s">
        <v>184</v>
      </c>
      <c r="B114" s="145"/>
      <c r="C114" s="145"/>
      <c r="D114" s="145"/>
      <c r="E114" s="145"/>
      <c r="F114" s="145"/>
      <c r="G114" s="145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35"/>
      <c r="Y114" s="35"/>
    </row>
    <row r="115" spans="1:25" ht="45">
      <c r="A115" s="133">
        <v>88</v>
      </c>
      <c r="B115" s="60" t="s">
        <v>185</v>
      </c>
      <c r="C115" s="44" t="s">
        <v>186</v>
      </c>
      <c r="D115" s="45" t="s">
        <v>120</v>
      </c>
      <c r="E115" s="79">
        <v>0</v>
      </c>
      <c r="F115" s="62">
        <v>179592.42</v>
      </c>
      <c r="G115" s="62">
        <f>ROUND((F115*E115),2)</f>
        <v>0</v>
      </c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18">
        <f t="shared" ref="V115:V118" si="51">E115-H115</f>
        <v>0</v>
      </c>
      <c r="W115" s="18">
        <f t="shared" ref="W115:W118" si="52">G115-I115</f>
        <v>0</v>
      </c>
      <c r="X115" s="35"/>
      <c r="Y115" s="35"/>
    </row>
    <row r="116" spans="1:25" ht="33.75">
      <c r="A116" s="133">
        <v>89</v>
      </c>
      <c r="B116" s="60" t="s">
        <v>187</v>
      </c>
      <c r="C116" s="54" t="s">
        <v>188</v>
      </c>
      <c r="D116" s="47" t="s">
        <v>112</v>
      </c>
      <c r="E116" s="79">
        <v>0</v>
      </c>
      <c r="F116" s="62">
        <v>659312.42000000004</v>
      </c>
      <c r="G116" s="62">
        <f t="shared" ref="G116:G118" si="53">ROUND((F116*E116),2)</f>
        <v>0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18">
        <f t="shared" si="51"/>
        <v>0</v>
      </c>
      <c r="W116" s="18">
        <f t="shared" si="52"/>
        <v>0</v>
      </c>
      <c r="X116" s="35"/>
      <c r="Y116" s="35"/>
    </row>
    <row r="117" spans="1:25" ht="67.5">
      <c r="A117" s="133">
        <v>90</v>
      </c>
      <c r="B117" s="60" t="s">
        <v>189</v>
      </c>
      <c r="C117" s="44" t="s">
        <v>190</v>
      </c>
      <c r="D117" s="78" t="s">
        <v>155</v>
      </c>
      <c r="E117" s="81">
        <v>0</v>
      </c>
      <c r="F117" s="62">
        <v>24596.23</v>
      </c>
      <c r="G117" s="62">
        <f t="shared" si="53"/>
        <v>0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18">
        <f t="shared" si="51"/>
        <v>0</v>
      </c>
      <c r="W117" s="18">
        <f t="shared" si="52"/>
        <v>0</v>
      </c>
      <c r="X117" s="35"/>
      <c r="Y117" s="35"/>
    </row>
    <row r="118" spans="1:25" ht="67.5">
      <c r="A118" s="133">
        <v>91</v>
      </c>
      <c r="B118" s="60" t="s">
        <v>191</v>
      </c>
      <c r="C118" s="44" t="s">
        <v>192</v>
      </c>
      <c r="D118" s="78" t="s">
        <v>155</v>
      </c>
      <c r="E118" s="81">
        <v>0</v>
      </c>
      <c r="F118" s="62">
        <v>25421.45</v>
      </c>
      <c r="G118" s="62">
        <f t="shared" si="53"/>
        <v>0</v>
      </c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18">
        <f t="shared" si="51"/>
        <v>0</v>
      </c>
      <c r="W118" s="18">
        <f t="shared" si="52"/>
        <v>0</v>
      </c>
      <c r="X118" s="35"/>
      <c r="Y118" s="35"/>
    </row>
    <row r="119" spans="1:25" ht="15">
      <c r="A119" s="39"/>
      <c r="B119" s="60"/>
      <c r="C119" s="82" t="s">
        <v>193</v>
      </c>
      <c r="D119" s="47"/>
      <c r="E119" s="74"/>
      <c r="F119" s="62"/>
      <c r="G119" s="164">
        <f>SUM(G115:G118)</f>
        <v>0</v>
      </c>
      <c r="H119" s="29"/>
      <c r="I119" s="83">
        <f>SUM(I115:I118)</f>
        <v>0</v>
      </c>
      <c r="J119" s="29"/>
      <c r="K119" s="83">
        <f>SUM(K115:K118)</f>
        <v>0</v>
      </c>
      <c r="L119" s="29"/>
      <c r="M119" s="83">
        <f>SUM(M115:M118)</f>
        <v>0</v>
      </c>
      <c r="N119" s="29"/>
      <c r="O119" s="83">
        <f>SUM(O115:O118)</f>
        <v>0</v>
      </c>
      <c r="P119" s="29"/>
      <c r="Q119" s="83">
        <f>SUM(Q115:Q118)</f>
        <v>0</v>
      </c>
      <c r="R119" s="83"/>
      <c r="S119" s="83"/>
      <c r="T119" s="83"/>
      <c r="U119" s="83"/>
      <c r="V119" s="29"/>
      <c r="W119" s="42">
        <f>SUM(W115:W118)</f>
        <v>0</v>
      </c>
      <c r="X119" s="35"/>
      <c r="Y119" s="35"/>
    </row>
    <row r="120" spans="1:25" ht="15">
      <c r="A120" s="145" t="s">
        <v>194</v>
      </c>
      <c r="B120" s="145"/>
      <c r="C120" s="145"/>
      <c r="D120" s="145"/>
      <c r="E120" s="145"/>
      <c r="F120" s="145"/>
      <c r="G120" s="145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35"/>
      <c r="Y120" s="35"/>
    </row>
    <row r="121" spans="1:25" ht="56.25">
      <c r="A121" s="133">
        <v>92</v>
      </c>
      <c r="B121" s="59" t="s">
        <v>195</v>
      </c>
      <c r="C121" s="44" t="s">
        <v>196</v>
      </c>
      <c r="D121" s="84" t="s">
        <v>69</v>
      </c>
      <c r="E121" s="85">
        <v>1.68</v>
      </c>
      <c r="F121" s="46">
        <v>40143.410000000003</v>
      </c>
      <c r="G121" s="46">
        <f>ROUND((F121*E121),2)</f>
        <v>67440.929999999993</v>
      </c>
      <c r="H121" s="29"/>
      <c r="I121" s="29"/>
      <c r="J121" s="29"/>
      <c r="K121" s="29"/>
      <c r="L121" s="29"/>
      <c r="M121" s="29"/>
      <c r="N121" s="29"/>
      <c r="O121" s="29"/>
      <c r="P121" s="18">
        <v>1.68</v>
      </c>
      <c r="Q121" s="18">
        <f>ROUND((P121*F121),2)</f>
        <v>67440.929999999993</v>
      </c>
      <c r="R121" s="18"/>
      <c r="S121" s="18"/>
      <c r="T121" s="18"/>
      <c r="U121" s="18"/>
      <c r="V121" s="18">
        <f>E121-H121-P121</f>
        <v>0</v>
      </c>
      <c r="W121" s="18">
        <f>G121-I121-Q121</f>
        <v>0</v>
      </c>
      <c r="X121" s="35"/>
      <c r="Y121" s="35"/>
    </row>
    <row r="122" spans="1:25" ht="33.75">
      <c r="A122" s="133">
        <v>93</v>
      </c>
      <c r="B122" s="59" t="s">
        <v>197</v>
      </c>
      <c r="C122" s="44" t="s">
        <v>198</v>
      </c>
      <c r="D122" s="84" t="s">
        <v>69</v>
      </c>
      <c r="E122" s="85">
        <v>0</v>
      </c>
      <c r="F122" s="46">
        <v>268028.95</v>
      </c>
      <c r="G122" s="46">
        <f t="shared" ref="G122:G123" si="54">ROUND((F122*E122),2)</f>
        <v>0</v>
      </c>
      <c r="H122" s="29"/>
      <c r="I122" s="29"/>
      <c r="J122" s="29"/>
      <c r="K122" s="29"/>
      <c r="L122" s="29"/>
      <c r="M122" s="29"/>
      <c r="N122" s="29"/>
      <c r="O122" s="29"/>
      <c r="P122" s="18"/>
      <c r="Q122" s="18"/>
      <c r="R122" s="18"/>
      <c r="S122" s="18"/>
      <c r="T122" s="18"/>
      <c r="U122" s="18"/>
      <c r="V122" s="18">
        <f t="shared" ref="V122" si="55">E122-H122</f>
        <v>0</v>
      </c>
      <c r="W122" s="18">
        <f t="shared" ref="W122" si="56">G122-I122</f>
        <v>0</v>
      </c>
      <c r="X122" s="35"/>
      <c r="Y122" s="35"/>
    </row>
    <row r="123" spans="1:25" ht="45">
      <c r="A123" s="133">
        <v>94</v>
      </c>
      <c r="B123" s="59" t="s">
        <v>199</v>
      </c>
      <c r="C123" s="44" t="s">
        <v>200</v>
      </c>
      <c r="D123" s="86" t="s">
        <v>69</v>
      </c>
      <c r="E123" s="87">
        <v>5.55</v>
      </c>
      <c r="F123" s="46">
        <v>336933.72</v>
      </c>
      <c r="G123" s="46">
        <f t="shared" si="54"/>
        <v>1869982.15</v>
      </c>
      <c r="H123" s="29"/>
      <c r="I123" s="29"/>
      <c r="J123" s="29"/>
      <c r="K123" s="29"/>
      <c r="L123" s="29"/>
      <c r="M123" s="29"/>
      <c r="N123" s="29"/>
      <c r="O123" s="29"/>
      <c r="P123" s="18">
        <v>5.4</v>
      </c>
      <c r="Q123" s="18">
        <f>ROUND((P123*F123),2)</f>
        <v>1819442.09</v>
      </c>
      <c r="R123" s="18"/>
      <c r="S123" s="18"/>
      <c r="T123" s="18"/>
      <c r="U123" s="18"/>
      <c r="V123" s="18">
        <f>E123-H123-P123</f>
        <v>0.14999999999999947</v>
      </c>
      <c r="W123" s="18">
        <f>G123-I123-Q123</f>
        <v>50540.059999999823</v>
      </c>
      <c r="X123" s="35"/>
      <c r="Y123" s="35"/>
    </row>
    <row r="124" spans="1:25" ht="15">
      <c r="A124" s="39"/>
      <c r="B124" s="60"/>
      <c r="C124" s="82" t="s">
        <v>201</v>
      </c>
      <c r="D124" s="47"/>
      <c r="E124" s="74"/>
      <c r="F124" s="62"/>
      <c r="G124" s="164">
        <f>SUM(G121:G123)</f>
        <v>1937423.0799999998</v>
      </c>
      <c r="H124" s="29"/>
      <c r="I124" s="83">
        <f>SUM(I121:I123)</f>
        <v>0</v>
      </c>
      <c r="J124" s="29"/>
      <c r="K124" s="83">
        <f>SUM(K121:K123)</f>
        <v>0</v>
      </c>
      <c r="L124" s="29"/>
      <c r="M124" s="83">
        <f>SUM(M121:M123)</f>
        <v>0</v>
      </c>
      <c r="N124" s="29"/>
      <c r="O124" s="83">
        <f>SUM(O121:O123)</f>
        <v>0</v>
      </c>
      <c r="P124" s="29"/>
      <c r="Q124" s="42">
        <f>SUM(Q121:Q123)</f>
        <v>1886883.02</v>
      </c>
      <c r="R124" s="42"/>
      <c r="S124" s="42"/>
      <c r="T124" s="42"/>
      <c r="U124" s="42"/>
      <c r="V124" s="83"/>
      <c r="W124" s="42">
        <f>SUM(W121:W123)</f>
        <v>50540.059999999823</v>
      </c>
      <c r="X124" s="35"/>
      <c r="Y124" s="35"/>
    </row>
    <row r="125" spans="1:25" ht="15">
      <c r="A125" s="145" t="s">
        <v>202</v>
      </c>
      <c r="B125" s="145"/>
      <c r="C125" s="145"/>
      <c r="D125" s="145"/>
      <c r="E125" s="145"/>
      <c r="F125" s="145"/>
      <c r="G125" s="145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35"/>
      <c r="Y125" s="35"/>
    </row>
    <row r="126" spans="1:25" ht="45">
      <c r="A126" s="129">
        <v>95</v>
      </c>
      <c r="B126" s="60" t="s">
        <v>203</v>
      </c>
      <c r="C126" s="61" t="s">
        <v>204</v>
      </c>
      <c r="D126" s="78" t="s">
        <v>28</v>
      </c>
      <c r="E126" s="88">
        <v>2.4630000000000001</v>
      </c>
      <c r="F126" s="89">
        <v>246677.63</v>
      </c>
      <c r="G126" s="99">
        <f>ROUND((F126*E126),2)</f>
        <v>607567</v>
      </c>
      <c r="H126" s="100"/>
      <c r="I126" s="100"/>
      <c r="J126" s="100"/>
      <c r="K126" s="100"/>
      <c r="L126" s="100"/>
      <c r="M126" s="100"/>
      <c r="N126" s="100"/>
      <c r="O126" s="100"/>
      <c r="P126" s="130">
        <v>2.4630000000000001</v>
      </c>
      <c r="Q126" s="131">
        <f>ROUND((P126*F126),2)</f>
        <v>607567</v>
      </c>
      <c r="R126" s="131"/>
      <c r="S126" s="131"/>
      <c r="T126" s="131"/>
      <c r="U126" s="131"/>
      <c r="V126" s="18">
        <f>E126-H126-P126</f>
        <v>0</v>
      </c>
      <c r="W126" s="18">
        <f>G126-I126-Q126</f>
        <v>0</v>
      </c>
    </row>
    <row r="127" spans="1:25" ht="33.75">
      <c r="A127" s="129">
        <v>96</v>
      </c>
      <c r="B127" s="60" t="s">
        <v>205</v>
      </c>
      <c r="C127" s="61" t="s">
        <v>206</v>
      </c>
      <c r="D127" s="78" t="s">
        <v>120</v>
      </c>
      <c r="E127" s="88">
        <v>0</v>
      </c>
      <c r="F127" s="89">
        <v>134491.31</v>
      </c>
      <c r="G127" s="99">
        <f t="shared" ref="G127:G181" si="57">ROUND((F127*E127),2)</f>
        <v>0</v>
      </c>
      <c r="H127" s="100"/>
      <c r="I127" s="100"/>
      <c r="J127" s="100"/>
      <c r="K127" s="100"/>
      <c r="L127" s="100"/>
      <c r="M127" s="100"/>
      <c r="N127" s="100"/>
      <c r="O127" s="100"/>
      <c r="P127" s="130"/>
      <c r="Q127" s="131"/>
      <c r="R127" s="131"/>
      <c r="S127" s="131"/>
      <c r="T127" s="131"/>
      <c r="U127" s="131"/>
      <c r="V127" s="18">
        <f t="shared" ref="V127:V181" si="58">E127-H127-P127</f>
        <v>0</v>
      </c>
      <c r="W127" s="18">
        <f t="shared" ref="W127:W181" si="59">G127-I127-Q127</f>
        <v>0</v>
      </c>
    </row>
    <row r="128" spans="1:25" ht="67.5">
      <c r="A128" s="129">
        <v>97</v>
      </c>
      <c r="B128" s="59" t="s">
        <v>207</v>
      </c>
      <c r="C128" s="44" t="s">
        <v>86</v>
      </c>
      <c r="D128" s="86" t="s">
        <v>208</v>
      </c>
      <c r="E128" s="90">
        <v>3.86</v>
      </c>
      <c r="F128" s="91">
        <v>817684.94</v>
      </c>
      <c r="G128" s="99">
        <f t="shared" si="57"/>
        <v>3156263.87</v>
      </c>
      <c r="H128" s="100"/>
      <c r="I128" s="100"/>
      <c r="J128" s="100"/>
      <c r="K128" s="100"/>
      <c r="L128" s="100"/>
      <c r="M128" s="100"/>
      <c r="N128" s="100"/>
      <c r="O128" s="100"/>
      <c r="P128" s="130">
        <v>3.95</v>
      </c>
      <c r="Q128" s="131">
        <f t="shared" ref="Q128:Q180" si="60">ROUND((P128*F128),2)</f>
        <v>3229855.51</v>
      </c>
      <c r="R128" s="131"/>
      <c r="S128" s="131"/>
      <c r="T128" s="131"/>
      <c r="U128" s="131"/>
      <c r="V128" s="18">
        <f t="shared" si="58"/>
        <v>-9.0000000000000302E-2</v>
      </c>
      <c r="W128" s="18">
        <f t="shared" si="59"/>
        <v>-73591.639999999665</v>
      </c>
    </row>
    <row r="129" spans="1:23" ht="22.5">
      <c r="A129" s="129">
        <v>98</v>
      </c>
      <c r="B129" s="59" t="s">
        <v>209</v>
      </c>
      <c r="C129" s="44" t="s">
        <v>210</v>
      </c>
      <c r="D129" s="78" t="s">
        <v>120</v>
      </c>
      <c r="E129" s="92">
        <v>0</v>
      </c>
      <c r="F129" s="91">
        <v>1344.91</v>
      </c>
      <c r="G129" s="99">
        <f t="shared" si="57"/>
        <v>0</v>
      </c>
      <c r="H129" s="100"/>
      <c r="I129" s="100"/>
      <c r="J129" s="100"/>
      <c r="K129" s="100"/>
      <c r="L129" s="100"/>
      <c r="M129" s="100"/>
      <c r="N129" s="100"/>
      <c r="O129" s="100"/>
      <c r="P129" s="130"/>
      <c r="Q129" s="131"/>
      <c r="R129" s="131"/>
      <c r="S129" s="131"/>
      <c r="T129" s="131"/>
      <c r="U129" s="131"/>
      <c r="V129" s="18">
        <f t="shared" si="58"/>
        <v>0</v>
      </c>
      <c r="W129" s="18">
        <f t="shared" si="59"/>
        <v>0</v>
      </c>
    </row>
    <row r="130" spans="1:23" ht="22.5">
      <c r="A130" s="129">
        <v>99</v>
      </c>
      <c r="B130" s="59" t="s">
        <v>211</v>
      </c>
      <c r="C130" s="44" t="s">
        <v>212</v>
      </c>
      <c r="D130" s="78" t="s">
        <v>213</v>
      </c>
      <c r="E130" s="93">
        <v>6.48</v>
      </c>
      <c r="F130" s="91">
        <v>6320.79</v>
      </c>
      <c r="G130" s="99">
        <f t="shared" si="57"/>
        <v>40958.720000000001</v>
      </c>
      <c r="H130" s="100"/>
      <c r="I130" s="100"/>
      <c r="J130" s="100"/>
      <c r="K130" s="100"/>
      <c r="L130" s="100"/>
      <c r="M130" s="100"/>
      <c r="N130" s="100"/>
      <c r="O130" s="100"/>
      <c r="P130" s="130">
        <v>6.48</v>
      </c>
      <c r="Q130" s="131">
        <f t="shared" si="60"/>
        <v>40958.720000000001</v>
      </c>
      <c r="R130" s="131"/>
      <c r="S130" s="131"/>
      <c r="T130" s="131"/>
      <c r="U130" s="131"/>
      <c r="V130" s="18">
        <f t="shared" si="58"/>
        <v>0</v>
      </c>
      <c r="W130" s="18">
        <f t="shared" si="59"/>
        <v>0</v>
      </c>
    </row>
    <row r="131" spans="1:23" ht="33.75">
      <c r="A131" s="129">
        <v>100</v>
      </c>
      <c r="B131" s="59" t="s">
        <v>214</v>
      </c>
      <c r="C131" s="44" t="s">
        <v>215</v>
      </c>
      <c r="D131" s="94" t="s">
        <v>155</v>
      </c>
      <c r="E131" s="92">
        <v>4</v>
      </c>
      <c r="F131" s="91">
        <v>61266.28</v>
      </c>
      <c r="G131" s="99">
        <f t="shared" si="57"/>
        <v>245065.12</v>
      </c>
      <c r="H131" s="100"/>
      <c r="I131" s="100"/>
      <c r="J131" s="100"/>
      <c r="K131" s="100"/>
      <c r="L131" s="100"/>
      <c r="M131" s="100"/>
      <c r="N131" s="100"/>
      <c r="O131" s="100"/>
      <c r="P131" s="130">
        <v>4</v>
      </c>
      <c r="Q131" s="131">
        <f t="shared" si="60"/>
        <v>245065.12</v>
      </c>
      <c r="R131" s="131"/>
      <c r="S131" s="131"/>
      <c r="T131" s="131"/>
      <c r="U131" s="131"/>
      <c r="V131" s="18">
        <f t="shared" si="58"/>
        <v>0</v>
      </c>
      <c r="W131" s="18">
        <f t="shared" si="59"/>
        <v>0</v>
      </c>
    </row>
    <row r="132" spans="1:23" ht="56.25">
      <c r="A132" s="129">
        <v>101</v>
      </c>
      <c r="B132" s="59" t="s">
        <v>216</v>
      </c>
      <c r="C132" s="44" t="s">
        <v>217</v>
      </c>
      <c r="D132" s="78" t="s">
        <v>155</v>
      </c>
      <c r="E132" s="95">
        <v>22</v>
      </c>
      <c r="F132" s="89">
        <v>2222.35</v>
      </c>
      <c r="G132" s="99">
        <f t="shared" si="57"/>
        <v>48891.7</v>
      </c>
      <c r="H132" s="100"/>
      <c r="I132" s="100"/>
      <c r="J132" s="100"/>
      <c r="K132" s="100"/>
      <c r="L132" s="100"/>
      <c r="M132" s="100"/>
      <c r="N132" s="100"/>
      <c r="O132" s="100"/>
      <c r="P132" s="130">
        <v>22</v>
      </c>
      <c r="Q132" s="131">
        <f t="shared" si="60"/>
        <v>48891.7</v>
      </c>
      <c r="R132" s="131"/>
      <c r="S132" s="131"/>
      <c r="T132" s="131"/>
      <c r="U132" s="131"/>
      <c r="V132" s="18">
        <f t="shared" si="58"/>
        <v>0</v>
      </c>
      <c r="W132" s="18">
        <f t="shared" si="59"/>
        <v>0</v>
      </c>
    </row>
    <row r="133" spans="1:23" ht="67.5">
      <c r="A133" s="129">
        <v>102</v>
      </c>
      <c r="B133" s="59" t="s">
        <v>218</v>
      </c>
      <c r="C133" s="44" t="s">
        <v>219</v>
      </c>
      <c r="D133" s="86" t="s">
        <v>155</v>
      </c>
      <c r="E133" s="94">
        <v>28</v>
      </c>
      <c r="F133" s="91">
        <v>2222.35</v>
      </c>
      <c r="G133" s="99">
        <f t="shared" si="57"/>
        <v>62225.8</v>
      </c>
      <c r="H133" s="100"/>
      <c r="I133" s="100"/>
      <c r="J133" s="100"/>
      <c r="K133" s="100"/>
      <c r="L133" s="100"/>
      <c r="M133" s="100"/>
      <c r="N133" s="100"/>
      <c r="O133" s="100"/>
      <c r="P133" s="130">
        <v>28</v>
      </c>
      <c r="Q133" s="131">
        <f t="shared" si="60"/>
        <v>62225.8</v>
      </c>
      <c r="R133" s="131"/>
      <c r="S133" s="131"/>
      <c r="T133" s="131"/>
      <c r="U133" s="131"/>
      <c r="V133" s="18">
        <f t="shared" si="58"/>
        <v>0</v>
      </c>
      <c r="W133" s="18">
        <f t="shared" si="59"/>
        <v>0</v>
      </c>
    </row>
    <row r="134" spans="1:23" ht="45">
      <c r="A134" s="129">
        <v>103</v>
      </c>
      <c r="B134" s="59" t="s">
        <v>220</v>
      </c>
      <c r="C134" s="44" t="s">
        <v>221</v>
      </c>
      <c r="D134" s="78" t="s">
        <v>155</v>
      </c>
      <c r="E134" s="95">
        <v>0</v>
      </c>
      <c r="F134" s="89">
        <v>2222.35</v>
      </c>
      <c r="G134" s="99">
        <f t="shared" si="57"/>
        <v>0</v>
      </c>
      <c r="H134" s="100"/>
      <c r="I134" s="100"/>
      <c r="J134" s="100"/>
      <c r="K134" s="100"/>
      <c r="L134" s="100"/>
      <c r="M134" s="100"/>
      <c r="N134" s="100"/>
      <c r="O134" s="100"/>
      <c r="P134" s="130"/>
      <c r="Q134" s="131"/>
      <c r="R134" s="131"/>
      <c r="S134" s="131"/>
      <c r="T134" s="131"/>
      <c r="U134" s="131"/>
      <c r="V134" s="18">
        <f t="shared" si="58"/>
        <v>0</v>
      </c>
      <c r="W134" s="18">
        <f t="shared" si="59"/>
        <v>0</v>
      </c>
    </row>
    <row r="135" spans="1:23" ht="56.25">
      <c r="A135" s="129">
        <v>104</v>
      </c>
      <c r="B135" s="59" t="s">
        <v>222</v>
      </c>
      <c r="C135" s="44" t="s">
        <v>223</v>
      </c>
      <c r="D135" s="78" t="s">
        <v>155</v>
      </c>
      <c r="E135" s="95">
        <v>160</v>
      </c>
      <c r="F135" s="89">
        <v>2233.0300000000002</v>
      </c>
      <c r="G135" s="99">
        <f t="shared" si="57"/>
        <v>357284.8</v>
      </c>
      <c r="H135" s="100"/>
      <c r="I135" s="100"/>
      <c r="J135" s="100"/>
      <c r="K135" s="100"/>
      <c r="L135" s="100"/>
      <c r="M135" s="100"/>
      <c r="N135" s="100"/>
      <c r="O135" s="100"/>
      <c r="P135" s="130">
        <v>158</v>
      </c>
      <c r="Q135" s="131">
        <f t="shared" si="60"/>
        <v>352818.74</v>
      </c>
      <c r="R135" s="131"/>
      <c r="S135" s="131"/>
      <c r="T135" s="131"/>
      <c r="U135" s="131"/>
      <c r="V135" s="18">
        <f t="shared" si="58"/>
        <v>2</v>
      </c>
      <c r="W135" s="18">
        <f t="shared" si="59"/>
        <v>4466.0599999999977</v>
      </c>
    </row>
    <row r="136" spans="1:23" ht="56.25">
      <c r="A136" s="129">
        <v>105</v>
      </c>
      <c r="B136" s="59" t="s">
        <v>224</v>
      </c>
      <c r="C136" s="44" t="s">
        <v>225</v>
      </c>
      <c r="D136" s="78" t="s">
        <v>155</v>
      </c>
      <c r="E136" s="95">
        <v>42</v>
      </c>
      <c r="F136" s="89">
        <v>2885.73</v>
      </c>
      <c r="G136" s="99">
        <f t="shared" si="57"/>
        <v>121200.66</v>
      </c>
      <c r="H136" s="100"/>
      <c r="I136" s="100"/>
      <c r="J136" s="100"/>
      <c r="K136" s="100"/>
      <c r="L136" s="100"/>
      <c r="M136" s="100"/>
      <c r="N136" s="100"/>
      <c r="O136" s="100"/>
      <c r="P136" s="130">
        <v>42</v>
      </c>
      <c r="Q136" s="131">
        <f t="shared" si="60"/>
        <v>121200.66</v>
      </c>
      <c r="R136" s="131"/>
      <c r="S136" s="131"/>
      <c r="T136" s="131"/>
      <c r="U136" s="131"/>
      <c r="V136" s="18">
        <f t="shared" si="58"/>
        <v>0</v>
      </c>
      <c r="W136" s="18">
        <f t="shared" si="59"/>
        <v>0</v>
      </c>
    </row>
    <row r="137" spans="1:23" ht="56.25">
      <c r="A137" s="129">
        <v>106</v>
      </c>
      <c r="B137" s="59" t="s">
        <v>226</v>
      </c>
      <c r="C137" s="44" t="s">
        <v>227</v>
      </c>
      <c r="D137" s="78" t="s">
        <v>155</v>
      </c>
      <c r="E137" s="95">
        <v>14</v>
      </c>
      <c r="F137" s="89">
        <v>2222.35</v>
      </c>
      <c r="G137" s="99">
        <f t="shared" si="57"/>
        <v>31112.9</v>
      </c>
      <c r="H137" s="100"/>
      <c r="I137" s="100"/>
      <c r="J137" s="100"/>
      <c r="K137" s="100"/>
      <c r="L137" s="100"/>
      <c r="M137" s="100"/>
      <c r="N137" s="100"/>
      <c r="O137" s="100"/>
      <c r="P137" s="130">
        <v>14</v>
      </c>
      <c r="Q137" s="131">
        <f t="shared" si="60"/>
        <v>31112.9</v>
      </c>
      <c r="R137" s="131"/>
      <c r="S137" s="131"/>
      <c r="T137" s="131"/>
      <c r="U137" s="131"/>
      <c r="V137" s="18">
        <f t="shared" si="58"/>
        <v>0</v>
      </c>
      <c r="W137" s="18">
        <f t="shared" si="59"/>
        <v>0</v>
      </c>
    </row>
    <row r="138" spans="1:23" ht="45">
      <c r="A138" s="129">
        <v>107</v>
      </c>
      <c r="B138" s="59" t="s">
        <v>228</v>
      </c>
      <c r="C138" s="44" t="s">
        <v>229</v>
      </c>
      <c r="D138" s="78" t="s">
        <v>155</v>
      </c>
      <c r="E138" s="95">
        <v>56</v>
      </c>
      <c r="F138" s="89">
        <v>2222.35</v>
      </c>
      <c r="G138" s="99">
        <f t="shared" si="57"/>
        <v>124451.6</v>
      </c>
      <c r="H138" s="100"/>
      <c r="I138" s="100"/>
      <c r="J138" s="100"/>
      <c r="K138" s="100"/>
      <c r="L138" s="100"/>
      <c r="M138" s="100"/>
      <c r="N138" s="100"/>
      <c r="O138" s="100"/>
      <c r="P138" s="130">
        <v>56</v>
      </c>
      <c r="Q138" s="131">
        <f t="shared" si="60"/>
        <v>124451.6</v>
      </c>
      <c r="R138" s="131"/>
      <c r="S138" s="131"/>
      <c r="T138" s="131"/>
      <c r="U138" s="131"/>
      <c r="V138" s="18">
        <f t="shared" si="58"/>
        <v>0</v>
      </c>
      <c r="W138" s="18">
        <f t="shared" si="59"/>
        <v>0</v>
      </c>
    </row>
    <row r="139" spans="1:23" ht="56.25">
      <c r="A139" s="129">
        <v>108</v>
      </c>
      <c r="B139" s="59" t="s">
        <v>230</v>
      </c>
      <c r="C139" s="44" t="s">
        <v>231</v>
      </c>
      <c r="D139" s="78" t="s">
        <v>155</v>
      </c>
      <c r="E139" s="95">
        <v>1</v>
      </c>
      <c r="F139" s="89">
        <v>3084.7</v>
      </c>
      <c r="G139" s="99">
        <f t="shared" si="57"/>
        <v>3084.7</v>
      </c>
      <c r="H139" s="100"/>
      <c r="I139" s="100"/>
      <c r="J139" s="100"/>
      <c r="K139" s="100"/>
      <c r="L139" s="100"/>
      <c r="M139" s="100"/>
      <c r="N139" s="100"/>
      <c r="O139" s="100"/>
      <c r="P139" s="130">
        <v>1</v>
      </c>
      <c r="Q139" s="131">
        <f t="shared" si="60"/>
        <v>3084.7</v>
      </c>
      <c r="R139" s="131"/>
      <c r="S139" s="131"/>
      <c r="T139" s="131"/>
      <c r="U139" s="131"/>
      <c r="V139" s="18">
        <f t="shared" si="58"/>
        <v>0</v>
      </c>
      <c r="W139" s="18">
        <f t="shared" si="59"/>
        <v>0</v>
      </c>
    </row>
    <row r="140" spans="1:23" ht="45">
      <c r="A140" s="129">
        <v>109</v>
      </c>
      <c r="B140" s="59" t="s">
        <v>232</v>
      </c>
      <c r="C140" s="44" t="s">
        <v>233</v>
      </c>
      <c r="D140" s="78" t="s">
        <v>155</v>
      </c>
      <c r="E140" s="95">
        <v>4</v>
      </c>
      <c r="F140" s="89">
        <v>3076.56</v>
      </c>
      <c r="G140" s="99">
        <f t="shared" si="57"/>
        <v>12306.24</v>
      </c>
      <c r="H140" s="100"/>
      <c r="I140" s="100"/>
      <c r="J140" s="100"/>
      <c r="K140" s="100"/>
      <c r="L140" s="100"/>
      <c r="M140" s="100"/>
      <c r="N140" s="100"/>
      <c r="O140" s="100"/>
      <c r="P140" s="130">
        <v>4</v>
      </c>
      <c r="Q140" s="131">
        <f t="shared" si="60"/>
        <v>12306.24</v>
      </c>
      <c r="R140" s="131"/>
      <c r="S140" s="131"/>
      <c r="T140" s="131"/>
      <c r="U140" s="131"/>
      <c r="V140" s="18">
        <f t="shared" si="58"/>
        <v>0</v>
      </c>
      <c r="W140" s="18">
        <f t="shared" si="59"/>
        <v>0</v>
      </c>
    </row>
    <row r="141" spans="1:23" ht="56.25">
      <c r="A141" s="129">
        <v>110</v>
      </c>
      <c r="B141" s="59" t="s">
        <v>234</v>
      </c>
      <c r="C141" s="44" t="s">
        <v>235</v>
      </c>
      <c r="D141" s="78" t="s">
        <v>155</v>
      </c>
      <c r="E141" s="95">
        <v>0</v>
      </c>
      <c r="F141" s="89">
        <v>3076.56</v>
      </c>
      <c r="G141" s="99">
        <f t="shared" si="57"/>
        <v>0</v>
      </c>
      <c r="H141" s="100"/>
      <c r="I141" s="100"/>
      <c r="J141" s="100"/>
      <c r="K141" s="100"/>
      <c r="L141" s="100"/>
      <c r="M141" s="100"/>
      <c r="N141" s="100"/>
      <c r="O141" s="100"/>
      <c r="P141" s="130"/>
      <c r="Q141" s="131"/>
      <c r="R141" s="131"/>
      <c r="S141" s="131"/>
      <c r="T141" s="131"/>
      <c r="U141" s="131"/>
      <c r="V141" s="18">
        <f t="shared" si="58"/>
        <v>0</v>
      </c>
      <c r="W141" s="18">
        <f t="shared" si="59"/>
        <v>0</v>
      </c>
    </row>
    <row r="142" spans="1:23" ht="67.5">
      <c r="A142" s="129">
        <v>111</v>
      </c>
      <c r="B142" s="59" t="s">
        <v>236</v>
      </c>
      <c r="C142" s="44" t="s">
        <v>237</v>
      </c>
      <c r="D142" s="78" t="s">
        <v>155</v>
      </c>
      <c r="E142" s="95">
        <v>63</v>
      </c>
      <c r="F142" s="89">
        <v>3076.56</v>
      </c>
      <c r="G142" s="99">
        <f t="shared" si="57"/>
        <v>193823.28</v>
      </c>
      <c r="H142" s="100"/>
      <c r="I142" s="100"/>
      <c r="J142" s="100"/>
      <c r="K142" s="100"/>
      <c r="L142" s="100"/>
      <c r="M142" s="100"/>
      <c r="N142" s="100"/>
      <c r="O142" s="100"/>
      <c r="P142" s="130">
        <v>17</v>
      </c>
      <c r="Q142" s="131">
        <f t="shared" si="60"/>
        <v>52301.52</v>
      </c>
      <c r="R142" s="131"/>
      <c r="S142" s="131"/>
      <c r="T142" s="131"/>
      <c r="U142" s="131"/>
      <c r="V142" s="18">
        <f t="shared" si="58"/>
        <v>46</v>
      </c>
      <c r="W142" s="18">
        <f t="shared" si="59"/>
        <v>141521.76</v>
      </c>
    </row>
    <row r="143" spans="1:23" ht="67.5">
      <c r="A143" s="129">
        <v>112</v>
      </c>
      <c r="B143" s="59" t="s">
        <v>238</v>
      </c>
      <c r="C143" s="44" t="s">
        <v>239</v>
      </c>
      <c r="D143" s="78" t="s">
        <v>155</v>
      </c>
      <c r="E143" s="95">
        <v>0</v>
      </c>
      <c r="F143" s="89">
        <v>3076.56</v>
      </c>
      <c r="G143" s="99">
        <f t="shared" si="57"/>
        <v>0</v>
      </c>
      <c r="H143" s="100"/>
      <c r="I143" s="100"/>
      <c r="J143" s="100"/>
      <c r="K143" s="100"/>
      <c r="L143" s="100"/>
      <c r="M143" s="100"/>
      <c r="N143" s="100"/>
      <c r="O143" s="100"/>
      <c r="P143" s="130"/>
      <c r="Q143" s="131"/>
      <c r="R143" s="131"/>
      <c r="S143" s="131"/>
      <c r="T143" s="131"/>
      <c r="U143" s="131"/>
      <c r="V143" s="18">
        <f t="shared" si="58"/>
        <v>0</v>
      </c>
      <c r="W143" s="18">
        <f t="shared" si="59"/>
        <v>0</v>
      </c>
    </row>
    <row r="144" spans="1:23" ht="56.25">
      <c r="A144" s="129">
        <v>113</v>
      </c>
      <c r="B144" s="59" t="s">
        <v>240</v>
      </c>
      <c r="C144" s="44" t="s">
        <v>241</v>
      </c>
      <c r="D144" s="78" t="s">
        <v>155</v>
      </c>
      <c r="E144" s="95">
        <v>26</v>
      </c>
      <c r="F144" s="89">
        <v>3076.56</v>
      </c>
      <c r="G144" s="99">
        <f t="shared" si="57"/>
        <v>79990.559999999998</v>
      </c>
      <c r="H144" s="100"/>
      <c r="I144" s="100"/>
      <c r="J144" s="100"/>
      <c r="K144" s="100"/>
      <c r="L144" s="100"/>
      <c r="M144" s="100"/>
      <c r="N144" s="100"/>
      <c r="O144" s="100"/>
      <c r="P144" s="130">
        <v>24</v>
      </c>
      <c r="Q144" s="131">
        <f t="shared" si="60"/>
        <v>73837.440000000002</v>
      </c>
      <c r="R144" s="131"/>
      <c r="S144" s="131"/>
      <c r="T144" s="131"/>
      <c r="U144" s="131"/>
      <c r="V144" s="18">
        <f t="shared" si="58"/>
        <v>2</v>
      </c>
      <c r="W144" s="18">
        <f t="shared" si="59"/>
        <v>6153.1199999999953</v>
      </c>
    </row>
    <row r="145" spans="1:23" ht="56.25">
      <c r="A145" s="129"/>
      <c r="B145" s="59" t="s">
        <v>449</v>
      </c>
      <c r="C145" s="137" t="s">
        <v>450</v>
      </c>
      <c r="D145" s="78" t="s">
        <v>155</v>
      </c>
      <c r="E145" s="95">
        <v>8</v>
      </c>
      <c r="F145" s="89">
        <v>3076.56</v>
      </c>
      <c r="G145" s="99">
        <f t="shared" ref="G145" si="61">ROUND((F145*E145),2)</f>
        <v>24612.48</v>
      </c>
      <c r="H145" s="100"/>
      <c r="I145" s="100"/>
      <c r="J145" s="100"/>
      <c r="K145" s="100"/>
      <c r="L145" s="100"/>
      <c r="M145" s="100"/>
      <c r="N145" s="100"/>
      <c r="O145" s="100"/>
      <c r="P145" s="130"/>
      <c r="Q145" s="131"/>
      <c r="R145" s="131"/>
      <c r="S145" s="131"/>
      <c r="T145" s="131"/>
      <c r="U145" s="131"/>
      <c r="V145" s="18"/>
      <c r="W145" s="18"/>
    </row>
    <row r="146" spans="1:23" ht="78.75">
      <c r="A146" s="129">
        <v>114</v>
      </c>
      <c r="B146" s="59" t="s">
        <v>242</v>
      </c>
      <c r="C146" s="44" t="s">
        <v>243</v>
      </c>
      <c r="D146" s="78" t="s">
        <v>155</v>
      </c>
      <c r="E146" s="95">
        <v>7</v>
      </c>
      <c r="F146" s="89">
        <v>3076.56</v>
      </c>
      <c r="G146" s="99">
        <f t="shared" si="57"/>
        <v>21535.919999999998</v>
      </c>
      <c r="H146" s="100"/>
      <c r="I146" s="100"/>
      <c r="J146" s="100"/>
      <c r="K146" s="100"/>
      <c r="L146" s="100"/>
      <c r="M146" s="100"/>
      <c r="N146" s="100"/>
      <c r="O146" s="100"/>
      <c r="P146" s="130">
        <v>7</v>
      </c>
      <c r="Q146" s="131">
        <f t="shared" si="60"/>
        <v>21535.919999999998</v>
      </c>
      <c r="R146" s="131"/>
      <c r="S146" s="131"/>
      <c r="T146" s="131"/>
      <c r="U146" s="131"/>
      <c r="V146" s="18">
        <f t="shared" si="58"/>
        <v>0</v>
      </c>
      <c r="W146" s="18">
        <f t="shared" si="59"/>
        <v>0</v>
      </c>
    </row>
    <row r="147" spans="1:23" ht="56.25">
      <c r="A147" s="129">
        <v>115</v>
      </c>
      <c r="B147" s="59" t="s">
        <v>244</v>
      </c>
      <c r="C147" s="44" t="s">
        <v>245</v>
      </c>
      <c r="D147" s="78" t="s">
        <v>155</v>
      </c>
      <c r="E147" s="95">
        <v>1</v>
      </c>
      <c r="F147" s="89">
        <v>4401.6899999999996</v>
      </c>
      <c r="G147" s="99">
        <f t="shared" si="57"/>
        <v>4401.6899999999996</v>
      </c>
      <c r="H147" s="100"/>
      <c r="I147" s="100"/>
      <c r="J147" s="100"/>
      <c r="K147" s="100"/>
      <c r="L147" s="100"/>
      <c r="M147" s="100"/>
      <c r="N147" s="100"/>
      <c r="O147" s="100"/>
      <c r="P147" s="130">
        <v>1</v>
      </c>
      <c r="Q147" s="131">
        <f t="shared" si="60"/>
        <v>4401.6899999999996</v>
      </c>
      <c r="R147" s="131"/>
      <c r="S147" s="131"/>
      <c r="T147" s="131"/>
      <c r="U147" s="131"/>
      <c r="V147" s="18">
        <f t="shared" si="58"/>
        <v>0</v>
      </c>
      <c r="W147" s="18">
        <f t="shared" si="59"/>
        <v>0</v>
      </c>
    </row>
    <row r="148" spans="1:23" ht="45">
      <c r="A148" s="129">
        <v>116</v>
      </c>
      <c r="B148" s="59" t="s">
        <v>246</v>
      </c>
      <c r="C148" s="44" t="s">
        <v>247</v>
      </c>
      <c r="D148" s="78" t="s">
        <v>155</v>
      </c>
      <c r="E148" s="95">
        <v>28</v>
      </c>
      <c r="F148" s="89">
        <v>3118.78</v>
      </c>
      <c r="G148" s="99">
        <f t="shared" si="57"/>
        <v>87325.84</v>
      </c>
      <c r="H148" s="100"/>
      <c r="I148" s="100"/>
      <c r="J148" s="100"/>
      <c r="K148" s="100"/>
      <c r="L148" s="100"/>
      <c r="M148" s="100"/>
      <c r="N148" s="100"/>
      <c r="O148" s="100"/>
      <c r="P148" s="130">
        <v>28</v>
      </c>
      <c r="Q148" s="131">
        <f t="shared" si="60"/>
        <v>87325.84</v>
      </c>
      <c r="R148" s="131"/>
      <c r="S148" s="131"/>
      <c r="T148" s="131"/>
      <c r="U148" s="131"/>
      <c r="V148" s="18">
        <f t="shared" si="58"/>
        <v>0</v>
      </c>
      <c r="W148" s="18">
        <f t="shared" si="59"/>
        <v>0</v>
      </c>
    </row>
    <row r="149" spans="1:23" ht="56.25">
      <c r="A149" s="129">
        <v>117</v>
      </c>
      <c r="B149" s="59" t="s">
        <v>248</v>
      </c>
      <c r="C149" s="44" t="s">
        <v>249</v>
      </c>
      <c r="D149" s="78" t="s">
        <v>155</v>
      </c>
      <c r="E149" s="95">
        <v>76</v>
      </c>
      <c r="F149" s="89">
        <v>4401.6899999999996</v>
      </c>
      <c r="G149" s="99">
        <f t="shared" si="57"/>
        <v>334528.44</v>
      </c>
      <c r="H149" s="100"/>
      <c r="I149" s="100"/>
      <c r="J149" s="100"/>
      <c r="K149" s="100"/>
      <c r="L149" s="100"/>
      <c r="M149" s="100"/>
      <c r="N149" s="100"/>
      <c r="O149" s="100"/>
      <c r="P149" s="130">
        <v>76</v>
      </c>
      <c r="Q149" s="131">
        <f t="shared" si="60"/>
        <v>334528.44</v>
      </c>
      <c r="R149" s="131"/>
      <c r="S149" s="131"/>
      <c r="T149" s="131"/>
      <c r="U149" s="131"/>
      <c r="V149" s="18">
        <f t="shared" si="58"/>
        <v>0</v>
      </c>
      <c r="W149" s="18">
        <f t="shared" si="59"/>
        <v>0</v>
      </c>
    </row>
    <row r="150" spans="1:23" ht="56.25">
      <c r="A150" s="129">
        <v>118</v>
      </c>
      <c r="B150" s="59" t="s">
        <v>250</v>
      </c>
      <c r="C150" s="44" t="s">
        <v>251</v>
      </c>
      <c r="D150" s="78" t="s">
        <v>155</v>
      </c>
      <c r="E150" s="95">
        <v>38</v>
      </c>
      <c r="F150" s="89">
        <v>4401.6899999999996</v>
      </c>
      <c r="G150" s="99">
        <f t="shared" si="57"/>
        <v>167264.22</v>
      </c>
      <c r="H150" s="100"/>
      <c r="I150" s="100"/>
      <c r="J150" s="100"/>
      <c r="K150" s="100"/>
      <c r="L150" s="100"/>
      <c r="M150" s="100"/>
      <c r="N150" s="100"/>
      <c r="O150" s="100"/>
      <c r="P150" s="130">
        <v>32</v>
      </c>
      <c r="Q150" s="131">
        <f t="shared" si="60"/>
        <v>140854.07999999999</v>
      </c>
      <c r="R150" s="131"/>
      <c r="S150" s="131"/>
      <c r="T150" s="131"/>
      <c r="U150" s="131"/>
      <c r="V150" s="18">
        <f t="shared" si="58"/>
        <v>6</v>
      </c>
      <c r="W150" s="18">
        <f t="shared" si="59"/>
        <v>26410.140000000014</v>
      </c>
    </row>
    <row r="151" spans="1:23" ht="78.75">
      <c r="A151" s="129">
        <v>119</v>
      </c>
      <c r="B151" s="59" t="s">
        <v>252</v>
      </c>
      <c r="C151" s="44" t="s">
        <v>253</v>
      </c>
      <c r="D151" s="86" t="s">
        <v>254</v>
      </c>
      <c r="E151" s="96">
        <v>2.3199999999999998</v>
      </c>
      <c r="F151" s="91">
        <v>6935.17</v>
      </c>
      <c r="G151" s="99">
        <f t="shared" si="57"/>
        <v>16089.59</v>
      </c>
      <c r="H151" s="100"/>
      <c r="I151" s="100"/>
      <c r="J151" s="100"/>
      <c r="K151" s="100"/>
      <c r="L151" s="100"/>
      <c r="M151" s="100"/>
      <c r="N151" s="100"/>
      <c r="O151" s="100"/>
      <c r="P151" s="130">
        <v>2.3199999999999998</v>
      </c>
      <c r="Q151" s="131">
        <f t="shared" si="60"/>
        <v>16089.59</v>
      </c>
      <c r="R151" s="131"/>
      <c r="S151" s="131"/>
      <c r="T151" s="131"/>
      <c r="U151" s="131"/>
      <c r="V151" s="18">
        <f t="shared" si="58"/>
        <v>0</v>
      </c>
      <c r="W151" s="18">
        <f t="shared" si="59"/>
        <v>0</v>
      </c>
    </row>
    <row r="152" spans="1:23" ht="78.75">
      <c r="A152" s="129">
        <v>120</v>
      </c>
      <c r="B152" s="59" t="s">
        <v>255</v>
      </c>
      <c r="C152" s="44" t="s">
        <v>256</v>
      </c>
      <c r="D152" s="78" t="s">
        <v>254</v>
      </c>
      <c r="E152" s="97">
        <v>2.04</v>
      </c>
      <c r="F152" s="89">
        <v>6935.17</v>
      </c>
      <c r="G152" s="99">
        <f t="shared" si="57"/>
        <v>14147.75</v>
      </c>
      <c r="H152" s="100"/>
      <c r="I152" s="100"/>
      <c r="J152" s="100"/>
      <c r="K152" s="100"/>
      <c r="L152" s="100"/>
      <c r="M152" s="100"/>
      <c r="N152" s="100"/>
      <c r="O152" s="100"/>
      <c r="P152" s="130">
        <v>2.04</v>
      </c>
      <c r="Q152" s="131">
        <f t="shared" si="60"/>
        <v>14147.75</v>
      </c>
      <c r="R152" s="131"/>
      <c r="S152" s="131"/>
      <c r="T152" s="131"/>
      <c r="U152" s="131"/>
      <c r="V152" s="18">
        <f t="shared" si="58"/>
        <v>0</v>
      </c>
      <c r="W152" s="18">
        <f t="shared" si="59"/>
        <v>0</v>
      </c>
    </row>
    <row r="153" spans="1:23" ht="78.75">
      <c r="A153" s="129">
        <v>121</v>
      </c>
      <c r="B153" s="59" t="s">
        <v>257</v>
      </c>
      <c r="C153" s="44" t="s">
        <v>258</v>
      </c>
      <c r="D153" s="78" t="s">
        <v>254</v>
      </c>
      <c r="E153" s="97">
        <v>2.12</v>
      </c>
      <c r="F153" s="89">
        <v>6935.17</v>
      </c>
      <c r="G153" s="99">
        <f t="shared" si="57"/>
        <v>14702.56</v>
      </c>
      <c r="H153" s="100"/>
      <c r="I153" s="100"/>
      <c r="J153" s="100"/>
      <c r="K153" s="100"/>
      <c r="L153" s="100"/>
      <c r="M153" s="100"/>
      <c r="N153" s="100"/>
      <c r="O153" s="100"/>
      <c r="P153" s="130">
        <v>2.12</v>
      </c>
      <c r="Q153" s="131">
        <f t="shared" si="60"/>
        <v>14702.56</v>
      </c>
      <c r="R153" s="131"/>
      <c r="S153" s="131"/>
      <c r="T153" s="131"/>
      <c r="U153" s="131"/>
      <c r="V153" s="18">
        <f t="shared" si="58"/>
        <v>0</v>
      </c>
      <c r="W153" s="18">
        <f t="shared" si="59"/>
        <v>0</v>
      </c>
    </row>
    <row r="154" spans="1:23" ht="78.75">
      <c r="A154" s="129">
        <v>122</v>
      </c>
      <c r="B154" s="59" t="s">
        <v>259</v>
      </c>
      <c r="C154" s="44" t="s">
        <v>260</v>
      </c>
      <c r="D154" s="78" t="s">
        <v>254</v>
      </c>
      <c r="E154" s="97">
        <v>2.52</v>
      </c>
      <c r="F154" s="89">
        <v>6935.17</v>
      </c>
      <c r="G154" s="99">
        <f t="shared" si="57"/>
        <v>17476.63</v>
      </c>
      <c r="H154" s="100"/>
      <c r="I154" s="100"/>
      <c r="J154" s="100"/>
      <c r="K154" s="100"/>
      <c r="L154" s="100"/>
      <c r="M154" s="100"/>
      <c r="N154" s="100"/>
      <c r="O154" s="100"/>
      <c r="P154" s="130">
        <v>2.52</v>
      </c>
      <c r="Q154" s="131">
        <f t="shared" si="60"/>
        <v>17476.63</v>
      </c>
      <c r="R154" s="131"/>
      <c r="S154" s="131"/>
      <c r="T154" s="131"/>
      <c r="U154" s="131"/>
      <c r="V154" s="18">
        <f t="shared" si="58"/>
        <v>0</v>
      </c>
      <c r="W154" s="18">
        <f t="shared" si="59"/>
        <v>0</v>
      </c>
    </row>
    <row r="155" spans="1:23" ht="78.75">
      <c r="A155" s="129">
        <v>123</v>
      </c>
      <c r="B155" s="59" t="s">
        <v>261</v>
      </c>
      <c r="C155" s="44" t="s">
        <v>262</v>
      </c>
      <c r="D155" s="78" t="s">
        <v>254</v>
      </c>
      <c r="E155" s="97">
        <v>2.2400000000000002</v>
      </c>
      <c r="F155" s="89">
        <v>6935.17</v>
      </c>
      <c r="G155" s="99">
        <f t="shared" si="57"/>
        <v>15534.78</v>
      </c>
      <c r="H155" s="100"/>
      <c r="I155" s="100"/>
      <c r="J155" s="100"/>
      <c r="K155" s="100"/>
      <c r="L155" s="100"/>
      <c r="M155" s="100"/>
      <c r="N155" s="100"/>
      <c r="O155" s="100"/>
      <c r="P155" s="130">
        <v>2.2400000000000002</v>
      </c>
      <c r="Q155" s="131">
        <f t="shared" si="60"/>
        <v>15534.78</v>
      </c>
      <c r="R155" s="131"/>
      <c r="S155" s="131"/>
      <c r="T155" s="131"/>
      <c r="U155" s="131"/>
      <c r="V155" s="18">
        <f t="shared" si="58"/>
        <v>0</v>
      </c>
      <c r="W155" s="18">
        <f t="shared" si="59"/>
        <v>0</v>
      </c>
    </row>
    <row r="156" spans="1:23" ht="45">
      <c r="A156" s="129">
        <v>124</v>
      </c>
      <c r="B156" s="59" t="s">
        <v>263</v>
      </c>
      <c r="C156" s="44" t="s">
        <v>264</v>
      </c>
      <c r="D156" s="78" t="s">
        <v>155</v>
      </c>
      <c r="E156" s="95">
        <v>0</v>
      </c>
      <c r="F156" s="89">
        <v>4401.6899999999996</v>
      </c>
      <c r="G156" s="99">
        <f t="shared" si="57"/>
        <v>0</v>
      </c>
      <c r="H156" s="100"/>
      <c r="I156" s="100"/>
      <c r="J156" s="100"/>
      <c r="K156" s="100"/>
      <c r="L156" s="100"/>
      <c r="M156" s="100"/>
      <c r="N156" s="100"/>
      <c r="O156" s="100"/>
      <c r="P156" s="130"/>
      <c r="Q156" s="131"/>
      <c r="R156" s="131"/>
      <c r="S156" s="131"/>
      <c r="T156" s="131"/>
      <c r="U156" s="131"/>
      <c r="V156" s="18">
        <f t="shared" si="58"/>
        <v>0</v>
      </c>
      <c r="W156" s="18">
        <f t="shared" si="59"/>
        <v>0</v>
      </c>
    </row>
    <row r="157" spans="1:23" ht="67.5">
      <c r="A157" s="129">
        <v>125</v>
      </c>
      <c r="B157" s="59" t="s">
        <v>265</v>
      </c>
      <c r="C157" s="44" t="s">
        <v>266</v>
      </c>
      <c r="D157" s="78" t="s">
        <v>254</v>
      </c>
      <c r="E157" s="97">
        <v>5.0599999999999996</v>
      </c>
      <c r="F157" s="89">
        <v>6935.17</v>
      </c>
      <c r="G157" s="99">
        <f t="shared" si="57"/>
        <v>35091.96</v>
      </c>
      <c r="H157" s="100"/>
      <c r="I157" s="100"/>
      <c r="J157" s="100"/>
      <c r="K157" s="100"/>
      <c r="L157" s="100"/>
      <c r="M157" s="100"/>
      <c r="N157" s="100"/>
      <c r="O157" s="100"/>
      <c r="P157" s="130">
        <v>5.0599999999999996</v>
      </c>
      <c r="Q157" s="131">
        <f t="shared" si="60"/>
        <v>35091.96</v>
      </c>
      <c r="R157" s="131"/>
      <c r="S157" s="131"/>
      <c r="T157" s="131"/>
      <c r="U157" s="131"/>
      <c r="V157" s="18">
        <f t="shared" si="58"/>
        <v>0</v>
      </c>
      <c r="W157" s="18">
        <f t="shared" si="59"/>
        <v>0</v>
      </c>
    </row>
    <row r="158" spans="1:23" ht="67.5">
      <c r="A158" s="129">
        <v>126</v>
      </c>
      <c r="B158" s="59" t="s">
        <v>267</v>
      </c>
      <c r="C158" s="44" t="s">
        <v>268</v>
      </c>
      <c r="D158" s="78" t="s">
        <v>254</v>
      </c>
      <c r="E158" s="97">
        <v>5.0599999999999996</v>
      </c>
      <c r="F158" s="89">
        <v>6935.17</v>
      </c>
      <c r="G158" s="99">
        <f t="shared" si="57"/>
        <v>35091.96</v>
      </c>
      <c r="H158" s="100"/>
      <c r="I158" s="100"/>
      <c r="J158" s="100"/>
      <c r="K158" s="100"/>
      <c r="L158" s="100"/>
      <c r="M158" s="100"/>
      <c r="N158" s="100"/>
      <c r="O158" s="100"/>
      <c r="P158" s="130">
        <v>5.0599999999999996</v>
      </c>
      <c r="Q158" s="131">
        <f t="shared" si="60"/>
        <v>35091.96</v>
      </c>
      <c r="R158" s="131"/>
      <c r="S158" s="131"/>
      <c r="T158" s="131"/>
      <c r="U158" s="131"/>
      <c r="V158" s="18">
        <f t="shared" si="58"/>
        <v>0</v>
      </c>
      <c r="W158" s="18">
        <f t="shared" si="59"/>
        <v>0</v>
      </c>
    </row>
    <row r="159" spans="1:23" ht="67.5">
      <c r="A159" s="129">
        <v>127</v>
      </c>
      <c r="B159" s="59" t="s">
        <v>269</v>
      </c>
      <c r="C159" s="44" t="s">
        <v>270</v>
      </c>
      <c r="D159" s="78" t="s">
        <v>254</v>
      </c>
      <c r="E159" s="97">
        <v>5.0599999999999996</v>
      </c>
      <c r="F159" s="89">
        <v>6935.17</v>
      </c>
      <c r="G159" s="99">
        <f t="shared" si="57"/>
        <v>35091.96</v>
      </c>
      <c r="H159" s="100"/>
      <c r="I159" s="100"/>
      <c r="J159" s="100"/>
      <c r="K159" s="100"/>
      <c r="L159" s="100"/>
      <c r="M159" s="100"/>
      <c r="N159" s="100"/>
      <c r="O159" s="100"/>
      <c r="P159" s="130">
        <v>5.0599999999999996</v>
      </c>
      <c r="Q159" s="131">
        <f t="shared" si="60"/>
        <v>35091.96</v>
      </c>
      <c r="R159" s="131"/>
      <c r="S159" s="131"/>
      <c r="T159" s="131"/>
      <c r="U159" s="131"/>
      <c r="V159" s="18">
        <f t="shared" si="58"/>
        <v>0</v>
      </c>
      <c r="W159" s="18">
        <f t="shared" si="59"/>
        <v>0</v>
      </c>
    </row>
    <row r="160" spans="1:23" ht="67.5">
      <c r="A160" s="129">
        <v>128</v>
      </c>
      <c r="B160" s="59" t="s">
        <v>271</v>
      </c>
      <c r="C160" s="44" t="s">
        <v>272</v>
      </c>
      <c r="D160" s="78" t="s">
        <v>254</v>
      </c>
      <c r="E160" s="97">
        <v>5.0599999999999996</v>
      </c>
      <c r="F160" s="89">
        <v>6935.17</v>
      </c>
      <c r="G160" s="99">
        <f t="shared" si="57"/>
        <v>35091.96</v>
      </c>
      <c r="H160" s="100"/>
      <c r="I160" s="100"/>
      <c r="J160" s="100"/>
      <c r="K160" s="100"/>
      <c r="L160" s="100"/>
      <c r="M160" s="100"/>
      <c r="N160" s="100"/>
      <c r="O160" s="100"/>
      <c r="P160" s="130">
        <v>5.0599999999999996</v>
      </c>
      <c r="Q160" s="131">
        <f t="shared" si="60"/>
        <v>35091.96</v>
      </c>
      <c r="R160" s="131"/>
      <c r="S160" s="131"/>
      <c r="T160" s="131"/>
      <c r="U160" s="131"/>
      <c r="V160" s="18">
        <f t="shared" si="58"/>
        <v>0</v>
      </c>
      <c r="W160" s="18">
        <f t="shared" si="59"/>
        <v>0</v>
      </c>
    </row>
    <row r="161" spans="1:23" ht="67.5">
      <c r="A161" s="129">
        <v>129</v>
      </c>
      <c r="B161" s="59" t="s">
        <v>273</v>
      </c>
      <c r="C161" s="44" t="s">
        <v>274</v>
      </c>
      <c r="D161" s="78" t="s">
        <v>254</v>
      </c>
      <c r="E161" s="97">
        <v>5.0199999999999996</v>
      </c>
      <c r="F161" s="89">
        <v>6935.17</v>
      </c>
      <c r="G161" s="99">
        <f t="shared" si="57"/>
        <v>34814.550000000003</v>
      </c>
      <c r="H161" s="100"/>
      <c r="I161" s="100"/>
      <c r="J161" s="100"/>
      <c r="K161" s="100"/>
      <c r="L161" s="100"/>
      <c r="M161" s="100"/>
      <c r="N161" s="100"/>
      <c r="O161" s="100"/>
      <c r="P161" s="130">
        <v>5.0199999999999996</v>
      </c>
      <c r="Q161" s="131">
        <f t="shared" si="60"/>
        <v>34814.550000000003</v>
      </c>
      <c r="R161" s="131"/>
      <c r="S161" s="131"/>
      <c r="T161" s="131"/>
      <c r="U161" s="131"/>
      <c r="V161" s="18">
        <f t="shared" si="58"/>
        <v>0</v>
      </c>
      <c r="W161" s="18">
        <f t="shared" si="59"/>
        <v>0</v>
      </c>
    </row>
    <row r="162" spans="1:23" ht="67.5">
      <c r="A162" s="129">
        <v>130</v>
      </c>
      <c r="B162" s="59" t="s">
        <v>275</v>
      </c>
      <c r="C162" s="44" t="s">
        <v>276</v>
      </c>
      <c r="D162" s="78" t="s">
        <v>254</v>
      </c>
      <c r="E162" s="97">
        <v>2.2599999999999998</v>
      </c>
      <c r="F162" s="89">
        <v>6935.17</v>
      </c>
      <c r="G162" s="99">
        <f t="shared" si="57"/>
        <v>15673.48</v>
      </c>
      <c r="H162" s="100"/>
      <c r="I162" s="100"/>
      <c r="J162" s="100"/>
      <c r="K162" s="100"/>
      <c r="L162" s="100"/>
      <c r="M162" s="100"/>
      <c r="N162" s="100"/>
      <c r="O162" s="100"/>
      <c r="P162" s="130">
        <v>2.2599999999999998</v>
      </c>
      <c r="Q162" s="131">
        <f t="shared" si="60"/>
        <v>15673.48</v>
      </c>
      <c r="R162" s="131"/>
      <c r="S162" s="131"/>
      <c r="T162" s="131"/>
      <c r="U162" s="131"/>
      <c r="V162" s="18">
        <f t="shared" si="58"/>
        <v>0</v>
      </c>
      <c r="W162" s="18">
        <f t="shared" si="59"/>
        <v>0</v>
      </c>
    </row>
    <row r="163" spans="1:23" ht="67.5">
      <c r="A163" s="129">
        <v>131</v>
      </c>
      <c r="B163" s="59" t="s">
        <v>277</v>
      </c>
      <c r="C163" s="44" t="s">
        <v>278</v>
      </c>
      <c r="D163" s="78" t="s">
        <v>254</v>
      </c>
      <c r="E163" s="97">
        <v>1.88</v>
      </c>
      <c r="F163" s="89">
        <v>6935.17</v>
      </c>
      <c r="G163" s="99">
        <f t="shared" si="57"/>
        <v>13038.12</v>
      </c>
      <c r="H163" s="100"/>
      <c r="I163" s="100"/>
      <c r="J163" s="100"/>
      <c r="K163" s="100"/>
      <c r="L163" s="100"/>
      <c r="M163" s="100"/>
      <c r="N163" s="100"/>
      <c r="O163" s="100"/>
      <c r="P163" s="130">
        <v>1.88</v>
      </c>
      <c r="Q163" s="131">
        <f t="shared" si="60"/>
        <v>13038.12</v>
      </c>
      <c r="R163" s="131"/>
      <c r="S163" s="131"/>
      <c r="T163" s="131"/>
      <c r="U163" s="131"/>
      <c r="V163" s="18">
        <f t="shared" si="58"/>
        <v>0</v>
      </c>
      <c r="W163" s="18">
        <f t="shared" si="59"/>
        <v>0</v>
      </c>
    </row>
    <row r="164" spans="1:23" ht="67.5">
      <c r="A164" s="129">
        <v>132</v>
      </c>
      <c r="B164" s="59" t="s">
        <v>279</v>
      </c>
      <c r="C164" s="44" t="s">
        <v>280</v>
      </c>
      <c r="D164" s="78" t="s">
        <v>254</v>
      </c>
      <c r="E164" s="98">
        <v>3.2</v>
      </c>
      <c r="F164" s="89">
        <v>6935.17</v>
      </c>
      <c r="G164" s="99">
        <f t="shared" si="57"/>
        <v>22192.54</v>
      </c>
      <c r="H164" s="100"/>
      <c r="I164" s="100"/>
      <c r="J164" s="100"/>
      <c r="K164" s="100"/>
      <c r="L164" s="100"/>
      <c r="M164" s="100"/>
      <c r="N164" s="100"/>
      <c r="O164" s="100"/>
      <c r="P164" s="130">
        <v>3.2</v>
      </c>
      <c r="Q164" s="131">
        <f t="shared" si="60"/>
        <v>22192.54</v>
      </c>
      <c r="R164" s="131"/>
      <c r="S164" s="131"/>
      <c r="T164" s="131"/>
      <c r="U164" s="131"/>
      <c r="V164" s="18">
        <f t="shared" si="58"/>
        <v>0</v>
      </c>
      <c r="W164" s="18">
        <f t="shared" si="59"/>
        <v>0</v>
      </c>
    </row>
    <row r="165" spans="1:23" ht="67.5">
      <c r="A165" s="129">
        <v>133</v>
      </c>
      <c r="B165" s="59" t="s">
        <v>281</v>
      </c>
      <c r="C165" s="44" t="s">
        <v>282</v>
      </c>
      <c r="D165" s="78" t="s">
        <v>254</v>
      </c>
      <c r="E165" s="97">
        <v>2.64</v>
      </c>
      <c r="F165" s="89">
        <v>6935.17</v>
      </c>
      <c r="G165" s="99">
        <f t="shared" si="57"/>
        <v>18308.849999999999</v>
      </c>
      <c r="H165" s="100"/>
      <c r="I165" s="100"/>
      <c r="J165" s="100"/>
      <c r="K165" s="100"/>
      <c r="L165" s="100"/>
      <c r="M165" s="100"/>
      <c r="N165" s="100"/>
      <c r="O165" s="100"/>
      <c r="P165" s="130">
        <v>2.64</v>
      </c>
      <c r="Q165" s="131">
        <f t="shared" si="60"/>
        <v>18308.849999999999</v>
      </c>
      <c r="R165" s="131"/>
      <c r="S165" s="131"/>
      <c r="T165" s="131"/>
      <c r="U165" s="131"/>
      <c r="V165" s="18">
        <f t="shared" si="58"/>
        <v>0</v>
      </c>
      <c r="W165" s="18">
        <f t="shared" si="59"/>
        <v>0</v>
      </c>
    </row>
    <row r="166" spans="1:23" ht="67.5">
      <c r="A166" s="129">
        <v>134</v>
      </c>
      <c r="B166" s="59" t="s">
        <v>283</v>
      </c>
      <c r="C166" s="44" t="s">
        <v>284</v>
      </c>
      <c r="D166" s="78" t="s">
        <v>254</v>
      </c>
      <c r="E166" s="97">
        <v>2.64</v>
      </c>
      <c r="F166" s="89">
        <v>6935.17</v>
      </c>
      <c r="G166" s="99">
        <f t="shared" si="57"/>
        <v>18308.849999999999</v>
      </c>
      <c r="H166" s="100"/>
      <c r="I166" s="100"/>
      <c r="J166" s="100"/>
      <c r="K166" s="100"/>
      <c r="L166" s="100"/>
      <c r="M166" s="100"/>
      <c r="N166" s="100"/>
      <c r="O166" s="100"/>
      <c r="P166" s="130">
        <v>2.64</v>
      </c>
      <c r="Q166" s="131">
        <f t="shared" si="60"/>
        <v>18308.849999999999</v>
      </c>
      <c r="R166" s="131"/>
      <c r="S166" s="131"/>
      <c r="T166" s="131"/>
      <c r="U166" s="131"/>
      <c r="V166" s="18">
        <f t="shared" si="58"/>
        <v>0</v>
      </c>
      <c r="W166" s="18">
        <f t="shared" si="59"/>
        <v>0</v>
      </c>
    </row>
    <row r="167" spans="1:23" ht="67.5">
      <c r="A167" s="129">
        <v>135</v>
      </c>
      <c r="B167" s="59" t="s">
        <v>285</v>
      </c>
      <c r="C167" s="44" t="s">
        <v>286</v>
      </c>
      <c r="D167" s="78" t="s">
        <v>254</v>
      </c>
      <c r="E167" s="97">
        <v>2.2599999999999998</v>
      </c>
      <c r="F167" s="89">
        <v>6935.17</v>
      </c>
      <c r="G167" s="99">
        <f t="shared" si="57"/>
        <v>15673.48</v>
      </c>
      <c r="H167" s="100"/>
      <c r="I167" s="100"/>
      <c r="J167" s="100"/>
      <c r="K167" s="100"/>
      <c r="L167" s="100"/>
      <c r="M167" s="100"/>
      <c r="N167" s="100"/>
      <c r="O167" s="100"/>
      <c r="P167" s="130">
        <v>2.2599999999999998</v>
      </c>
      <c r="Q167" s="131">
        <f t="shared" si="60"/>
        <v>15673.48</v>
      </c>
      <c r="R167" s="131"/>
      <c r="S167" s="131"/>
      <c r="T167" s="131"/>
      <c r="U167" s="131"/>
      <c r="V167" s="18">
        <f t="shared" si="58"/>
        <v>0</v>
      </c>
      <c r="W167" s="18">
        <f t="shared" si="59"/>
        <v>0</v>
      </c>
    </row>
    <row r="168" spans="1:23" ht="56.25">
      <c r="A168" s="129">
        <v>136</v>
      </c>
      <c r="B168" s="59" t="s">
        <v>287</v>
      </c>
      <c r="C168" s="44" t="s">
        <v>288</v>
      </c>
      <c r="D168" s="78" t="s">
        <v>254</v>
      </c>
      <c r="E168" s="98">
        <v>1.1000000000000001</v>
      </c>
      <c r="F168" s="89">
        <v>6935.17</v>
      </c>
      <c r="G168" s="99">
        <f t="shared" si="57"/>
        <v>7628.69</v>
      </c>
      <c r="H168" s="100"/>
      <c r="I168" s="100"/>
      <c r="J168" s="100"/>
      <c r="K168" s="100"/>
      <c r="L168" s="100"/>
      <c r="M168" s="100"/>
      <c r="N168" s="100"/>
      <c r="O168" s="100"/>
      <c r="P168" s="130">
        <v>1.1000000000000001</v>
      </c>
      <c r="Q168" s="131">
        <f t="shared" si="60"/>
        <v>7628.69</v>
      </c>
      <c r="R168" s="131"/>
      <c r="S168" s="131"/>
      <c r="T168" s="131"/>
      <c r="U168" s="131"/>
      <c r="V168" s="18">
        <f t="shared" si="58"/>
        <v>0</v>
      </c>
      <c r="W168" s="18">
        <f t="shared" si="59"/>
        <v>0</v>
      </c>
    </row>
    <row r="169" spans="1:23" ht="56.25">
      <c r="A169" s="129">
        <v>137</v>
      </c>
      <c r="B169" s="59" t="s">
        <v>289</v>
      </c>
      <c r="C169" s="44" t="s">
        <v>105</v>
      </c>
      <c r="D169" s="78" t="s">
        <v>155</v>
      </c>
      <c r="E169" s="95">
        <v>11</v>
      </c>
      <c r="F169" s="89">
        <v>1005.37</v>
      </c>
      <c r="G169" s="99">
        <f t="shared" si="57"/>
        <v>11059.07</v>
      </c>
      <c r="H169" s="100"/>
      <c r="I169" s="100"/>
      <c r="J169" s="100"/>
      <c r="K169" s="100"/>
      <c r="L169" s="100"/>
      <c r="M169" s="100"/>
      <c r="N169" s="100"/>
      <c r="O169" s="100"/>
      <c r="P169" s="130">
        <v>11</v>
      </c>
      <c r="Q169" s="131">
        <f t="shared" si="60"/>
        <v>11059.07</v>
      </c>
      <c r="R169" s="131"/>
      <c r="S169" s="131"/>
      <c r="T169" s="131"/>
      <c r="U169" s="131"/>
      <c r="V169" s="18">
        <f t="shared" si="58"/>
        <v>0</v>
      </c>
      <c r="W169" s="18">
        <f t="shared" si="59"/>
        <v>0</v>
      </c>
    </row>
    <row r="170" spans="1:23" ht="56.25">
      <c r="A170" s="129"/>
      <c r="B170" s="59" t="s">
        <v>451</v>
      </c>
      <c r="C170" s="137" t="s">
        <v>452</v>
      </c>
      <c r="D170" s="78" t="s">
        <v>155</v>
      </c>
      <c r="E170" s="95">
        <v>10</v>
      </c>
      <c r="F170" s="89">
        <v>1345.03</v>
      </c>
      <c r="G170" s="99">
        <f t="shared" ref="G170" si="62">ROUND((F170*E170),2)</f>
        <v>13450.3</v>
      </c>
      <c r="H170" s="100"/>
      <c r="I170" s="100"/>
      <c r="J170" s="100"/>
      <c r="K170" s="100"/>
      <c r="L170" s="100"/>
      <c r="M170" s="100"/>
      <c r="N170" s="100"/>
      <c r="O170" s="100"/>
      <c r="P170" s="130"/>
      <c r="Q170" s="131"/>
      <c r="R170" s="131"/>
      <c r="S170" s="131"/>
      <c r="T170" s="131"/>
      <c r="U170" s="131"/>
      <c r="V170" s="18"/>
      <c r="W170" s="18"/>
    </row>
    <row r="171" spans="1:23" ht="45">
      <c r="A171" s="129">
        <v>138</v>
      </c>
      <c r="B171" s="59" t="s">
        <v>290</v>
      </c>
      <c r="C171" s="44" t="s">
        <v>291</v>
      </c>
      <c r="D171" s="78" t="s">
        <v>155</v>
      </c>
      <c r="E171" s="95">
        <v>2</v>
      </c>
      <c r="F171" s="89">
        <v>4021.3</v>
      </c>
      <c r="G171" s="99">
        <f t="shared" si="57"/>
        <v>8042.6</v>
      </c>
      <c r="H171" s="100"/>
      <c r="I171" s="100"/>
      <c r="J171" s="100"/>
      <c r="K171" s="100"/>
      <c r="L171" s="100"/>
      <c r="M171" s="100"/>
      <c r="N171" s="100"/>
      <c r="O171" s="100"/>
      <c r="P171" s="130">
        <v>2</v>
      </c>
      <c r="Q171" s="131">
        <f t="shared" si="60"/>
        <v>8042.6</v>
      </c>
      <c r="R171" s="131"/>
      <c r="S171" s="131"/>
      <c r="T171" s="131"/>
      <c r="U171" s="131"/>
      <c r="V171" s="18">
        <f t="shared" si="58"/>
        <v>0</v>
      </c>
      <c r="W171" s="18">
        <f t="shared" si="59"/>
        <v>0</v>
      </c>
    </row>
    <row r="172" spans="1:23" ht="56.25">
      <c r="A172" s="129">
        <v>139</v>
      </c>
      <c r="B172" s="59" t="s">
        <v>292</v>
      </c>
      <c r="C172" s="44" t="s">
        <v>293</v>
      </c>
      <c r="D172" s="78" t="s">
        <v>155</v>
      </c>
      <c r="E172" s="95">
        <v>4</v>
      </c>
      <c r="F172" s="89">
        <v>4021.3</v>
      </c>
      <c r="G172" s="99">
        <f t="shared" si="57"/>
        <v>16085.2</v>
      </c>
      <c r="H172" s="100"/>
      <c r="I172" s="100"/>
      <c r="J172" s="100"/>
      <c r="K172" s="100"/>
      <c r="L172" s="100"/>
      <c r="M172" s="100"/>
      <c r="N172" s="100"/>
      <c r="O172" s="100"/>
      <c r="P172" s="130">
        <v>4</v>
      </c>
      <c r="Q172" s="131">
        <f t="shared" si="60"/>
        <v>16085.2</v>
      </c>
      <c r="R172" s="131"/>
      <c r="S172" s="131"/>
      <c r="T172" s="131"/>
      <c r="U172" s="131"/>
      <c r="V172" s="18">
        <f t="shared" si="58"/>
        <v>0</v>
      </c>
      <c r="W172" s="18">
        <f t="shared" si="59"/>
        <v>0</v>
      </c>
    </row>
    <row r="173" spans="1:23" ht="45">
      <c r="A173" s="129">
        <v>140</v>
      </c>
      <c r="B173" s="59" t="s">
        <v>294</v>
      </c>
      <c r="C173" s="44" t="s">
        <v>295</v>
      </c>
      <c r="D173" s="78" t="s">
        <v>155</v>
      </c>
      <c r="E173" s="95">
        <v>0</v>
      </c>
      <c r="F173" s="89">
        <v>4021.3</v>
      </c>
      <c r="G173" s="99">
        <f t="shared" si="57"/>
        <v>0</v>
      </c>
      <c r="H173" s="100"/>
      <c r="I173" s="100"/>
      <c r="J173" s="100"/>
      <c r="K173" s="100"/>
      <c r="L173" s="100"/>
      <c r="M173" s="100"/>
      <c r="N173" s="100"/>
      <c r="O173" s="100"/>
      <c r="P173" s="130"/>
      <c r="Q173" s="131"/>
      <c r="R173" s="131"/>
      <c r="S173" s="131"/>
      <c r="T173" s="131"/>
      <c r="U173" s="131"/>
      <c r="V173" s="18">
        <f t="shared" si="58"/>
        <v>0</v>
      </c>
      <c r="W173" s="18">
        <f t="shared" si="59"/>
        <v>0</v>
      </c>
    </row>
    <row r="174" spans="1:23" ht="45">
      <c r="A174" s="129">
        <v>141</v>
      </c>
      <c r="B174" s="59" t="s">
        <v>296</v>
      </c>
      <c r="C174" s="44" t="s">
        <v>297</v>
      </c>
      <c r="D174" s="78" t="s">
        <v>155</v>
      </c>
      <c r="E174" s="95">
        <v>2</v>
      </c>
      <c r="F174" s="89">
        <v>4021.3</v>
      </c>
      <c r="G174" s="99">
        <f t="shared" si="57"/>
        <v>8042.6</v>
      </c>
      <c r="H174" s="100"/>
      <c r="I174" s="100"/>
      <c r="J174" s="100"/>
      <c r="K174" s="100"/>
      <c r="L174" s="100"/>
      <c r="M174" s="100"/>
      <c r="N174" s="100"/>
      <c r="O174" s="100"/>
      <c r="P174" s="130">
        <v>2</v>
      </c>
      <c r="Q174" s="131">
        <f t="shared" si="60"/>
        <v>8042.6</v>
      </c>
      <c r="R174" s="131"/>
      <c r="S174" s="131"/>
      <c r="T174" s="131"/>
      <c r="U174" s="131"/>
      <c r="V174" s="18">
        <f t="shared" si="58"/>
        <v>0</v>
      </c>
      <c r="W174" s="18">
        <f t="shared" si="59"/>
        <v>0</v>
      </c>
    </row>
    <row r="175" spans="1:23" ht="56.25">
      <c r="A175" s="129"/>
      <c r="B175" s="59" t="s">
        <v>296</v>
      </c>
      <c r="C175" s="137" t="s">
        <v>453</v>
      </c>
      <c r="D175" s="78" t="s">
        <v>155</v>
      </c>
      <c r="E175" s="95">
        <v>3</v>
      </c>
      <c r="F175" s="89">
        <v>1345.03</v>
      </c>
      <c r="G175" s="99">
        <f t="shared" ref="G175" si="63">ROUND((F175*E175),2)</f>
        <v>4035.09</v>
      </c>
      <c r="H175" s="100"/>
      <c r="I175" s="100"/>
      <c r="J175" s="100"/>
      <c r="K175" s="100"/>
      <c r="L175" s="100"/>
      <c r="M175" s="100"/>
      <c r="N175" s="100"/>
      <c r="O175" s="100"/>
      <c r="P175" s="130"/>
      <c r="Q175" s="131"/>
      <c r="R175" s="131"/>
      <c r="S175" s="131"/>
      <c r="T175" s="131"/>
      <c r="U175" s="131"/>
      <c r="V175" s="18"/>
      <c r="W175" s="18"/>
    </row>
    <row r="176" spans="1:23" ht="45">
      <c r="A176" s="129">
        <v>142</v>
      </c>
      <c r="B176" s="59" t="s">
        <v>298</v>
      </c>
      <c r="C176" s="44" t="s">
        <v>299</v>
      </c>
      <c r="D176" s="78" t="s">
        <v>155</v>
      </c>
      <c r="E176" s="95">
        <v>2</v>
      </c>
      <c r="F176" s="89">
        <v>1345.03</v>
      </c>
      <c r="G176" s="99">
        <f t="shared" si="57"/>
        <v>2690.06</v>
      </c>
      <c r="H176" s="100"/>
      <c r="I176" s="100"/>
      <c r="J176" s="100"/>
      <c r="K176" s="100"/>
      <c r="L176" s="100"/>
      <c r="M176" s="100"/>
      <c r="N176" s="100"/>
      <c r="O176" s="100"/>
      <c r="P176" s="130">
        <v>2</v>
      </c>
      <c r="Q176" s="131">
        <f t="shared" si="60"/>
        <v>2690.06</v>
      </c>
      <c r="R176" s="131"/>
      <c r="S176" s="131"/>
      <c r="T176" s="131"/>
      <c r="U176" s="131"/>
      <c r="V176" s="18">
        <f t="shared" si="58"/>
        <v>0</v>
      </c>
      <c r="W176" s="18">
        <f t="shared" si="59"/>
        <v>0</v>
      </c>
    </row>
    <row r="177" spans="1:23" ht="45">
      <c r="A177" s="129">
        <v>143</v>
      </c>
      <c r="B177" s="59" t="s">
        <v>300</v>
      </c>
      <c r="C177" s="44" t="s">
        <v>301</v>
      </c>
      <c r="D177" s="78" t="s">
        <v>155</v>
      </c>
      <c r="E177" s="95">
        <v>2</v>
      </c>
      <c r="F177" s="89">
        <v>1345.03</v>
      </c>
      <c r="G177" s="99">
        <f t="shared" si="57"/>
        <v>2690.06</v>
      </c>
      <c r="H177" s="100"/>
      <c r="I177" s="100"/>
      <c r="J177" s="100"/>
      <c r="K177" s="100"/>
      <c r="L177" s="100"/>
      <c r="M177" s="100"/>
      <c r="N177" s="100"/>
      <c r="O177" s="100"/>
      <c r="P177" s="130">
        <v>2</v>
      </c>
      <c r="Q177" s="131">
        <f t="shared" si="60"/>
        <v>2690.06</v>
      </c>
      <c r="R177" s="131"/>
      <c r="S177" s="131"/>
      <c r="T177" s="131"/>
      <c r="U177" s="131"/>
      <c r="V177" s="18">
        <f t="shared" si="58"/>
        <v>0</v>
      </c>
      <c r="W177" s="18">
        <f t="shared" si="59"/>
        <v>0</v>
      </c>
    </row>
    <row r="178" spans="1:23" ht="56.25">
      <c r="A178" s="129">
        <v>144</v>
      </c>
      <c r="B178" s="59" t="s">
        <v>302</v>
      </c>
      <c r="C178" s="44" t="s">
        <v>303</v>
      </c>
      <c r="D178" s="78" t="s">
        <v>155</v>
      </c>
      <c r="E178" s="95">
        <v>0</v>
      </c>
      <c r="F178" s="89">
        <v>1345.03</v>
      </c>
      <c r="G178" s="99">
        <f t="shared" si="57"/>
        <v>0</v>
      </c>
      <c r="H178" s="100"/>
      <c r="I178" s="100"/>
      <c r="J178" s="100"/>
      <c r="K178" s="100"/>
      <c r="L178" s="100"/>
      <c r="M178" s="100"/>
      <c r="N178" s="100"/>
      <c r="O178" s="100"/>
      <c r="P178" s="130"/>
      <c r="Q178" s="131"/>
      <c r="R178" s="131"/>
      <c r="S178" s="131"/>
      <c r="T178" s="131"/>
      <c r="U178" s="131"/>
      <c r="V178" s="18">
        <f t="shared" si="58"/>
        <v>0</v>
      </c>
      <c r="W178" s="18">
        <f t="shared" si="59"/>
        <v>0</v>
      </c>
    </row>
    <row r="179" spans="1:23" ht="56.25">
      <c r="A179" s="129">
        <v>145</v>
      </c>
      <c r="B179" s="59" t="s">
        <v>304</v>
      </c>
      <c r="C179" s="44" t="s">
        <v>305</v>
      </c>
      <c r="D179" s="78" t="s">
        <v>155</v>
      </c>
      <c r="E179" s="95">
        <v>0</v>
      </c>
      <c r="F179" s="89">
        <v>5962.3</v>
      </c>
      <c r="G179" s="99">
        <f t="shared" si="57"/>
        <v>0</v>
      </c>
      <c r="H179" s="100"/>
      <c r="I179" s="100"/>
      <c r="J179" s="100"/>
      <c r="K179" s="100"/>
      <c r="L179" s="100"/>
      <c r="M179" s="100"/>
      <c r="N179" s="100"/>
      <c r="O179" s="100"/>
      <c r="P179" s="130"/>
      <c r="Q179" s="131"/>
      <c r="R179" s="131"/>
      <c r="S179" s="131"/>
      <c r="T179" s="131"/>
      <c r="U179" s="131"/>
      <c r="V179" s="18">
        <f t="shared" si="58"/>
        <v>0</v>
      </c>
      <c r="W179" s="18">
        <f t="shared" si="59"/>
        <v>0</v>
      </c>
    </row>
    <row r="180" spans="1:23" ht="56.25">
      <c r="A180" s="129">
        <v>146</v>
      </c>
      <c r="B180" s="59" t="s">
        <v>306</v>
      </c>
      <c r="C180" s="44" t="s">
        <v>307</v>
      </c>
      <c r="D180" s="78" t="s">
        <v>155</v>
      </c>
      <c r="E180" s="95">
        <v>1</v>
      </c>
      <c r="F180" s="89">
        <v>5962.3</v>
      </c>
      <c r="G180" s="99">
        <f t="shared" si="57"/>
        <v>5962.3</v>
      </c>
      <c r="H180" s="100"/>
      <c r="I180" s="100"/>
      <c r="J180" s="100"/>
      <c r="K180" s="100"/>
      <c r="L180" s="100"/>
      <c r="M180" s="100"/>
      <c r="N180" s="100"/>
      <c r="O180" s="100"/>
      <c r="P180" s="130">
        <v>1</v>
      </c>
      <c r="Q180" s="131">
        <f t="shared" si="60"/>
        <v>5962.3</v>
      </c>
      <c r="R180" s="131"/>
      <c r="S180" s="131"/>
      <c r="T180" s="131"/>
      <c r="U180" s="131"/>
      <c r="V180" s="18">
        <f t="shared" si="58"/>
        <v>0</v>
      </c>
      <c r="W180" s="18">
        <f t="shared" si="59"/>
        <v>0</v>
      </c>
    </row>
    <row r="181" spans="1:23" ht="22.5">
      <c r="A181" s="129">
        <v>147</v>
      </c>
      <c r="B181" s="59" t="s">
        <v>308</v>
      </c>
      <c r="C181" s="61" t="s">
        <v>87</v>
      </c>
      <c r="D181" s="78" t="s">
        <v>174</v>
      </c>
      <c r="E181" s="97">
        <v>0.54</v>
      </c>
      <c r="F181" s="89">
        <v>43381.5</v>
      </c>
      <c r="G181" s="99">
        <f t="shared" si="57"/>
        <v>23426.01</v>
      </c>
      <c r="H181" s="100"/>
      <c r="I181" s="100"/>
      <c r="J181" s="100"/>
      <c r="K181" s="100"/>
      <c r="L181" s="100"/>
      <c r="M181" s="100"/>
      <c r="N181" s="100"/>
      <c r="O181" s="100"/>
      <c r="P181" s="130"/>
      <c r="Q181" s="131"/>
      <c r="R181" s="131"/>
      <c r="S181" s="131"/>
      <c r="T181" s="131"/>
      <c r="U181" s="131"/>
      <c r="V181" s="18">
        <f t="shared" si="58"/>
        <v>0.54</v>
      </c>
      <c r="W181" s="18">
        <f t="shared" si="59"/>
        <v>23426.01</v>
      </c>
    </row>
    <row r="182" spans="1:23">
      <c r="A182" s="100"/>
      <c r="B182" s="60"/>
      <c r="C182" s="82" t="s">
        <v>309</v>
      </c>
      <c r="D182" s="47"/>
      <c r="E182" s="74"/>
      <c r="F182" s="62"/>
      <c r="G182" s="164">
        <f>SUM(G126:G181)</f>
        <v>6183336.54</v>
      </c>
      <c r="H182" s="100"/>
      <c r="I182" s="42">
        <f>SUM(I126:I181)</f>
        <v>0</v>
      </c>
      <c r="J182" s="100"/>
      <c r="K182" s="42">
        <f>SUM(K126:K181)</f>
        <v>0</v>
      </c>
      <c r="L182" s="100"/>
      <c r="M182" s="42">
        <f>SUM(M126:M181)</f>
        <v>0</v>
      </c>
      <c r="N182" s="100"/>
      <c r="O182" s="42">
        <f>SUM(O126:O181)</f>
        <v>0</v>
      </c>
      <c r="P182" s="100"/>
      <c r="Q182" s="42">
        <f>SUM(Q126:Q181)</f>
        <v>6012853.2200000007</v>
      </c>
      <c r="R182" s="42"/>
      <c r="S182" s="42"/>
      <c r="T182" s="42"/>
      <c r="U182" s="42"/>
      <c r="V182" s="42"/>
      <c r="W182" s="42">
        <f>SUM(W126:W181)</f>
        <v>128385.45000000035</v>
      </c>
    </row>
    <row r="183" spans="1:23">
      <c r="A183" s="145" t="s">
        <v>310</v>
      </c>
      <c r="B183" s="145"/>
      <c r="C183" s="145"/>
      <c r="D183" s="145"/>
      <c r="E183" s="145"/>
      <c r="F183" s="145"/>
      <c r="G183" s="145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1:23" ht="33.75">
      <c r="A184" s="129">
        <v>148</v>
      </c>
      <c r="B184" s="60" t="s">
        <v>311</v>
      </c>
      <c r="C184" s="101" t="s">
        <v>312</v>
      </c>
      <c r="D184" s="102" t="s">
        <v>62</v>
      </c>
      <c r="E184" s="103">
        <v>27.18</v>
      </c>
      <c r="F184" s="89">
        <v>86426.21</v>
      </c>
      <c r="G184" s="99">
        <f>ROUND((F184*E184),2)</f>
        <v>2349064.39</v>
      </c>
      <c r="H184" s="100"/>
      <c r="I184" s="100"/>
      <c r="J184" s="100"/>
      <c r="K184" s="100"/>
      <c r="L184" s="100"/>
      <c r="M184" s="100"/>
      <c r="N184" s="100"/>
      <c r="O184" s="100"/>
      <c r="P184" s="130">
        <v>22.86</v>
      </c>
      <c r="Q184" s="131">
        <f t="shared" ref="Q184" si="64">ROUND((P184*F184),2)</f>
        <v>1975703.16</v>
      </c>
      <c r="R184" s="131"/>
      <c r="S184" s="131"/>
      <c r="T184" s="131"/>
      <c r="U184" s="131"/>
      <c r="V184" s="18">
        <f>E184-H184-P184</f>
        <v>4.32</v>
      </c>
      <c r="W184" s="18">
        <f>G184-I184-Q184</f>
        <v>373361.23000000021</v>
      </c>
    </row>
    <row r="185" spans="1:23" ht="33.75">
      <c r="A185" s="129">
        <v>149</v>
      </c>
      <c r="B185" s="60" t="s">
        <v>313</v>
      </c>
      <c r="C185" s="44" t="s">
        <v>98</v>
      </c>
      <c r="D185" s="102" t="s">
        <v>62</v>
      </c>
      <c r="E185" s="104">
        <v>0.52</v>
      </c>
      <c r="F185" s="91">
        <v>94834.87</v>
      </c>
      <c r="G185" s="99">
        <f t="shared" ref="G185:G198" si="65">ROUND((F185*E185),2)</f>
        <v>49314.13</v>
      </c>
      <c r="H185" s="100"/>
      <c r="I185" s="100"/>
      <c r="J185" s="100"/>
      <c r="K185" s="100"/>
      <c r="L185" s="100"/>
      <c r="M185" s="100"/>
      <c r="N185" s="100"/>
      <c r="O185" s="100"/>
      <c r="P185" s="130">
        <v>0.52</v>
      </c>
      <c r="Q185" s="131">
        <f>ROUND((P185*F185),2)-0.01</f>
        <v>49314.119999999995</v>
      </c>
      <c r="R185" s="131"/>
      <c r="S185" s="131"/>
      <c r="T185" s="131"/>
      <c r="U185" s="131"/>
      <c r="V185" s="18">
        <f t="shared" ref="V185:V198" si="66">E185-H185-P185</f>
        <v>0</v>
      </c>
      <c r="W185" s="18">
        <f t="shared" ref="W185:W198" si="67">G185-I185-Q185</f>
        <v>1.0000000002037268E-2</v>
      </c>
    </row>
    <row r="186" spans="1:23" ht="33.75">
      <c r="A186" s="129">
        <v>150</v>
      </c>
      <c r="B186" s="60" t="s">
        <v>314</v>
      </c>
      <c r="C186" s="44" t="s">
        <v>99</v>
      </c>
      <c r="D186" s="102" t="s">
        <v>62</v>
      </c>
      <c r="E186" s="103">
        <v>1.25</v>
      </c>
      <c r="F186" s="89">
        <v>86625.03</v>
      </c>
      <c r="G186" s="99">
        <f t="shared" si="65"/>
        <v>108281.29</v>
      </c>
      <c r="H186" s="100"/>
      <c r="I186" s="100"/>
      <c r="J186" s="100"/>
      <c r="K186" s="100"/>
      <c r="L186" s="100"/>
      <c r="M186" s="100"/>
      <c r="N186" s="100"/>
      <c r="O186" s="100"/>
      <c r="P186" s="130">
        <v>1.25</v>
      </c>
      <c r="Q186" s="131">
        <f t="shared" ref="Q186:Q189" si="68">ROUND((P186*F186),2)</f>
        <v>108281.29</v>
      </c>
      <c r="R186" s="131"/>
      <c r="S186" s="131"/>
      <c r="T186" s="131"/>
      <c r="U186" s="131"/>
      <c r="V186" s="18">
        <f t="shared" si="66"/>
        <v>0</v>
      </c>
      <c r="W186" s="18">
        <f t="shared" si="67"/>
        <v>0</v>
      </c>
    </row>
    <row r="187" spans="1:23" ht="33.75">
      <c r="A187" s="129">
        <v>151</v>
      </c>
      <c r="B187" s="60" t="s">
        <v>315</v>
      </c>
      <c r="C187" s="44" t="s">
        <v>316</v>
      </c>
      <c r="D187" s="102" t="s">
        <v>62</v>
      </c>
      <c r="E187" s="103">
        <v>1.2</v>
      </c>
      <c r="F187" s="89">
        <v>88642.4</v>
      </c>
      <c r="G187" s="99">
        <f t="shared" si="65"/>
        <v>106370.88</v>
      </c>
      <c r="H187" s="100"/>
      <c r="I187" s="100"/>
      <c r="J187" s="100"/>
      <c r="K187" s="100"/>
      <c r="L187" s="100"/>
      <c r="M187" s="100"/>
      <c r="N187" s="100"/>
      <c r="O187" s="100"/>
      <c r="P187" s="130">
        <v>0.47239999999999999</v>
      </c>
      <c r="Q187" s="131">
        <f>ROUND((P187*F187),2)-0.01</f>
        <v>41874.659999999996</v>
      </c>
      <c r="R187" s="131"/>
      <c r="S187" s="131"/>
      <c r="T187" s="131"/>
      <c r="U187" s="131"/>
      <c r="V187" s="18">
        <f t="shared" si="66"/>
        <v>0.72760000000000002</v>
      </c>
      <c r="W187" s="18">
        <f t="shared" si="67"/>
        <v>64496.220000000008</v>
      </c>
    </row>
    <row r="188" spans="1:23" ht="29.25" customHeight="1">
      <c r="A188" s="129">
        <v>152</v>
      </c>
      <c r="B188" s="157" t="s">
        <v>317</v>
      </c>
      <c r="C188" s="158" t="s">
        <v>318</v>
      </c>
      <c r="D188" s="102" t="s">
        <v>62</v>
      </c>
      <c r="E188" s="103">
        <v>0.94399999999999995</v>
      </c>
      <c r="F188" s="89">
        <v>86426.23</v>
      </c>
      <c r="G188" s="99">
        <f t="shared" si="65"/>
        <v>81586.36</v>
      </c>
      <c r="H188" s="100"/>
      <c r="I188" s="100"/>
      <c r="J188" s="100"/>
      <c r="K188" s="100"/>
      <c r="L188" s="100"/>
      <c r="M188" s="100"/>
      <c r="N188" s="100"/>
      <c r="O188" s="100"/>
      <c r="P188" s="130">
        <v>0.47</v>
      </c>
      <c r="Q188" s="131">
        <f t="shared" si="68"/>
        <v>40620.33</v>
      </c>
      <c r="R188" s="131"/>
      <c r="S188" s="131"/>
      <c r="T188" s="131"/>
      <c r="U188" s="131"/>
      <c r="V188" s="18">
        <f t="shared" si="66"/>
        <v>0.47399999999999998</v>
      </c>
      <c r="W188" s="18">
        <f t="shared" si="67"/>
        <v>40966.03</v>
      </c>
    </row>
    <row r="189" spans="1:23" ht="30" customHeight="1">
      <c r="A189" s="129">
        <v>153</v>
      </c>
      <c r="B189" s="157"/>
      <c r="C189" s="158"/>
      <c r="D189" s="102" t="s">
        <v>62</v>
      </c>
      <c r="E189" s="105">
        <v>0.70550000000000002</v>
      </c>
      <c r="F189" s="89">
        <v>86624.99</v>
      </c>
      <c r="G189" s="99">
        <f t="shared" si="65"/>
        <v>61113.93</v>
      </c>
      <c r="H189" s="100"/>
      <c r="I189" s="100"/>
      <c r="J189" s="100"/>
      <c r="K189" s="100"/>
      <c r="L189" s="100"/>
      <c r="M189" s="100"/>
      <c r="N189" s="100"/>
      <c r="O189" s="100"/>
      <c r="P189" s="130">
        <v>0.43</v>
      </c>
      <c r="Q189" s="131">
        <f t="shared" si="68"/>
        <v>37248.75</v>
      </c>
      <c r="R189" s="131"/>
      <c r="S189" s="131"/>
      <c r="T189" s="131"/>
      <c r="U189" s="131"/>
      <c r="V189" s="18">
        <f t="shared" si="66"/>
        <v>0.27550000000000002</v>
      </c>
      <c r="W189" s="18">
        <f t="shared" si="67"/>
        <v>23865.18</v>
      </c>
    </row>
    <row r="190" spans="1:23" ht="33.75">
      <c r="A190" s="129">
        <v>154</v>
      </c>
      <c r="B190" s="60" t="s">
        <v>319</v>
      </c>
      <c r="C190" s="44" t="s">
        <v>320</v>
      </c>
      <c r="D190" s="78" t="s">
        <v>321</v>
      </c>
      <c r="E190" s="68">
        <v>2.6</v>
      </c>
      <c r="F190" s="89">
        <v>26934.1</v>
      </c>
      <c r="G190" s="99">
        <f t="shared" si="65"/>
        <v>70028.66</v>
      </c>
      <c r="H190" s="100"/>
      <c r="I190" s="100"/>
      <c r="J190" s="100"/>
      <c r="K190" s="100"/>
      <c r="L190" s="100"/>
      <c r="M190" s="100"/>
      <c r="N190" s="100"/>
      <c r="O190" s="100"/>
      <c r="P190" s="130"/>
      <c r="Q190" s="131"/>
      <c r="R190" s="131"/>
      <c r="S190" s="131"/>
      <c r="T190" s="131"/>
      <c r="U190" s="131"/>
      <c r="V190" s="18">
        <f t="shared" si="66"/>
        <v>2.6</v>
      </c>
      <c r="W190" s="18">
        <f t="shared" si="67"/>
        <v>70028.66</v>
      </c>
    </row>
    <row r="191" spans="1:23" ht="45">
      <c r="A191" s="129">
        <v>155</v>
      </c>
      <c r="B191" s="60" t="s">
        <v>322</v>
      </c>
      <c r="C191" s="44" t="s">
        <v>323</v>
      </c>
      <c r="D191" s="78" t="s">
        <v>321</v>
      </c>
      <c r="E191" s="103">
        <v>0</v>
      </c>
      <c r="F191" s="89">
        <v>19846.47</v>
      </c>
      <c r="G191" s="99">
        <f t="shared" si="65"/>
        <v>0</v>
      </c>
      <c r="H191" s="100"/>
      <c r="I191" s="100"/>
      <c r="J191" s="100"/>
      <c r="K191" s="100"/>
      <c r="L191" s="100"/>
      <c r="M191" s="100"/>
      <c r="N191" s="100"/>
      <c r="O191" s="100"/>
      <c r="P191" s="130"/>
      <c r="Q191" s="131"/>
      <c r="R191" s="131"/>
      <c r="S191" s="131"/>
      <c r="T191" s="131"/>
      <c r="U191" s="131"/>
      <c r="V191" s="18">
        <f t="shared" si="66"/>
        <v>0</v>
      </c>
      <c r="W191" s="18">
        <f t="shared" si="67"/>
        <v>0</v>
      </c>
    </row>
    <row r="192" spans="1:23" ht="56.25">
      <c r="A192" s="129">
        <v>156</v>
      </c>
      <c r="B192" s="60" t="s">
        <v>324</v>
      </c>
      <c r="C192" s="44" t="s">
        <v>325</v>
      </c>
      <c r="D192" s="78" t="s">
        <v>321</v>
      </c>
      <c r="E192" s="79">
        <v>23.04</v>
      </c>
      <c r="F192" s="89">
        <v>40555.74</v>
      </c>
      <c r="G192" s="99">
        <f t="shared" si="65"/>
        <v>934404.25</v>
      </c>
      <c r="H192" s="100"/>
      <c r="I192" s="100"/>
      <c r="J192" s="100"/>
      <c r="K192" s="100"/>
      <c r="L192" s="100"/>
      <c r="M192" s="100"/>
      <c r="N192" s="100"/>
      <c r="O192" s="100"/>
      <c r="P192" s="130"/>
      <c r="Q192" s="131"/>
      <c r="R192" s="131"/>
      <c r="S192" s="131"/>
      <c r="T192" s="131"/>
      <c r="U192" s="131"/>
      <c r="V192" s="18">
        <f t="shared" si="66"/>
        <v>23.04</v>
      </c>
      <c r="W192" s="18">
        <f t="shared" si="67"/>
        <v>934404.25</v>
      </c>
    </row>
    <row r="193" spans="1:23" ht="56.25">
      <c r="A193" s="129">
        <v>157</v>
      </c>
      <c r="B193" s="60" t="s">
        <v>326</v>
      </c>
      <c r="C193" s="44" t="s">
        <v>327</v>
      </c>
      <c r="D193" s="78" t="s">
        <v>321</v>
      </c>
      <c r="E193" s="79">
        <v>0</v>
      </c>
      <c r="F193" s="89">
        <v>41961.279999999999</v>
      </c>
      <c r="G193" s="99">
        <f t="shared" si="65"/>
        <v>0</v>
      </c>
      <c r="H193" s="100"/>
      <c r="I193" s="100"/>
      <c r="J193" s="100"/>
      <c r="K193" s="100"/>
      <c r="L193" s="100"/>
      <c r="M193" s="100"/>
      <c r="N193" s="100"/>
      <c r="O193" s="100"/>
      <c r="P193" s="130"/>
      <c r="Q193" s="131"/>
      <c r="R193" s="131"/>
      <c r="S193" s="131"/>
      <c r="T193" s="131"/>
      <c r="U193" s="131"/>
      <c r="V193" s="18">
        <f t="shared" si="66"/>
        <v>0</v>
      </c>
      <c r="W193" s="18">
        <f t="shared" si="67"/>
        <v>0</v>
      </c>
    </row>
    <row r="194" spans="1:23" ht="45">
      <c r="A194" s="129">
        <v>158</v>
      </c>
      <c r="B194" s="60" t="s">
        <v>328</v>
      </c>
      <c r="C194" s="44" t="s">
        <v>329</v>
      </c>
      <c r="D194" s="78" t="s">
        <v>321</v>
      </c>
      <c r="E194" s="79">
        <v>0</v>
      </c>
      <c r="F194" s="89">
        <v>35876</v>
      </c>
      <c r="G194" s="99">
        <f t="shared" si="65"/>
        <v>0</v>
      </c>
      <c r="H194" s="100"/>
      <c r="I194" s="100"/>
      <c r="J194" s="100"/>
      <c r="K194" s="100"/>
      <c r="L194" s="100"/>
      <c r="M194" s="100"/>
      <c r="N194" s="100"/>
      <c r="O194" s="100"/>
      <c r="P194" s="130"/>
      <c r="Q194" s="131"/>
      <c r="R194" s="131"/>
      <c r="S194" s="131"/>
      <c r="T194" s="131"/>
      <c r="U194" s="131"/>
      <c r="V194" s="18">
        <f t="shared" si="66"/>
        <v>0</v>
      </c>
      <c r="W194" s="18">
        <f t="shared" si="67"/>
        <v>0</v>
      </c>
    </row>
    <row r="195" spans="1:23" ht="45">
      <c r="A195" s="129">
        <v>159</v>
      </c>
      <c r="B195" s="60" t="s">
        <v>330</v>
      </c>
      <c r="C195" s="44" t="s">
        <v>331</v>
      </c>
      <c r="D195" s="78" t="s">
        <v>321</v>
      </c>
      <c r="E195" s="79">
        <v>0</v>
      </c>
      <c r="F195" s="89">
        <v>35876</v>
      </c>
      <c r="G195" s="99">
        <f t="shared" si="65"/>
        <v>0</v>
      </c>
      <c r="H195" s="100"/>
      <c r="I195" s="100"/>
      <c r="J195" s="100"/>
      <c r="K195" s="100"/>
      <c r="L195" s="100"/>
      <c r="M195" s="100"/>
      <c r="N195" s="100"/>
      <c r="O195" s="100"/>
      <c r="P195" s="130"/>
      <c r="Q195" s="131"/>
      <c r="R195" s="131"/>
      <c r="S195" s="131"/>
      <c r="T195" s="131"/>
      <c r="U195" s="131"/>
      <c r="V195" s="18">
        <f t="shared" si="66"/>
        <v>0</v>
      </c>
      <c r="W195" s="18">
        <f t="shared" si="67"/>
        <v>0</v>
      </c>
    </row>
    <row r="196" spans="1:23" ht="56.25">
      <c r="A196" s="129">
        <v>160</v>
      </c>
      <c r="B196" s="60" t="s">
        <v>332</v>
      </c>
      <c r="C196" s="44" t="s">
        <v>88</v>
      </c>
      <c r="D196" s="78" t="s">
        <v>321</v>
      </c>
      <c r="E196" s="103">
        <v>3.0640000000000001</v>
      </c>
      <c r="F196" s="89">
        <v>21273.14</v>
      </c>
      <c r="G196" s="99">
        <f t="shared" si="65"/>
        <v>65180.9</v>
      </c>
      <c r="H196" s="100"/>
      <c r="I196" s="100"/>
      <c r="J196" s="100"/>
      <c r="K196" s="100"/>
      <c r="L196" s="100"/>
      <c r="M196" s="100"/>
      <c r="N196" s="100"/>
      <c r="O196" s="100"/>
      <c r="P196" s="130"/>
      <c r="Q196" s="131"/>
      <c r="R196" s="131"/>
      <c r="S196" s="131"/>
      <c r="T196" s="131"/>
      <c r="U196" s="131"/>
      <c r="V196" s="18">
        <f t="shared" si="66"/>
        <v>3.0640000000000001</v>
      </c>
      <c r="W196" s="18">
        <f t="shared" si="67"/>
        <v>65180.9</v>
      </c>
    </row>
    <row r="197" spans="1:23" ht="45">
      <c r="A197" s="129">
        <v>161</v>
      </c>
      <c r="B197" s="60" t="s">
        <v>333</v>
      </c>
      <c r="C197" s="44" t="s">
        <v>334</v>
      </c>
      <c r="D197" s="78" t="s">
        <v>321</v>
      </c>
      <c r="E197" s="103">
        <v>9.1359999999999992</v>
      </c>
      <c r="F197" s="89">
        <v>19846.52</v>
      </c>
      <c r="G197" s="99">
        <f t="shared" si="65"/>
        <v>181317.81</v>
      </c>
      <c r="H197" s="100"/>
      <c r="I197" s="100"/>
      <c r="J197" s="100"/>
      <c r="K197" s="100"/>
      <c r="L197" s="100"/>
      <c r="M197" s="100"/>
      <c r="N197" s="100"/>
      <c r="O197" s="100"/>
      <c r="P197" s="130"/>
      <c r="Q197" s="131"/>
      <c r="R197" s="131"/>
      <c r="S197" s="131"/>
      <c r="T197" s="131"/>
      <c r="U197" s="131"/>
      <c r="V197" s="18">
        <f t="shared" si="66"/>
        <v>9.1359999999999992</v>
      </c>
      <c r="W197" s="18">
        <f t="shared" si="67"/>
        <v>181317.81</v>
      </c>
    </row>
    <row r="198" spans="1:23" ht="45">
      <c r="A198" s="129">
        <v>162</v>
      </c>
      <c r="B198" s="60" t="s">
        <v>335</v>
      </c>
      <c r="C198" s="44" t="s">
        <v>336</v>
      </c>
      <c r="D198" s="78" t="s">
        <v>321</v>
      </c>
      <c r="E198" s="79">
        <v>0</v>
      </c>
      <c r="F198" s="89">
        <v>19846.509999999998</v>
      </c>
      <c r="G198" s="99">
        <f t="shared" si="65"/>
        <v>0</v>
      </c>
      <c r="H198" s="100"/>
      <c r="I198" s="100"/>
      <c r="J198" s="100"/>
      <c r="K198" s="100"/>
      <c r="L198" s="100"/>
      <c r="M198" s="100"/>
      <c r="N198" s="100"/>
      <c r="O198" s="100"/>
      <c r="P198" s="130"/>
      <c r="Q198" s="131"/>
      <c r="R198" s="131"/>
      <c r="S198" s="131"/>
      <c r="T198" s="131"/>
      <c r="U198" s="131"/>
      <c r="V198" s="18">
        <f t="shared" si="66"/>
        <v>0</v>
      </c>
      <c r="W198" s="18">
        <f t="shared" si="67"/>
        <v>0</v>
      </c>
    </row>
    <row r="199" spans="1:23">
      <c r="A199" s="100"/>
      <c r="B199" s="60"/>
      <c r="C199" s="82" t="s">
        <v>337</v>
      </c>
      <c r="D199" s="78"/>
      <c r="E199" s="79"/>
      <c r="F199" s="89"/>
      <c r="G199" s="165">
        <f>SUM(G184:G198)</f>
        <v>4006662.6</v>
      </c>
      <c r="H199" s="100"/>
      <c r="I199" s="106">
        <f>SUM(I184:I198)</f>
        <v>0</v>
      </c>
      <c r="J199" s="100"/>
      <c r="K199" s="106">
        <f>SUM(K184:K198)</f>
        <v>0</v>
      </c>
      <c r="L199" s="100"/>
      <c r="M199" s="106">
        <f>SUM(M184:M198)</f>
        <v>0</v>
      </c>
      <c r="N199" s="100"/>
      <c r="O199" s="106">
        <f>SUM(O184:O198)</f>
        <v>0</v>
      </c>
      <c r="P199" s="100"/>
      <c r="Q199" s="106">
        <f>SUM(Q184:Q198)</f>
        <v>2253042.31</v>
      </c>
      <c r="R199" s="106"/>
      <c r="S199" s="106"/>
      <c r="T199" s="106"/>
      <c r="U199" s="106"/>
      <c r="V199" s="100"/>
      <c r="W199" s="106">
        <f>SUM(W184:W198)</f>
        <v>1753620.29</v>
      </c>
    </row>
    <row r="200" spans="1:23">
      <c r="A200" s="145" t="s">
        <v>338</v>
      </c>
      <c r="B200" s="145"/>
      <c r="C200" s="145"/>
      <c r="D200" s="145"/>
      <c r="E200" s="145"/>
      <c r="F200" s="145"/>
      <c r="G200" s="145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1:23" ht="33.75">
      <c r="A201" s="129">
        <v>163</v>
      </c>
      <c r="B201" s="60" t="s">
        <v>339</v>
      </c>
      <c r="C201" s="44" t="s">
        <v>340</v>
      </c>
      <c r="D201" s="45" t="s">
        <v>120</v>
      </c>
      <c r="E201" s="105">
        <v>2.6305999999999998</v>
      </c>
      <c r="F201" s="62">
        <v>10613.53</v>
      </c>
      <c r="G201" s="62">
        <f>ROUND((F201*E201),2)</f>
        <v>27919.95</v>
      </c>
      <c r="H201" s="100"/>
      <c r="I201" s="100"/>
      <c r="J201" s="100"/>
      <c r="K201" s="100"/>
      <c r="L201" s="100"/>
      <c r="M201" s="100"/>
      <c r="N201" s="100"/>
      <c r="O201" s="100"/>
      <c r="P201" s="130">
        <v>2.2400000000000002</v>
      </c>
      <c r="Q201" s="131">
        <f t="shared" ref="Q201" si="69">ROUND((P201*F201),2)</f>
        <v>23774.31</v>
      </c>
      <c r="R201" s="131"/>
      <c r="S201" s="131"/>
      <c r="T201" s="131"/>
      <c r="U201" s="131"/>
      <c r="V201" s="18">
        <f>E201-H201-P201</f>
        <v>0.39059999999999961</v>
      </c>
      <c r="W201" s="18">
        <f>G201-I201-Q201</f>
        <v>4145.6399999999994</v>
      </c>
    </row>
    <row r="202" spans="1:23" ht="78.75">
      <c r="A202" s="129">
        <v>164</v>
      </c>
      <c r="B202" s="60" t="s">
        <v>341</v>
      </c>
      <c r="C202" s="44" t="s">
        <v>110</v>
      </c>
      <c r="D202" s="47" t="s">
        <v>89</v>
      </c>
      <c r="E202" s="103">
        <v>24.901</v>
      </c>
      <c r="F202" s="62">
        <v>343.13</v>
      </c>
      <c r="G202" s="62">
        <f t="shared" ref="G202:G204" si="70">ROUND((F202*E202),2)</f>
        <v>8544.2800000000007</v>
      </c>
      <c r="H202" s="100"/>
      <c r="I202" s="100"/>
      <c r="J202" s="100"/>
      <c r="K202" s="100"/>
      <c r="L202" s="100"/>
      <c r="M202" s="100"/>
      <c r="N202" s="100"/>
      <c r="O202" s="100"/>
      <c r="P202" s="130">
        <v>22.4</v>
      </c>
      <c r="Q202" s="131">
        <f t="shared" ref="Q202:Q204" si="71">ROUND((P202*F202),2)</f>
        <v>7686.11</v>
      </c>
      <c r="R202" s="131"/>
      <c r="S202" s="131"/>
      <c r="T202" s="131"/>
      <c r="U202" s="131"/>
      <c r="V202" s="18">
        <f t="shared" ref="V202:V204" si="72">E202-H202-P202</f>
        <v>2.5010000000000012</v>
      </c>
      <c r="W202" s="18">
        <f t="shared" ref="W202:W204" si="73">G202-I202-Q202</f>
        <v>858.17000000000098</v>
      </c>
    </row>
    <row r="203" spans="1:23" ht="33.75">
      <c r="A203" s="129">
        <v>165</v>
      </c>
      <c r="B203" s="60" t="s">
        <v>342</v>
      </c>
      <c r="C203" s="54" t="s">
        <v>91</v>
      </c>
      <c r="D203" s="78" t="s">
        <v>89</v>
      </c>
      <c r="E203" s="79">
        <v>0.26</v>
      </c>
      <c r="F203" s="62">
        <v>23493.040000000001</v>
      </c>
      <c r="G203" s="62">
        <f t="shared" si="70"/>
        <v>6108.19</v>
      </c>
      <c r="H203" s="100"/>
      <c r="I203" s="100"/>
      <c r="J203" s="100"/>
      <c r="K203" s="100"/>
      <c r="L203" s="100"/>
      <c r="M203" s="100"/>
      <c r="N203" s="100"/>
      <c r="O203" s="100"/>
      <c r="P203" s="130">
        <v>0.21840000000000001</v>
      </c>
      <c r="Q203" s="131">
        <f t="shared" si="71"/>
        <v>5130.88</v>
      </c>
      <c r="R203" s="131"/>
      <c r="S203" s="131"/>
      <c r="T203" s="131"/>
      <c r="U203" s="131"/>
      <c r="V203" s="18">
        <f t="shared" si="72"/>
        <v>4.1599999999999998E-2</v>
      </c>
      <c r="W203" s="18">
        <f t="shared" si="73"/>
        <v>977.30999999999949</v>
      </c>
    </row>
    <row r="204" spans="1:23" ht="67.5">
      <c r="A204" s="129">
        <v>166</v>
      </c>
      <c r="B204" s="60" t="s">
        <v>343</v>
      </c>
      <c r="C204" s="54" t="s">
        <v>344</v>
      </c>
      <c r="D204" s="78" t="s">
        <v>90</v>
      </c>
      <c r="E204" s="159">
        <v>1.4538899999999999</v>
      </c>
      <c r="F204" s="62">
        <v>823740.68</v>
      </c>
      <c r="G204" s="62">
        <f t="shared" si="70"/>
        <v>1197628.3400000001</v>
      </c>
      <c r="H204" s="100"/>
      <c r="I204" s="100"/>
      <c r="J204" s="100"/>
      <c r="K204" s="100"/>
      <c r="L204" s="100"/>
      <c r="M204" s="100"/>
      <c r="N204" s="100"/>
      <c r="O204" s="100"/>
      <c r="P204" s="130">
        <v>1.2209288</v>
      </c>
      <c r="Q204" s="131">
        <f t="shared" si="71"/>
        <v>1005728.72</v>
      </c>
      <c r="R204" s="131"/>
      <c r="S204" s="131"/>
      <c r="T204" s="131"/>
      <c r="U204" s="131"/>
      <c r="V204" s="18">
        <f t="shared" si="72"/>
        <v>0.23296119999999987</v>
      </c>
      <c r="W204" s="18">
        <f t="shared" si="73"/>
        <v>191899.62000000011</v>
      </c>
    </row>
    <row r="205" spans="1:23">
      <c r="A205" s="100"/>
      <c r="B205" s="60"/>
      <c r="C205" s="82" t="s">
        <v>345</v>
      </c>
      <c r="D205" s="78"/>
      <c r="E205" s="79"/>
      <c r="F205" s="89"/>
      <c r="G205" s="165">
        <f>SUM(G201:G204)</f>
        <v>1240200.76</v>
      </c>
      <c r="H205" s="100"/>
      <c r="I205" s="106">
        <f>SUM(I201:I204)</f>
        <v>0</v>
      </c>
      <c r="J205" s="100"/>
      <c r="K205" s="106">
        <f>SUM(K201:K204)</f>
        <v>0</v>
      </c>
      <c r="L205" s="100"/>
      <c r="M205" s="106">
        <f>SUM(M201:M204)</f>
        <v>0</v>
      </c>
      <c r="N205" s="100"/>
      <c r="O205" s="106">
        <f>SUM(O201:O204)</f>
        <v>0</v>
      </c>
      <c r="P205" s="100"/>
      <c r="Q205" s="106">
        <f>SUM(Q201:Q204)</f>
        <v>1042320.02</v>
      </c>
      <c r="R205" s="106"/>
      <c r="S205" s="106"/>
      <c r="T205" s="106"/>
      <c r="U205" s="106"/>
      <c r="V205" s="100"/>
      <c r="W205" s="106">
        <f>SUM(W201:W204)</f>
        <v>197880.74000000011</v>
      </c>
    </row>
    <row r="206" spans="1:23">
      <c r="A206" s="145" t="s">
        <v>346</v>
      </c>
      <c r="B206" s="145"/>
      <c r="C206" s="145"/>
      <c r="D206" s="145"/>
      <c r="E206" s="145"/>
      <c r="F206" s="145"/>
      <c r="G206" s="145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1:23" ht="56.25">
      <c r="A207" s="129">
        <v>167</v>
      </c>
      <c r="B207" s="60" t="s">
        <v>347</v>
      </c>
      <c r="C207" s="107" t="s">
        <v>348</v>
      </c>
      <c r="D207" s="45" t="s">
        <v>349</v>
      </c>
      <c r="E207" s="68">
        <v>0</v>
      </c>
      <c r="F207" s="62">
        <v>136481.14000000001</v>
      </c>
      <c r="G207" s="62">
        <f>ROUND((F207*E207),2)</f>
        <v>0</v>
      </c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8">
        <f t="shared" ref="V207:V210" si="74">E207-H207</f>
        <v>0</v>
      </c>
      <c r="W207" s="18">
        <f t="shared" ref="W207:W210" si="75">G207-I207</f>
        <v>0</v>
      </c>
    </row>
    <row r="208" spans="1:23">
      <c r="A208" s="129">
        <v>168</v>
      </c>
      <c r="B208" s="60" t="s">
        <v>350</v>
      </c>
      <c r="C208" s="107" t="s">
        <v>351</v>
      </c>
      <c r="D208" s="78" t="s">
        <v>155</v>
      </c>
      <c r="E208" s="81">
        <v>0</v>
      </c>
      <c r="F208" s="62">
        <v>1902.99</v>
      </c>
      <c r="G208" s="62">
        <f t="shared" ref="G208:G210" si="76">ROUND((F208*E208),2)</f>
        <v>0</v>
      </c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8">
        <f t="shared" si="74"/>
        <v>0</v>
      </c>
      <c r="W208" s="18">
        <f t="shared" si="75"/>
        <v>0</v>
      </c>
    </row>
    <row r="209" spans="1:23" ht="33.75">
      <c r="A209" s="129">
        <v>169</v>
      </c>
      <c r="B209" s="60" t="s">
        <v>352</v>
      </c>
      <c r="C209" s="107" t="s">
        <v>353</v>
      </c>
      <c r="D209" s="45" t="s">
        <v>354</v>
      </c>
      <c r="E209" s="103">
        <v>0</v>
      </c>
      <c r="F209" s="62">
        <v>88115.27</v>
      </c>
      <c r="G209" s="62">
        <f t="shared" si="76"/>
        <v>0</v>
      </c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8">
        <f t="shared" si="74"/>
        <v>0</v>
      </c>
      <c r="W209" s="18">
        <f t="shared" si="75"/>
        <v>0</v>
      </c>
    </row>
    <row r="210" spans="1:23" ht="33.75">
      <c r="A210" s="129">
        <v>170</v>
      </c>
      <c r="B210" s="60" t="s">
        <v>355</v>
      </c>
      <c r="C210" s="107" t="s">
        <v>356</v>
      </c>
      <c r="D210" s="45" t="s">
        <v>120</v>
      </c>
      <c r="E210" s="103">
        <v>0</v>
      </c>
      <c r="F210" s="62">
        <v>427775.27</v>
      </c>
      <c r="G210" s="62">
        <f t="shared" si="76"/>
        <v>0</v>
      </c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8">
        <f t="shared" si="74"/>
        <v>0</v>
      </c>
      <c r="W210" s="18">
        <f t="shared" si="75"/>
        <v>0</v>
      </c>
    </row>
    <row r="211" spans="1:23">
      <c r="A211" s="100"/>
      <c r="B211" s="60"/>
      <c r="C211" s="82" t="s">
        <v>357</v>
      </c>
      <c r="D211" s="78"/>
      <c r="E211" s="79"/>
      <c r="F211" s="89"/>
      <c r="G211" s="165">
        <f>SUM(G207:G210)</f>
        <v>0</v>
      </c>
      <c r="H211" s="100"/>
      <c r="I211" s="106">
        <f>SUM(I207:I210)</f>
        <v>0</v>
      </c>
      <c r="J211" s="100"/>
      <c r="K211" s="106">
        <f>SUM(K207:K210)</f>
        <v>0</v>
      </c>
      <c r="L211" s="100"/>
      <c r="M211" s="106">
        <f>SUM(M207:M210)</f>
        <v>0</v>
      </c>
      <c r="N211" s="100"/>
      <c r="O211" s="106">
        <f>SUM(O207:O210)</f>
        <v>0</v>
      </c>
      <c r="P211" s="100"/>
      <c r="Q211" s="106">
        <f>SUM(Q207:Q210)</f>
        <v>0</v>
      </c>
      <c r="R211" s="106"/>
      <c r="S211" s="106"/>
      <c r="T211" s="106"/>
      <c r="U211" s="106"/>
      <c r="V211" s="100"/>
      <c r="W211" s="106">
        <f>SUM(W207:W210)</f>
        <v>0</v>
      </c>
    </row>
    <row r="212" spans="1:23">
      <c r="A212" s="145" t="s">
        <v>358</v>
      </c>
      <c r="B212" s="145"/>
      <c r="C212" s="145"/>
      <c r="D212" s="145"/>
      <c r="E212" s="145"/>
      <c r="F212" s="145"/>
      <c r="G212" s="145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1:23" ht="33.75">
      <c r="A213" s="129">
        <v>171</v>
      </c>
      <c r="B213" s="60" t="s">
        <v>359</v>
      </c>
      <c r="C213" s="54" t="s">
        <v>360</v>
      </c>
      <c r="D213" s="45" t="s">
        <v>213</v>
      </c>
      <c r="E213" s="72">
        <v>75</v>
      </c>
      <c r="F213" s="62">
        <v>6365.67</v>
      </c>
      <c r="G213" s="62">
        <f>ROUND((F213*E213),2)</f>
        <v>477425.25</v>
      </c>
      <c r="H213" s="100"/>
      <c r="I213" s="100"/>
      <c r="J213" s="100"/>
      <c r="K213" s="100"/>
      <c r="L213" s="100"/>
      <c r="M213" s="100"/>
      <c r="N213" s="100"/>
      <c r="O213" s="100"/>
      <c r="P213" s="130">
        <v>75</v>
      </c>
      <c r="Q213" s="131">
        <f t="shared" ref="Q213" si="77">ROUND((P213*F213),2)</f>
        <v>477425.25</v>
      </c>
      <c r="R213" s="131"/>
      <c r="S213" s="131"/>
      <c r="T213" s="131"/>
      <c r="U213" s="131"/>
      <c r="V213" s="18">
        <f>E213-H213-P213</f>
        <v>0</v>
      </c>
      <c r="W213" s="18">
        <f>G213-I213-Q213</f>
        <v>0</v>
      </c>
    </row>
    <row r="214" spans="1:23" ht="45">
      <c r="A214" s="129">
        <v>172</v>
      </c>
      <c r="B214" s="60" t="s">
        <v>361</v>
      </c>
      <c r="C214" s="44" t="s">
        <v>362</v>
      </c>
      <c r="D214" s="45" t="s">
        <v>109</v>
      </c>
      <c r="E214" s="51">
        <v>0.25</v>
      </c>
      <c r="F214" s="62">
        <v>97214.36</v>
      </c>
      <c r="G214" s="62">
        <f t="shared" ref="G214:G224" si="78">ROUND((F214*E214),2)</f>
        <v>24303.59</v>
      </c>
      <c r="H214" s="100"/>
      <c r="I214" s="100"/>
      <c r="J214" s="100"/>
      <c r="K214" s="100"/>
      <c r="L214" s="100"/>
      <c r="M214" s="100"/>
      <c r="N214" s="100"/>
      <c r="O214" s="100"/>
      <c r="P214" s="130">
        <v>0.25</v>
      </c>
      <c r="Q214" s="131">
        <f t="shared" ref="Q214:Q224" si="79">ROUND((P214*F214),2)</f>
        <v>24303.59</v>
      </c>
      <c r="R214" s="131"/>
      <c r="S214" s="131"/>
      <c r="T214" s="131"/>
      <c r="U214" s="131"/>
      <c r="V214" s="18">
        <f t="shared" ref="V214:V224" si="80">E214-H214-P214</f>
        <v>0</v>
      </c>
      <c r="W214" s="18">
        <f t="shared" ref="W214:W224" si="81">G214-I214-Q214</f>
        <v>0</v>
      </c>
    </row>
    <row r="215" spans="1:23" ht="33.75">
      <c r="A215" s="129">
        <v>173</v>
      </c>
      <c r="B215" s="60" t="s">
        <v>363</v>
      </c>
      <c r="C215" s="44" t="s">
        <v>364</v>
      </c>
      <c r="D215" s="47" t="s">
        <v>62</v>
      </c>
      <c r="E215" s="48">
        <v>0.33689999999999998</v>
      </c>
      <c r="F215" s="62">
        <v>43855.981003265064</v>
      </c>
      <c r="G215" s="62">
        <f t="shared" si="78"/>
        <v>14775.08</v>
      </c>
      <c r="H215" s="100"/>
      <c r="I215" s="100"/>
      <c r="J215" s="100"/>
      <c r="K215" s="100"/>
      <c r="L215" s="100"/>
      <c r="M215" s="100"/>
      <c r="N215" s="100"/>
      <c r="O215" s="100"/>
      <c r="P215" s="130">
        <v>0.33689999999999998</v>
      </c>
      <c r="Q215" s="131">
        <f t="shared" si="79"/>
        <v>14775.08</v>
      </c>
      <c r="R215" s="131"/>
      <c r="S215" s="131"/>
      <c r="T215" s="131"/>
      <c r="U215" s="131"/>
      <c r="V215" s="18">
        <f t="shared" si="80"/>
        <v>0</v>
      </c>
      <c r="W215" s="18">
        <f t="shared" si="81"/>
        <v>0</v>
      </c>
    </row>
    <row r="216" spans="1:23" ht="45">
      <c r="A216" s="129">
        <v>174</v>
      </c>
      <c r="B216" s="60" t="s">
        <v>365</v>
      </c>
      <c r="C216" s="54" t="s">
        <v>366</v>
      </c>
      <c r="D216" s="45" t="s">
        <v>109</v>
      </c>
      <c r="E216" s="63">
        <v>1.3650000000000001E-2</v>
      </c>
      <c r="F216" s="62">
        <v>106279.12087912088</v>
      </c>
      <c r="G216" s="62">
        <f t="shared" si="78"/>
        <v>1450.71</v>
      </c>
      <c r="H216" s="100"/>
      <c r="I216" s="100"/>
      <c r="J216" s="100"/>
      <c r="K216" s="100"/>
      <c r="L216" s="100"/>
      <c r="M216" s="100"/>
      <c r="N216" s="100"/>
      <c r="O216" s="100"/>
      <c r="P216" s="130">
        <v>1.3650000000000001E-2</v>
      </c>
      <c r="Q216" s="131">
        <f t="shared" si="79"/>
        <v>1450.71</v>
      </c>
      <c r="R216" s="131"/>
      <c r="S216" s="131"/>
      <c r="T216" s="131"/>
      <c r="U216" s="131"/>
      <c r="V216" s="18">
        <f t="shared" si="80"/>
        <v>0</v>
      </c>
      <c r="W216" s="18">
        <f t="shared" si="81"/>
        <v>0</v>
      </c>
    </row>
    <row r="217" spans="1:23" ht="33.75">
      <c r="A217" s="129">
        <v>175</v>
      </c>
      <c r="B217" s="60" t="s">
        <v>367</v>
      </c>
      <c r="C217" s="54" t="s">
        <v>368</v>
      </c>
      <c r="D217" s="47" t="s">
        <v>62</v>
      </c>
      <c r="E217" s="50">
        <v>0.52500000000000002</v>
      </c>
      <c r="F217" s="62">
        <v>189646.66666666666</v>
      </c>
      <c r="G217" s="62">
        <f t="shared" si="78"/>
        <v>99564.5</v>
      </c>
      <c r="H217" s="100"/>
      <c r="I217" s="100"/>
      <c r="J217" s="100"/>
      <c r="K217" s="100"/>
      <c r="L217" s="100"/>
      <c r="M217" s="100"/>
      <c r="N217" s="100"/>
      <c r="O217" s="100"/>
      <c r="P217" s="130">
        <v>0.52500000000000002</v>
      </c>
      <c r="Q217" s="131">
        <f t="shared" si="79"/>
        <v>99564.5</v>
      </c>
      <c r="R217" s="131"/>
      <c r="S217" s="131"/>
      <c r="T217" s="131"/>
      <c r="U217" s="131"/>
      <c r="V217" s="18">
        <f t="shared" si="80"/>
        <v>0</v>
      </c>
      <c r="W217" s="18">
        <f t="shared" si="81"/>
        <v>0</v>
      </c>
    </row>
    <row r="218" spans="1:23">
      <c r="A218" s="129">
        <v>176</v>
      </c>
      <c r="B218" s="60" t="s">
        <v>369</v>
      </c>
      <c r="C218" s="54" t="s">
        <v>370</v>
      </c>
      <c r="D218" s="49" t="s">
        <v>69</v>
      </c>
      <c r="E218" s="50">
        <v>0.23599999999999999</v>
      </c>
      <c r="F218" s="62">
        <v>283926.18644067796</v>
      </c>
      <c r="G218" s="62">
        <f t="shared" si="78"/>
        <v>67006.58</v>
      </c>
      <c r="H218" s="100"/>
      <c r="I218" s="100"/>
      <c r="J218" s="100"/>
      <c r="K218" s="100"/>
      <c r="L218" s="100"/>
      <c r="M218" s="100"/>
      <c r="N218" s="100"/>
      <c r="O218" s="100"/>
      <c r="P218" s="130">
        <v>0.23599999999999999</v>
      </c>
      <c r="Q218" s="131">
        <f t="shared" si="79"/>
        <v>67006.58</v>
      </c>
      <c r="R218" s="131"/>
      <c r="S218" s="131"/>
      <c r="T218" s="131"/>
      <c r="U218" s="131"/>
      <c r="V218" s="18">
        <f t="shared" si="80"/>
        <v>0</v>
      </c>
      <c r="W218" s="18">
        <f t="shared" si="81"/>
        <v>0</v>
      </c>
    </row>
    <row r="219" spans="1:23" ht="45">
      <c r="A219" s="129">
        <v>177</v>
      </c>
      <c r="B219" s="60" t="s">
        <v>371</v>
      </c>
      <c r="C219" s="54" t="s">
        <v>366</v>
      </c>
      <c r="D219" s="45" t="s">
        <v>109</v>
      </c>
      <c r="E219" s="50">
        <v>0</v>
      </c>
      <c r="F219" s="62">
        <v>10627.962962962964</v>
      </c>
      <c r="G219" s="62">
        <f t="shared" si="78"/>
        <v>0</v>
      </c>
      <c r="H219" s="100"/>
      <c r="I219" s="100"/>
      <c r="J219" s="100"/>
      <c r="K219" s="100"/>
      <c r="L219" s="100"/>
      <c r="M219" s="100"/>
      <c r="N219" s="100"/>
      <c r="O219" s="100"/>
      <c r="P219" s="130">
        <v>0.32400000000000001</v>
      </c>
      <c r="Q219" s="131">
        <f t="shared" si="79"/>
        <v>3443.46</v>
      </c>
      <c r="R219" s="131"/>
      <c r="S219" s="131"/>
      <c r="T219" s="131"/>
      <c r="U219" s="131"/>
      <c r="V219" s="18">
        <f t="shared" si="80"/>
        <v>-0.32400000000000001</v>
      </c>
      <c r="W219" s="18">
        <f t="shared" si="81"/>
        <v>-3443.46</v>
      </c>
    </row>
    <row r="220" spans="1:23" ht="45">
      <c r="A220" s="129">
        <v>178</v>
      </c>
      <c r="B220" s="60" t="s">
        <v>372</v>
      </c>
      <c r="C220" s="108" t="s">
        <v>378</v>
      </c>
      <c r="D220" s="47" t="s">
        <v>321</v>
      </c>
      <c r="E220" s="72">
        <v>0</v>
      </c>
      <c r="F220" s="62">
        <v>111871.02833333334</v>
      </c>
      <c r="G220" s="62">
        <f t="shared" si="78"/>
        <v>0</v>
      </c>
      <c r="H220" s="100"/>
      <c r="I220" s="100"/>
      <c r="J220" s="100"/>
      <c r="K220" s="100"/>
      <c r="L220" s="100"/>
      <c r="M220" s="100"/>
      <c r="N220" s="100"/>
      <c r="O220" s="100"/>
      <c r="P220" s="130">
        <v>12</v>
      </c>
      <c r="Q220" s="131">
        <f t="shared" si="79"/>
        <v>1342452.34</v>
      </c>
      <c r="R220" s="131"/>
      <c r="S220" s="131"/>
      <c r="T220" s="131"/>
      <c r="U220" s="131"/>
      <c r="V220" s="18">
        <f t="shared" si="80"/>
        <v>-12</v>
      </c>
      <c r="W220" s="18">
        <f t="shared" si="81"/>
        <v>-1342452.34</v>
      </c>
    </row>
    <row r="221" spans="1:23" ht="45">
      <c r="A221" s="129">
        <v>179</v>
      </c>
      <c r="B221" s="60" t="s">
        <v>373</v>
      </c>
      <c r="C221" s="54" t="s">
        <v>366</v>
      </c>
      <c r="D221" s="45" t="s">
        <v>109</v>
      </c>
      <c r="E221" s="109">
        <v>0</v>
      </c>
      <c r="F221" s="62">
        <v>106280.26905829596</v>
      </c>
      <c r="G221" s="62">
        <f t="shared" si="78"/>
        <v>0</v>
      </c>
      <c r="H221" s="100"/>
      <c r="I221" s="100"/>
      <c r="J221" s="100"/>
      <c r="K221" s="100"/>
      <c r="L221" s="100"/>
      <c r="M221" s="100"/>
      <c r="N221" s="100"/>
      <c r="O221" s="100"/>
      <c r="P221" s="130">
        <v>3.1220000000000001E-2</v>
      </c>
      <c r="Q221" s="131">
        <f t="shared" si="79"/>
        <v>3318.07</v>
      </c>
      <c r="R221" s="131"/>
      <c r="S221" s="131"/>
      <c r="T221" s="131"/>
      <c r="U221" s="131"/>
      <c r="V221" s="33">
        <f t="shared" si="80"/>
        <v>-3.1220000000000001E-2</v>
      </c>
      <c r="W221" s="18">
        <f t="shared" si="81"/>
        <v>-3318.07</v>
      </c>
    </row>
    <row r="222" spans="1:23" ht="45">
      <c r="A222" s="129">
        <v>180</v>
      </c>
      <c r="B222" s="60" t="s">
        <v>374</v>
      </c>
      <c r="C222" s="108" t="s">
        <v>379</v>
      </c>
      <c r="D222" s="47" t="s">
        <v>321</v>
      </c>
      <c r="E222" s="72">
        <v>0</v>
      </c>
      <c r="F222" s="62">
        <v>111871.02833333334</v>
      </c>
      <c r="G222" s="62">
        <f t="shared" si="78"/>
        <v>0</v>
      </c>
      <c r="H222" s="100"/>
      <c r="I222" s="100"/>
      <c r="J222" s="100"/>
      <c r="K222" s="100"/>
      <c r="L222" s="100"/>
      <c r="M222" s="100"/>
      <c r="N222" s="100"/>
      <c r="O222" s="100"/>
      <c r="P222" s="130">
        <v>10.8</v>
      </c>
      <c r="Q222" s="131">
        <f t="shared" si="79"/>
        <v>1208207.1100000001</v>
      </c>
      <c r="R222" s="131"/>
      <c r="S222" s="131"/>
      <c r="T222" s="131"/>
      <c r="U222" s="131"/>
      <c r="V222" s="18">
        <f t="shared" si="80"/>
        <v>-10.8</v>
      </c>
      <c r="W222" s="18">
        <f t="shared" si="81"/>
        <v>-1208207.1100000001</v>
      </c>
    </row>
    <row r="223" spans="1:23" ht="22.5">
      <c r="A223" s="129">
        <v>181</v>
      </c>
      <c r="B223" s="60" t="s">
        <v>375</v>
      </c>
      <c r="C223" s="44" t="s">
        <v>380</v>
      </c>
      <c r="D223" s="45" t="s">
        <v>120</v>
      </c>
      <c r="E223" s="53">
        <v>0</v>
      </c>
      <c r="F223" s="62">
        <v>530616.42857142852</v>
      </c>
      <c r="G223" s="62">
        <f t="shared" si="78"/>
        <v>0</v>
      </c>
      <c r="H223" s="100"/>
      <c r="I223" s="100"/>
      <c r="J223" s="100"/>
      <c r="K223" s="100"/>
      <c r="L223" s="100"/>
      <c r="M223" s="100"/>
      <c r="N223" s="100"/>
      <c r="O223" s="100"/>
      <c r="P223" s="130">
        <v>1.0800000000000001E-2</v>
      </c>
      <c r="Q223" s="131">
        <f t="shared" si="79"/>
        <v>5730.66</v>
      </c>
      <c r="R223" s="131"/>
      <c r="S223" s="131"/>
      <c r="T223" s="131"/>
      <c r="U223" s="131"/>
      <c r="V223" s="32">
        <f t="shared" si="80"/>
        <v>-1.0800000000000001E-2</v>
      </c>
      <c r="W223" s="18">
        <f t="shared" si="81"/>
        <v>-5730.66</v>
      </c>
    </row>
    <row r="224" spans="1:23" ht="22.5">
      <c r="A224" s="129">
        <v>182</v>
      </c>
      <c r="B224" s="60" t="s">
        <v>376</v>
      </c>
      <c r="C224" s="44" t="s">
        <v>381</v>
      </c>
      <c r="D224" s="45" t="s">
        <v>120</v>
      </c>
      <c r="E224" s="71">
        <v>0</v>
      </c>
      <c r="F224" s="62">
        <v>444771.27659574471</v>
      </c>
      <c r="G224" s="62">
        <f t="shared" si="78"/>
        <v>0</v>
      </c>
      <c r="H224" s="100"/>
      <c r="I224" s="100"/>
      <c r="J224" s="100"/>
      <c r="K224" s="100"/>
      <c r="L224" s="100"/>
      <c r="M224" s="100"/>
      <c r="N224" s="100"/>
      <c r="O224" s="100"/>
      <c r="P224" s="130">
        <v>1.6899999999999998E-2</v>
      </c>
      <c r="Q224" s="131">
        <f t="shared" si="79"/>
        <v>7516.63</v>
      </c>
      <c r="R224" s="131"/>
      <c r="S224" s="131"/>
      <c r="T224" s="131"/>
      <c r="U224" s="131"/>
      <c r="V224" s="32">
        <f t="shared" si="80"/>
        <v>-1.6899999999999998E-2</v>
      </c>
      <c r="W224" s="18">
        <f t="shared" si="81"/>
        <v>-7516.63</v>
      </c>
    </row>
    <row r="225" spans="1:23">
      <c r="A225" s="100"/>
      <c r="B225" s="60"/>
      <c r="C225" s="82" t="s">
        <v>377</v>
      </c>
      <c r="D225" s="78"/>
      <c r="E225" s="79"/>
      <c r="F225" s="89"/>
      <c r="G225" s="165">
        <f>SUM(G213:G224)</f>
        <v>684525.71000000008</v>
      </c>
      <c r="H225" s="100"/>
      <c r="I225" s="106">
        <f>SUM(I213:I224)</f>
        <v>0</v>
      </c>
      <c r="J225" s="100"/>
      <c r="K225" s="106">
        <f>SUM(K213:K224)</f>
        <v>0</v>
      </c>
      <c r="L225" s="100"/>
      <c r="M225" s="106">
        <f>SUM(M213:M224)</f>
        <v>0</v>
      </c>
      <c r="N225" s="100"/>
      <c r="O225" s="106">
        <f>SUM(O213:O224)</f>
        <v>0</v>
      </c>
      <c r="P225" s="100"/>
      <c r="Q225" s="106">
        <f>SUM(Q213:Q224)</f>
        <v>3255193.9800000004</v>
      </c>
      <c r="R225" s="106"/>
      <c r="S225" s="106"/>
      <c r="T225" s="106"/>
      <c r="U225" s="106"/>
      <c r="V225" s="100"/>
      <c r="W225" s="106">
        <f>SUM(W213:W224)</f>
        <v>-2570668.2700000005</v>
      </c>
    </row>
    <row r="226" spans="1:23">
      <c r="A226" s="145" t="s">
        <v>382</v>
      </c>
      <c r="B226" s="145"/>
      <c r="C226" s="145"/>
      <c r="D226" s="145"/>
      <c r="E226" s="145"/>
      <c r="F226" s="145"/>
      <c r="G226" s="145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1:23" ht="45">
      <c r="A227" s="129">
        <v>183</v>
      </c>
      <c r="B227" s="60" t="s">
        <v>383</v>
      </c>
      <c r="C227" s="110" t="s">
        <v>384</v>
      </c>
      <c r="D227" s="45" t="s">
        <v>213</v>
      </c>
      <c r="E227" s="111">
        <v>6.3</v>
      </c>
      <c r="F227" s="62">
        <v>23273.643386243391</v>
      </c>
      <c r="G227" s="62">
        <f>ROUND((F227*E227),2)</f>
        <v>146623.95000000001</v>
      </c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8">
        <f t="shared" ref="V227:V254" si="82">E227-H227</f>
        <v>6.3</v>
      </c>
      <c r="W227" s="18">
        <f t="shared" ref="W227:W254" si="83">G227-I227</f>
        <v>146623.95000000001</v>
      </c>
    </row>
    <row r="228" spans="1:23" ht="33.75">
      <c r="A228" s="129">
        <v>184</v>
      </c>
      <c r="B228" s="60" t="s">
        <v>385</v>
      </c>
      <c r="C228" s="110" t="s">
        <v>386</v>
      </c>
      <c r="D228" s="45" t="s">
        <v>109</v>
      </c>
      <c r="E228" s="63">
        <v>0.13272999999999999</v>
      </c>
      <c r="F228" s="62">
        <v>365932.12962962961</v>
      </c>
      <c r="G228" s="62">
        <f t="shared" ref="G228:G254" si="84">ROUND((F228*E228),2)</f>
        <v>48570.17</v>
      </c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8">
        <f t="shared" si="82"/>
        <v>0.13272999999999999</v>
      </c>
      <c r="W228" s="18">
        <f t="shared" si="83"/>
        <v>48570.17</v>
      </c>
    </row>
    <row r="229" spans="1:23" ht="22.5">
      <c r="A229" s="129">
        <v>185</v>
      </c>
      <c r="B229" s="60" t="s">
        <v>387</v>
      </c>
      <c r="C229" s="110" t="s">
        <v>388</v>
      </c>
      <c r="D229" s="45" t="s">
        <v>120</v>
      </c>
      <c r="E229" s="48">
        <v>5.9200000000000003E-2</v>
      </c>
      <c r="F229" s="62">
        <v>571152.50793650793</v>
      </c>
      <c r="G229" s="62">
        <f t="shared" si="84"/>
        <v>33812.230000000003</v>
      </c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8">
        <f t="shared" si="82"/>
        <v>5.9200000000000003E-2</v>
      </c>
      <c r="W229" s="18">
        <f t="shared" si="83"/>
        <v>33812.230000000003</v>
      </c>
    </row>
    <row r="230" spans="1:23" ht="33.75">
      <c r="A230" s="129">
        <v>186</v>
      </c>
      <c r="B230" s="60" t="s">
        <v>389</v>
      </c>
      <c r="C230" s="80" t="s">
        <v>390</v>
      </c>
      <c r="D230" s="45" t="s">
        <v>213</v>
      </c>
      <c r="E230" s="51">
        <v>7.28</v>
      </c>
      <c r="F230" s="62">
        <v>29008.110610610613</v>
      </c>
      <c r="G230" s="62">
        <f t="shared" si="84"/>
        <v>211179.05</v>
      </c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8">
        <f t="shared" si="82"/>
        <v>7.28</v>
      </c>
      <c r="W230" s="18">
        <f t="shared" si="83"/>
        <v>211179.05</v>
      </c>
    </row>
    <row r="231" spans="1:23">
      <c r="A231" s="129">
        <v>187</v>
      </c>
      <c r="B231" s="60" t="s">
        <v>391</v>
      </c>
      <c r="C231" s="80" t="s">
        <v>392</v>
      </c>
      <c r="D231" s="45" t="s">
        <v>393</v>
      </c>
      <c r="E231" s="50">
        <v>17.5</v>
      </c>
      <c r="F231" s="62">
        <v>8397.1400099651219</v>
      </c>
      <c r="G231" s="62">
        <f t="shared" si="84"/>
        <v>146949.95000000001</v>
      </c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8">
        <f t="shared" si="82"/>
        <v>17.5</v>
      </c>
      <c r="W231" s="18">
        <f t="shared" si="83"/>
        <v>146949.95000000001</v>
      </c>
    </row>
    <row r="232" spans="1:23" ht="33.75">
      <c r="A232" s="129">
        <v>188</v>
      </c>
      <c r="B232" s="60" t="s">
        <v>394</v>
      </c>
      <c r="C232" s="54" t="s">
        <v>395</v>
      </c>
      <c r="D232" s="45" t="s">
        <v>213</v>
      </c>
      <c r="E232" s="51">
        <v>2.64</v>
      </c>
      <c r="F232" s="62">
        <v>5928.9457070707067</v>
      </c>
      <c r="G232" s="62">
        <f t="shared" si="84"/>
        <v>15652.42</v>
      </c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8">
        <f t="shared" si="82"/>
        <v>2.64</v>
      </c>
      <c r="W232" s="18">
        <f t="shared" si="83"/>
        <v>15652.42</v>
      </c>
    </row>
    <row r="233" spans="1:23">
      <c r="A233" s="129">
        <v>189</v>
      </c>
      <c r="B233" s="60" t="s">
        <v>396</v>
      </c>
      <c r="C233" s="54" t="s">
        <v>397</v>
      </c>
      <c r="D233" s="45" t="s">
        <v>155</v>
      </c>
      <c r="E233" s="72">
        <v>6</v>
      </c>
      <c r="F233" s="62">
        <v>15021.550000000001</v>
      </c>
      <c r="G233" s="62">
        <f t="shared" si="84"/>
        <v>90129.3</v>
      </c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8">
        <f t="shared" si="82"/>
        <v>6</v>
      </c>
      <c r="W233" s="18">
        <f t="shared" si="83"/>
        <v>90129.3</v>
      </c>
    </row>
    <row r="234" spans="1:23" ht="22.5">
      <c r="A234" s="129">
        <v>190</v>
      </c>
      <c r="B234" s="60" t="s">
        <v>398</v>
      </c>
      <c r="C234" s="54" t="s">
        <v>399</v>
      </c>
      <c r="D234" s="45" t="s">
        <v>213</v>
      </c>
      <c r="E234" s="51">
        <v>0.74</v>
      </c>
      <c r="F234" s="62">
        <v>6112.0855855855852</v>
      </c>
      <c r="G234" s="62">
        <f t="shared" si="84"/>
        <v>4522.9399999999996</v>
      </c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8">
        <f t="shared" si="82"/>
        <v>0.74</v>
      </c>
      <c r="W234" s="18">
        <f t="shared" si="83"/>
        <v>4522.9399999999996</v>
      </c>
    </row>
    <row r="235" spans="1:23" ht="33.75">
      <c r="A235" s="129">
        <v>191</v>
      </c>
      <c r="B235" s="60" t="s">
        <v>400</v>
      </c>
      <c r="C235" s="54" t="s">
        <v>401</v>
      </c>
      <c r="D235" s="45" t="s">
        <v>213</v>
      </c>
      <c r="E235" s="111">
        <v>6.5</v>
      </c>
      <c r="F235" s="62">
        <v>7768.9497435897429</v>
      </c>
      <c r="G235" s="62">
        <f t="shared" si="84"/>
        <v>50498.17</v>
      </c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8">
        <f t="shared" si="82"/>
        <v>6.5</v>
      </c>
      <c r="W235" s="18">
        <f t="shared" si="83"/>
        <v>50498.17</v>
      </c>
    </row>
    <row r="236" spans="1:23">
      <c r="A236" s="129">
        <v>192</v>
      </c>
      <c r="B236" s="60" t="s">
        <v>402</v>
      </c>
      <c r="C236" s="54" t="s">
        <v>403</v>
      </c>
      <c r="D236" s="45" t="s">
        <v>155</v>
      </c>
      <c r="E236" s="72">
        <v>2</v>
      </c>
      <c r="F236" s="62">
        <v>31087.440000000002</v>
      </c>
      <c r="G236" s="62">
        <f t="shared" si="84"/>
        <v>62174.879999999997</v>
      </c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8">
        <f t="shared" si="82"/>
        <v>2</v>
      </c>
      <c r="W236" s="18">
        <f t="shared" si="83"/>
        <v>62174.879999999997</v>
      </c>
    </row>
    <row r="237" spans="1:23">
      <c r="A237" s="129">
        <v>193</v>
      </c>
      <c r="B237" s="60" t="s">
        <v>404</v>
      </c>
      <c r="C237" s="54" t="s">
        <v>405</v>
      </c>
      <c r="D237" s="45" t="s">
        <v>155</v>
      </c>
      <c r="E237" s="72">
        <v>4</v>
      </c>
      <c r="F237" s="62">
        <v>19593.399999999998</v>
      </c>
      <c r="G237" s="62">
        <f t="shared" si="84"/>
        <v>78373.600000000006</v>
      </c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8">
        <f t="shared" si="82"/>
        <v>4</v>
      </c>
      <c r="W237" s="18">
        <f t="shared" si="83"/>
        <v>78373.600000000006</v>
      </c>
    </row>
    <row r="238" spans="1:23" ht="45">
      <c r="A238" s="129">
        <v>194</v>
      </c>
      <c r="B238" s="60" t="s">
        <v>406</v>
      </c>
      <c r="C238" s="108" t="s">
        <v>407</v>
      </c>
      <c r="D238" s="47" t="s">
        <v>62</v>
      </c>
      <c r="E238" s="48">
        <v>1.1894</v>
      </c>
      <c r="F238" s="62">
        <v>138579.73207779834</v>
      </c>
      <c r="G238" s="62">
        <f t="shared" si="84"/>
        <v>164826.73000000001</v>
      </c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8">
        <f t="shared" si="82"/>
        <v>1.1894</v>
      </c>
      <c r="W238" s="18">
        <f t="shared" si="83"/>
        <v>164826.73000000001</v>
      </c>
    </row>
    <row r="239" spans="1:23" ht="33.75">
      <c r="A239" s="129">
        <v>195</v>
      </c>
      <c r="B239" s="60" t="s">
        <v>408</v>
      </c>
      <c r="C239" s="54" t="s">
        <v>409</v>
      </c>
      <c r="D239" s="47" t="s">
        <v>62</v>
      </c>
      <c r="E239" s="71">
        <v>0.49719999999999998</v>
      </c>
      <c r="F239" s="62">
        <v>200645.69896077772</v>
      </c>
      <c r="G239" s="62">
        <f t="shared" si="84"/>
        <v>99761.04</v>
      </c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8">
        <f t="shared" si="82"/>
        <v>0.49719999999999998</v>
      </c>
      <c r="W239" s="18">
        <f t="shared" si="83"/>
        <v>99761.04</v>
      </c>
    </row>
    <row r="240" spans="1:23" ht="22.5">
      <c r="A240" s="129">
        <v>196</v>
      </c>
      <c r="B240" s="60" t="s">
        <v>410</v>
      </c>
      <c r="C240" s="108" t="s">
        <v>411</v>
      </c>
      <c r="D240" s="45" t="s">
        <v>109</v>
      </c>
      <c r="E240" s="63">
        <v>0.13272999999999999</v>
      </c>
      <c r="F240" s="62">
        <v>897842.25308641978</v>
      </c>
      <c r="G240" s="62">
        <f t="shared" si="84"/>
        <v>119170.6</v>
      </c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8">
        <f t="shared" si="82"/>
        <v>0.13272999999999999</v>
      </c>
      <c r="W240" s="18">
        <f t="shared" si="83"/>
        <v>119170.6</v>
      </c>
    </row>
    <row r="241" spans="1:23" ht="45">
      <c r="A241" s="129">
        <v>197</v>
      </c>
      <c r="B241" s="60" t="s">
        <v>412</v>
      </c>
      <c r="C241" s="44" t="s">
        <v>413</v>
      </c>
      <c r="D241" s="47" t="s">
        <v>112</v>
      </c>
      <c r="E241" s="53">
        <v>4.0149999999999998E-2</v>
      </c>
      <c r="F241" s="62">
        <v>1055883.5802469135</v>
      </c>
      <c r="G241" s="62">
        <f t="shared" si="84"/>
        <v>42393.73</v>
      </c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8">
        <f t="shared" si="82"/>
        <v>4.0149999999999998E-2</v>
      </c>
      <c r="W241" s="18">
        <f t="shared" si="83"/>
        <v>42393.73</v>
      </c>
    </row>
    <row r="242" spans="1:23" ht="33.75">
      <c r="A242" s="129">
        <v>198</v>
      </c>
      <c r="B242" s="60" t="s">
        <v>414</v>
      </c>
      <c r="C242" s="44" t="s">
        <v>415</v>
      </c>
      <c r="D242" s="47" t="s">
        <v>62</v>
      </c>
      <c r="E242" s="53">
        <v>8.5500000000000007E-2</v>
      </c>
      <c r="F242" s="62">
        <v>185393.45679012345</v>
      </c>
      <c r="G242" s="62">
        <f t="shared" si="84"/>
        <v>15851.14</v>
      </c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8">
        <f t="shared" si="82"/>
        <v>8.5500000000000007E-2</v>
      </c>
      <c r="W242" s="18">
        <f t="shared" si="83"/>
        <v>15851.14</v>
      </c>
    </row>
    <row r="243" spans="1:23">
      <c r="A243" s="129">
        <v>199</v>
      </c>
      <c r="B243" s="60" t="s">
        <v>416</v>
      </c>
      <c r="C243" s="44" t="s">
        <v>417</v>
      </c>
      <c r="D243" s="45" t="s">
        <v>89</v>
      </c>
      <c r="E243" s="53">
        <v>1.881E-2</v>
      </c>
      <c r="F243" s="62">
        <v>74069.696969696961</v>
      </c>
      <c r="G243" s="62">
        <f t="shared" si="84"/>
        <v>1393.25</v>
      </c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8">
        <f t="shared" si="82"/>
        <v>1.881E-2</v>
      </c>
      <c r="W243" s="18">
        <f t="shared" si="83"/>
        <v>1393.25</v>
      </c>
    </row>
    <row r="244" spans="1:23" ht="33.75">
      <c r="A244" s="129">
        <v>200</v>
      </c>
      <c r="B244" s="60" t="s">
        <v>418</v>
      </c>
      <c r="C244" s="44" t="s">
        <v>419</v>
      </c>
      <c r="D244" s="47" t="s">
        <v>62</v>
      </c>
      <c r="E244" s="112">
        <v>2.6200000000000001E-2</v>
      </c>
      <c r="F244" s="62">
        <v>185393.45098039217</v>
      </c>
      <c r="G244" s="62">
        <f t="shared" si="84"/>
        <v>4857.3100000000004</v>
      </c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8">
        <f t="shared" si="82"/>
        <v>2.6200000000000001E-2</v>
      </c>
      <c r="W244" s="18">
        <f t="shared" si="83"/>
        <v>4857.3100000000004</v>
      </c>
    </row>
    <row r="245" spans="1:23">
      <c r="A245" s="129">
        <v>201</v>
      </c>
      <c r="B245" s="60" t="s">
        <v>420</v>
      </c>
      <c r="C245" s="44" t="s">
        <v>417</v>
      </c>
      <c r="D245" s="45" t="s">
        <v>89</v>
      </c>
      <c r="E245" s="53">
        <v>5.7999999999999996E-3</v>
      </c>
      <c r="F245" s="62">
        <v>74069.696969696975</v>
      </c>
      <c r="G245" s="62">
        <f t="shared" si="84"/>
        <v>429.6</v>
      </c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8">
        <f t="shared" si="82"/>
        <v>5.7999999999999996E-3</v>
      </c>
      <c r="W245" s="18">
        <f t="shared" si="83"/>
        <v>429.6</v>
      </c>
    </row>
    <row r="246" spans="1:23" ht="33.75">
      <c r="A246" s="129">
        <v>202</v>
      </c>
      <c r="B246" s="60" t="s">
        <v>421</v>
      </c>
      <c r="C246" s="44" t="s">
        <v>422</v>
      </c>
      <c r="D246" s="47" t="s">
        <v>62</v>
      </c>
      <c r="E246" s="53">
        <v>0.1799</v>
      </c>
      <c r="F246" s="62">
        <v>175935.87570621472</v>
      </c>
      <c r="G246" s="62">
        <f t="shared" si="84"/>
        <v>31650.86</v>
      </c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8">
        <f t="shared" si="82"/>
        <v>0.1799</v>
      </c>
      <c r="W246" s="18">
        <f t="shared" si="83"/>
        <v>31650.86</v>
      </c>
    </row>
    <row r="247" spans="1:23">
      <c r="A247" s="129">
        <v>203</v>
      </c>
      <c r="B247" s="60" t="s">
        <v>423</v>
      </c>
      <c r="C247" s="44" t="s">
        <v>417</v>
      </c>
      <c r="D247" s="45" t="s">
        <v>89</v>
      </c>
      <c r="E247" s="53">
        <v>3.9579999999999997E-2</v>
      </c>
      <c r="F247" s="62">
        <v>74069.743589743579</v>
      </c>
      <c r="G247" s="62">
        <f t="shared" si="84"/>
        <v>2931.68</v>
      </c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8">
        <f t="shared" si="82"/>
        <v>3.9579999999999997E-2</v>
      </c>
      <c r="W247" s="18">
        <f t="shared" si="83"/>
        <v>2931.68</v>
      </c>
    </row>
    <row r="248" spans="1:23" ht="22.5">
      <c r="A248" s="129">
        <v>204</v>
      </c>
      <c r="B248" s="60" t="s">
        <v>424</v>
      </c>
      <c r="C248" s="44" t="s">
        <v>425</v>
      </c>
      <c r="D248" s="45" t="s">
        <v>69</v>
      </c>
      <c r="E248" s="53">
        <v>2.4500000000000001E-2</v>
      </c>
      <c r="F248" s="62">
        <v>384833.62831858406</v>
      </c>
      <c r="G248" s="62">
        <f t="shared" si="84"/>
        <v>9428.42</v>
      </c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8">
        <f t="shared" si="82"/>
        <v>2.4500000000000001E-2</v>
      </c>
      <c r="W248" s="18">
        <f t="shared" si="83"/>
        <v>9428.42</v>
      </c>
    </row>
    <row r="249" spans="1:23" ht="33.75">
      <c r="A249" s="129">
        <v>205</v>
      </c>
      <c r="B249" s="60" t="s">
        <v>426</v>
      </c>
      <c r="C249" s="44" t="s">
        <v>427</v>
      </c>
      <c r="D249" s="47" t="s">
        <v>62</v>
      </c>
      <c r="E249" s="53">
        <v>0.1099</v>
      </c>
      <c r="F249" s="62">
        <v>175935.92592592593</v>
      </c>
      <c r="G249" s="62">
        <f t="shared" si="84"/>
        <v>19335.36</v>
      </c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8">
        <f t="shared" si="82"/>
        <v>0.1099</v>
      </c>
      <c r="W249" s="18">
        <f t="shared" si="83"/>
        <v>19335.36</v>
      </c>
    </row>
    <row r="250" spans="1:23">
      <c r="A250" s="129">
        <v>206</v>
      </c>
      <c r="B250" s="60" t="s">
        <v>428</v>
      </c>
      <c r="C250" s="44" t="s">
        <v>417</v>
      </c>
      <c r="D250" s="45" t="s">
        <v>89</v>
      </c>
      <c r="E250" s="53">
        <v>2.418E-2</v>
      </c>
      <c r="F250" s="62">
        <v>74069.467787114845</v>
      </c>
      <c r="G250" s="62">
        <f t="shared" si="84"/>
        <v>1791</v>
      </c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8">
        <f t="shared" si="82"/>
        <v>2.418E-2</v>
      </c>
      <c r="W250" s="18">
        <f t="shared" si="83"/>
        <v>1791</v>
      </c>
    </row>
    <row r="251" spans="1:23" ht="22.5">
      <c r="A251" s="129">
        <v>207</v>
      </c>
      <c r="B251" s="60" t="s">
        <v>429</v>
      </c>
      <c r="C251" s="44" t="s">
        <v>425</v>
      </c>
      <c r="D251" s="45" t="s">
        <v>69</v>
      </c>
      <c r="E251" s="53">
        <v>1.4E-2</v>
      </c>
      <c r="F251" s="62">
        <v>384833.80952380953</v>
      </c>
      <c r="G251" s="62">
        <f t="shared" si="84"/>
        <v>5387.67</v>
      </c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8">
        <f t="shared" si="82"/>
        <v>1.4E-2</v>
      </c>
      <c r="W251" s="18">
        <f t="shared" si="83"/>
        <v>5387.67</v>
      </c>
    </row>
    <row r="252" spans="1:23" ht="33.75">
      <c r="A252" s="129">
        <v>208</v>
      </c>
      <c r="B252" s="60" t="s">
        <v>430</v>
      </c>
      <c r="C252" s="44" t="s">
        <v>431</v>
      </c>
      <c r="D252" s="45" t="s">
        <v>109</v>
      </c>
      <c r="E252" s="112">
        <v>2.2000000000000001E-3</v>
      </c>
      <c r="F252" s="62">
        <v>365931.81818181818</v>
      </c>
      <c r="G252" s="62">
        <f t="shared" si="84"/>
        <v>805.05</v>
      </c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8">
        <f t="shared" si="82"/>
        <v>2.2000000000000001E-3</v>
      </c>
      <c r="W252" s="18">
        <f t="shared" si="83"/>
        <v>805.05</v>
      </c>
    </row>
    <row r="253" spans="1:23" ht="22.5">
      <c r="A253" s="129">
        <v>209</v>
      </c>
      <c r="B253" s="60" t="s">
        <v>432</v>
      </c>
      <c r="C253" s="44" t="s">
        <v>380</v>
      </c>
      <c r="D253" s="45" t="s">
        <v>120</v>
      </c>
      <c r="E253" s="112">
        <v>2.8E-3</v>
      </c>
      <c r="F253" s="62">
        <v>530614.28571428568</v>
      </c>
      <c r="G253" s="62">
        <f t="shared" si="84"/>
        <v>1485.72</v>
      </c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8">
        <f t="shared" si="82"/>
        <v>2.8E-3</v>
      </c>
      <c r="W253" s="18">
        <f t="shared" si="83"/>
        <v>1485.72</v>
      </c>
    </row>
    <row r="254" spans="1:23" ht="22.5">
      <c r="A254" s="129">
        <v>210</v>
      </c>
      <c r="B254" s="60" t="s">
        <v>433</v>
      </c>
      <c r="C254" s="44" t="s">
        <v>381</v>
      </c>
      <c r="D254" s="45" t="s">
        <v>120</v>
      </c>
      <c r="E254" s="71">
        <v>4.0000000000000001E-3</v>
      </c>
      <c r="F254" s="62">
        <v>7779957.5221238947</v>
      </c>
      <c r="G254" s="62">
        <f t="shared" si="84"/>
        <v>31119.83</v>
      </c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8">
        <f t="shared" si="82"/>
        <v>4.0000000000000001E-3</v>
      </c>
      <c r="W254" s="18">
        <f t="shared" si="83"/>
        <v>31119.83</v>
      </c>
    </row>
    <row r="255" spans="1:23">
      <c r="A255" s="100"/>
      <c r="B255" s="60"/>
      <c r="C255" s="82" t="s">
        <v>434</v>
      </c>
      <c r="D255" s="78"/>
      <c r="E255" s="79"/>
      <c r="F255" s="89"/>
      <c r="G255" s="165">
        <f>SUM(G227:G254)</f>
        <v>1441105.6500000004</v>
      </c>
      <c r="H255" s="100"/>
      <c r="I255" s="106">
        <f>SUM(I227:I254)</f>
        <v>0</v>
      </c>
      <c r="J255" s="100"/>
      <c r="K255" s="106">
        <f>SUM(K227:K254)</f>
        <v>0</v>
      </c>
      <c r="L255" s="100"/>
      <c r="M255" s="106">
        <f>SUM(M227:M254)</f>
        <v>0</v>
      </c>
      <c r="N255" s="100"/>
      <c r="O255" s="106">
        <f>SUM(O227:O254)</f>
        <v>0</v>
      </c>
      <c r="P255" s="100"/>
      <c r="Q255" s="106">
        <f>SUM(Q227:Q254)</f>
        <v>0</v>
      </c>
      <c r="R255" s="106"/>
      <c r="S255" s="106"/>
      <c r="T255" s="106"/>
      <c r="U255" s="106"/>
      <c r="V255" s="100"/>
      <c r="W255" s="106">
        <f>SUM(W227:W254)</f>
        <v>1441105.6500000004</v>
      </c>
    </row>
    <row r="256" spans="1:23">
      <c r="A256" s="100"/>
      <c r="B256" s="113"/>
      <c r="C256" s="82" t="s">
        <v>435</v>
      </c>
      <c r="D256" s="114"/>
      <c r="E256" s="115"/>
      <c r="F256" s="116"/>
      <c r="G256" s="166">
        <f>G77+G68+G53+G50+G41+G32+G26+G15+G91+G105+G113+G119+G124+G182+G199+G205+G211+G225+G255</f>
        <v>219768651.00000003</v>
      </c>
      <c r="H256" s="100"/>
      <c r="I256" s="117">
        <f>I77+I68+I53+I50+I41+I32+I26+I15+I91+I105+I113+I119+I124+I182+I199+I205+I211+I225+I255</f>
        <v>68782783.140000001</v>
      </c>
      <c r="J256" s="100"/>
      <c r="K256" s="117">
        <f>K77+K68+K53+K50+K41+K32+K26+K15+K91+K105+K113+K119+K124+K182+K199+K205+K211+K225+K255</f>
        <v>71599218.170000002</v>
      </c>
      <c r="L256" s="100"/>
      <c r="M256" s="117">
        <f>M77+M68+M53+M50+M41+M32+M26+M15+M91+M105+M113+M119+M124+M182+M199+M205+M211+M225+M255</f>
        <v>20481699.700000003</v>
      </c>
      <c r="N256" s="100"/>
      <c r="O256" s="117">
        <f>O77+O68+O53+O50+O41+O32+O26+O15+O91+O105+O113+O119+O124+O182+O199+O205+O211+O225+O255</f>
        <v>24324928.07</v>
      </c>
      <c r="P256" s="100"/>
      <c r="Q256" s="117">
        <f>Q77+Q68+Q53+Q50+Q41+Q32+Q26+Q15+Q91+Q105+Q113+Q119+Q124+Q182+Q199+Q205+Q211+Q225+Q255</f>
        <v>22976017.16</v>
      </c>
      <c r="R256" s="117"/>
      <c r="S256" s="117">
        <f>S91</f>
        <v>3179931.97</v>
      </c>
      <c r="T256" s="117"/>
      <c r="U256" s="117"/>
      <c r="V256" s="100"/>
      <c r="W256" s="117">
        <f>W77+W68+W53+W50+W41+W32+W26+W15+W91+W105+W113+W119+W124+W182+W199+W205+W211+W225+W255</f>
        <v>13276803.050800009</v>
      </c>
    </row>
    <row r="257" spans="1:23" ht="21">
      <c r="A257" s="100"/>
      <c r="B257" s="119"/>
      <c r="C257" s="82" t="s">
        <v>436</v>
      </c>
      <c r="D257" s="114"/>
      <c r="E257" s="115"/>
      <c r="F257" s="116"/>
      <c r="G257" s="117">
        <f>ROUND((G256*1.04050001367),2)</f>
        <v>228669284.37</v>
      </c>
      <c r="H257" s="120"/>
      <c r="I257" s="117">
        <f>ROUND((I256*1.04050001367),2)</f>
        <v>71568486.799999997</v>
      </c>
      <c r="J257" s="120"/>
      <c r="K257" s="117">
        <f>ROUND((K256*1.04050001367),2)</f>
        <v>74498987.480000004</v>
      </c>
      <c r="L257" s="120"/>
      <c r="M257" s="117">
        <f>ROUND((M256*1.04050001367),2)</f>
        <v>21311208.82</v>
      </c>
      <c r="N257" s="120"/>
      <c r="O257" s="117">
        <f>ROUND((O256*1.04050001367),2)</f>
        <v>25310087.989999998</v>
      </c>
      <c r="P257" s="120"/>
      <c r="Q257" s="117">
        <f>ROUND((Q256*1.04050001367),2)</f>
        <v>23906546.170000002</v>
      </c>
      <c r="R257" s="117"/>
      <c r="S257" s="117">
        <f>ROUND((S256*1.04050001367),2)</f>
        <v>3308719.26</v>
      </c>
      <c r="T257" s="117"/>
      <c r="U257" s="117"/>
      <c r="V257" s="120"/>
      <c r="W257" s="117">
        <f>ROUND((W256*1.04050001367),2)</f>
        <v>13814513.76</v>
      </c>
    </row>
    <row r="258" spans="1:23" ht="15">
      <c r="A258" s="100"/>
      <c r="B258" s="119"/>
      <c r="C258" s="82" t="s">
        <v>437</v>
      </c>
      <c r="D258" s="114"/>
      <c r="E258" s="115"/>
      <c r="F258" s="116"/>
      <c r="G258" s="117">
        <f>ROUND((G257*0.899997628394978),2)</f>
        <v>205801813.62</v>
      </c>
      <c r="H258" s="120"/>
      <c r="I258" s="117">
        <f>ROUND((I257*0.899997628394978),2)</f>
        <v>64411468.390000001</v>
      </c>
      <c r="J258" s="120"/>
      <c r="K258" s="117">
        <f>ROUND((K257*0.899997628394978),2)</f>
        <v>67048912.049999997</v>
      </c>
      <c r="L258" s="120"/>
      <c r="M258" s="117">
        <f>ROUND((M257*0.899997628394978),2)</f>
        <v>19180037.399999999</v>
      </c>
      <c r="N258" s="120"/>
      <c r="O258" s="117">
        <f>ROUND((O257*0.899997628394978),2)</f>
        <v>22779019.170000002</v>
      </c>
      <c r="P258" s="120"/>
      <c r="Q258" s="117">
        <f>ROUND((Q257*0.899997628394978),2)</f>
        <v>21515834.859999999</v>
      </c>
      <c r="R258" s="117"/>
      <c r="S258" s="117">
        <f>ROUND((S257*0.899997628394978),2)</f>
        <v>2977839.49</v>
      </c>
      <c r="T258" s="117"/>
      <c r="U258" s="117"/>
      <c r="V258" s="120"/>
      <c r="W258" s="117">
        <f>ROUND((W257*0.899997628394978),2)</f>
        <v>12433029.619999999</v>
      </c>
    </row>
    <row r="259" spans="1:23" ht="15">
      <c r="A259" s="100"/>
      <c r="B259" s="119"/>
      <c r="C259" s="82" t="s">
        <v>455</v>
      </c>
      <c r="D259" s="114"/>
      <c r="E259" s="115"/>
      <c r="F259" s="116"/>
      <c r="G259" s="117"/>
      <c r="H259" s="120"/>
      <c r="I259" s="117"/>
      <c r="J259" s="120"/>
      <c r="K259" s="117"/>
      <c r="L259" s="120"/>
      <c r="M259" s="117"/>
      <c r="N259" s="120"/>
      <c r="O259" s="117"/>
      <c r="P259" s="120"/>
      <c r="Q259" s="117"/>
      <c r="R259" s="117"/>
      <c r="S259" s="117">
        <f>ROUND((S258*(1.2/1.22)),2)</f>
        <v>2929022.45</v>
      </c>
      <c r="T259" s="117"/>
      <c r="U259" s="117"/>
      <c r="V259" s="120"/>
      <c r="W259" s="117"/>
    </row>
    <row r="260" spans="1:23" ht="15">
      <c r="A260" s="100"/>
      <c r="B260" s="119"/>
      <c r="C260" s="121" t="s">
        <v>454</v>
      </c>
      <c r="D260" s="114"/>
      <c r="E260" s="115"/>
      <c r="F260" s="122"/>
      <c r="G260" s="117">
        <f>ROUND((G258*0.2),2)</f>
        <v>41160362.719999999</v>
      </c>
      <c r="H260" s="120"/>
      <c r="I260" s="117">
        <f>ROUND((I258*0.2),2)</f>
        <v>12882293.68</v>
      </c>
      <c r="J260" s="120"/>
      <c r="K260" s="117">
        <f>ROUND((K258*0.2),2)</f>
        <v>13409782.41</v>
      </c>
      <c r="L260" s="120"/>
      <c r="M260" s="117">
        <f>ROUND((M258*0.2),2)</f>
        <v>3836007.48</v>
      </c>
      <c r="N260" s="120"/>
      <c r="O260" s="117">
        <f>ROUND((O258*0.2),2)</f>
        <v>4555803.83</v>
      </c>
      <c r="P260" s="120"/>
      <c r="Q260" s="117">
        <f>ROUND((Q258*0.2),2)</f>
        <v>4303166.97</v>
      </c>
      <c r="R260" s="117"/>
      <c r="S260" s="117">
        <f>ROUND((S259*0.22),2)</f>
        <v>644384.93999999994</v>
      </c>
      <c r="T260" s="117"/>
      <c r="U260" s="117"/>
      <c r="V260" s="120"/>
      <c r="W260" s="117">
        <f>ROUND((W258*0.2),2)</f>
        <v>2486605.92</v>
      </c>
    </row>
    <row r="261" spans="1:23" ht="15">
      <c r="A261" s="100"/>
      <c r="B261" s="119"/>
      <c r="C261" s="123" t="s">
        <v>438</v>
      </c>
      <c r="D261" s="124"/>
      <c r="E261" s="124"/>
      <c r="F261" s="124"/>
      <c r="G261" s="125">
        <f>G260+G258</f>
        <v>246962176.34</v>
      </c>
      <c r="H261" s="120"/>
      <c r="I261" s="125">
        <f>I260+I258</f>
        <v>77293762.069999993</v>
      </c>
      <c r="J261" s="120"/>
      <c r="K261" s="125">
        <f>K260+K258</f>
        <v>80458694.459999993</v>
      </c>
      <c r="L261" s="120"/>
      <c r="M261" s="125">
        <f>M260+M258</f>
        <v>23016044.879999999</v>
      </c>
      <c r="N261" s="120"/>
      <c r="O261" s="125">
        <f>O260+O258</f>
        <v>27334823</v>
      </c>
      <c r="P261" s="120"/>
      <c r="Q261" s="125">
        <f>Q260+Q258</f>
        <v>25819001.829999998</v>
      </c>
      <c r="R261" s="125"/>
      <c r="S261" s="125">
        <f>S260+S259</f>
        <v>3573407.39</v>
      </c>
      <c r="T261" s="125"/>
      <c r="U261" s="125"/>
      <c r="V261" s="120"/>
      <c r="W261" s="125">
        <f>W260+W258</f>
        <v>14919635.539999999</v>
      </c>
    </row>
  </sheetData>
  <mergeCells count="35">
    <mergeCell ref="A226:G226"/>
    <mergeCell ref="B188:B189"/>
    <mergeCell ref="C188:C189"/>
    <mergeCell ref="A200:G200"/>
    <mergeCell ref="A206:G206"/>
    <mergeCell ref="A212:G212"/>
    <mergeCell ref="A106:G106"/>
    <mergeCell ref="A114:G114"/>
    <mergeCell ref="A120:G120"/>
    <mergeCell ref="A125:G125"/>
    <mergeCell ref="A183:G183"/>
    <mergeCell ref="A1:W1"/>
    <mergeCell ref="A2:W2"/>
    <mergeCell ref="A3:B3"/>
    <mergeCell ref="C3:C4"/>
    <mergeCell ref="D3:D4"/>
    <mergeCell ref="E3:G3"/>
    <mergeCell ref="H3:I3"/>
    <mergeCell ref="V3:W3"/>
    <mergeCell ref="J3:K3"/>
    <mergeCell ref="L3:M3"/>
    <mergeCell ref="N3:O3"/>
    <mergeCell ref="P3:Q3"/>
    <mergeCell ref="R3:S3"/>
    <mergeCell ref="T3:U3"/>
    <mergeCell ref="A51:G51"/>
    <mergeCell ref="A54:G54"/>
    <mergeCell ref="A69:G69"/>
    <mergeCell ref="A78:G78"/>
    <mergeCell ref="A92:G92"/>
    <mergeCell ref="A33:G33"/>
    <mergeCell ref="A6:G6"/>
    <mergeCell ref="A16:G16"/>
    <mergeCell ref="A27:G27"/>
    <mergeCell ref="A42:G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КС-6 №1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Svetlana</cp:lastModifiedBy>
  <cp:lastPrinted>2021-11-05T11:36:13Z</cp:lastPrinted>
  <dcterms:created xsi:type="dcterms:W3CDTF">1996-10-08T23:32:33Z</dcterms:created>
  <dcterms:modified xsi:type="dcterms:W3CDTF">2026-09-22T13:15:53Z</dcterms:modified>
</cp:coreProperties>
</file>