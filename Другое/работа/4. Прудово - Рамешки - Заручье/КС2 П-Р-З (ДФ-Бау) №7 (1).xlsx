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8280" yWindow="-120" windowWidth="29040" windowHeight="16440" activeTab="1"/>
  </bookViews>
  <sheets>
    <sheet name="доп на 2025" sheetId="12" r:id="rId1"/>
    <sheet name="остаток на 2026" sheetId="13" r:id="rId2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9" i="13"/>
  <c r="G136"/>
  <c r="G105" l="1"/>
  <c r="G104"/>
  <c r="G103"/>
  <c r="G102"/>
  <c r="G101"/>
  <c r="G100"/>
  <c r="G99"/>
  <c r="G96" l="1"/>
  <c r="G97" s="1"/>
  <c r="G95"/>
  <c r="G94"/>
  <c r="G93"/>
  <c r="G86"/>
  <c r="G85"/>
  <c r="G84"/>
  <c r="G82"/>
  <c r="G89"/>
  <c r="G80" l="1"/>
  <c r="G79"/>
  <c r="G78"/>
  <c r="G77"/>
  <c r="G76"/>
  <c r="G75"/>
  <c r="G74"/>
  <c r="G73"/>
  <c r="G72"/>
  <c r="G71"/>
  <c r="G68"/>
  <c r="G69" s="1"/>
  <c r="G66"/>
  <c r="G62"/>
  <c r="G61"/>
  <c r="G60"/>
  <c r="G58"/>
  <c r="G57"/>
  <c r="G56"/>
  <c r="G50"/>
  <c r="G53"/>
  <c r="G52"/>
  <c r="G51"/>
  <c r="G54"/>
  <c r="G49"/>
  <c r="G48"/>
  <c r="G46"/>
  <c r="G45"/>
  <c r="G44"/>
  <c r="G39"/>
  <c r="G29"/>
  <c r="G28"/>
  <c r="G22"/>
  <c r="G23"/>
  <c r="G29" i="12"/>
  <c r="G28"/>
  <c r="G27"/>
  <c r="G22"/>
  <c r="G126" i="13" l="1"/>
  <c r="G134" l="1"/>
  <c r="G133"/>
  <c r="G132"/>
  <c r="G131"/>
  <c r="G130"/>
  <c r="G129"/>
  <c r="G128"/>
  <c r="G127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35" l="1"/>
  <c r="G90" l="1"/>
  <c r="G88"/>
  <c r="G87"/>
  <c r="G91" l="1"/>
  <c r="G33"/>
  <c r="G32"/>
  <c r="G31"/>
  <c r="G27"/>
  <c r="G26"/>
  <c r="G25"/>
  <c r="G24"/>
  <c r="G23" i="12"/>
  <c r="G24" s="1"/>
  <c r="G34" i="13" l="1"/>
  <c r="G137" l="1"/>
  <c r="G138" s="1"/>
  <c r="G140" s="1"/>
  <c r="G141" s="1"/>
  <c r="G25" i="12" l="1"/>
  <c r="G26" s="1"/>
</calcChain>
</file>

<file path=xl/sharedStrings.xml><?xml version="1.0" encoding="utf-8"?>
<sst xmlns="http://schemas.openxmlformats.org/spreadsheetml/2006/main" count="393" uniqueCount="254">
  <si>
    <t>Номер</t>
  </si>
  <si>
    <t>Выполнено работ</t>
  </si>
  <si>
    <t>(должность)</t>
  </si>
  <si>
    <t>(расшифровка подписи)</t>
  </si>
  <si>
    <t>Сдал:</t>
  </si>
  <si>
    <t>Принял:</t>
  </si>
  <si>
    <t>Отчетный период</t>
  </si>
  <si>
    <t>Заказчик</t>
  </si>
  <si>
    <t>Подрядчик</t>
  </si>
  <si>
    <t xml:space="preserve">             М.П.</t>
  </si>
  <si>
    <t>Контракт</t>
  </si>
  <si>
    <t>Наименование объекта</t>
  </si>
  <si>
    <t>Место выполнения работ</t>
  </si>
  <si>
    <t>Наименование конструктивных решений (элементов), комплексов (видов) работ, затрат, оборудования</t>
  </si>
  <si>
    <t>Единица измерения</t>
  </si>
  <si>
    <t>Количество (объем работ)</t>
  </si>
  <si>
    <t>Цена на единицу измерения без НДС, руб.</t>
  </si>
  <si>
    <t xml:space="preserve">Стоимость, руб. </t>
  </si>
  <si>
    <t xml:space="preserve">Страна происхождения товара (оборудования) </t>
  </si>
  <si>
    <t>позиции по ведомости объемов и стоимости работ</t>
  </si>
  <si>
    <t>Российская Федерация, Тверская область</t>
  </si>
  <si>
    <t>п/п</t>
  </si>
  <si>
    <t>1а</t>
  </si>
  <si>
    <t>Цена контракта</t>
  </si>
  <si>
    <t>от ___________________</t>
  </si>
  <si>
    <t>ООО "Бау", 170028, г. Тверь, ул. Коминтерна, д. 107, стр. 1</t>
  </si>
  <si>
    <t>Генеральный директор ООО "Бау"</t>
  </si>
  <si>
    <t>А.В. Мараховский</t>
  </si>
  <si>
    <t>ГКУ "Дирекция ТДФ", 170100, г. Тверь, ул. Желябова, д. 21</t>
  </si>
  <si>
    <t>т</t>
  </si>
  <si>
    <t>Выполнение работ по ремонту автомобильной дороги общего пользования регионального значения Прудово - Рамешки - Заручье Рамешковского муниципального округа Тверской области</t>
  </si>
  <si>
    <t>В соответствии с условиями контракта № 26/2024-Р от 03.09.2024 г. Подрядчиком фактически выполнены комплексы (виды) работ, а Заказчиком приняты указанные работы:</t>
  </si>
  <si>
    <t>Розлив битумной эмульсии ЭБДК Б по ГОСТ Р 58952.1-2020, расход битумной эмульсии - 0,3 л/м²</t>
  </si>
  <si>
    <t>ИТОГО в ценах соответствующих лет  (ИИ*=1,04050001367)</t>
  </si>
  <si>
    <t>ИТОГО понижающий коэффициент К=0,899997628394978</t>
  </si>
  <si>
    <t>Восстановление изношенного слоя асфальтобетонного покрытия (толщиной 5 см) из асфальтобетонной смеси А16Вн по ГОСТ Р 58406.2-2020 (расход а/б смеси на толщину 4 см - 96,03 т/1000 м²)</t>
  </si>
  <si>
    <t>100 т</t>
  </si>
  <si>
    <t>100 м2</t>
  </si>
  <si>
    <t>1000 м2</t>
  </si>
  <si>
    <t>Розлив битумной эмульсии ЭБДК Б по ГОСТ Р 58952.1-2020, расход битумной эмульсии - 0,8 л/м²</t>
  </si>
  <si>
    <t>1000 м3</t>
  </si>
  <si>
    <t>100 м3</t>
  </si>
  <si>
    <t>100 м</t>
  </si>
  <si>
    <t>Раздел 9. Ремонт посадочных площадок на автобусных остановках</t>
  </si>
  <si>
    <t>Итого по разделу 9:</t>
  </si>
  <si>
    <t>шт</t>
  </si>
  <si>
    <t>тн</t>
  </si>
  <si>
    <t>м3</t>
  </si>
  <si>
    <t>10 м2</t>
  </si>
  <si>
    <t>Щебеночная подушка под каменную наброску на выходе М800 фракции 20-40 мм h=10 см</t>
  </si>
  <si>
    <t>Раздел 19. Работы по восстановлению разрушенных элементов водопропускных труб</t>
  </si>
  <si>
    <t>19.1</t>
  </si>
  <si>
    <t>Демонтаж звеньев водопропускных железобетонных труб диаметром 1,0 м, с погрузкой и транспортировкой на среднее расстояние до 16 км</t>
  </si>
  <si>
    <t>19.2</t>
  </si>
  <si>
    <t>Разработка грунта под тело и оголовки труб, с погрузкой и транспортировкой на среднее расстояние до 16 км</t>
  </si>
  <si>
    <t>19.3</t>
  </si>
  <si>
    <t>Восстановление щебеночной подготовки  из щебня фракции 20-40 мм (М 800) (толщиной 0,2 м)</t>
  </si>
  <si>
    <t>19.4</t>
  </si>
  <si>
    <t>Восстановление звеньев (ТС 100.30-2) водопропускных железобетонных труб автокранами диаметр 1,0 м (длина звена 3,122 м)</t>
  </si>
  <si>
    <t>19.5</t>
  </si>
  <si>
    <t>Звено ТС 100.30-2 (длина звена 3,122 м)</t>
  </si>
  <si>
    <t>м</t>
  </si>
  <si>
    <t>19.6</t>
  </si>
  <si>
    <t>Восстановление сборного железобетонного фундамента (Ф 20.1) для водопропускных железобетонных труб автокранами d=1,0 м</t>
  </si>
  <si>
    <t>19.7</t>
  </si>
  <si>
    <t>Блок фундамента Ф 20.1</t>
  </si>
  <si>
    <t>19.8</t>
  </si>
  <si>
    <t>Монолитный бетон фундамента (заполнение между блоками фундамента), бетон В20, F200, W6</t>
  </si>
  <si>
    <t>19.9</t>
  </si>
  <si>
    <t>19.22</t>
  </si>
  <si>
    <t>19.20</t>
  </si>
  <si>
    <t>Восстановление разрушенных оголовков и откосных крыльев круглых водопропускных труб d=1,0 м</t>
  </si>
  <si>
    <t>19.10</t>
  </si>
  <si>
    <t>Оголовок П 10.15</t>
  </si>
  <si>
    <t>19.11</t>
  </si>
  <si>
    <t>Откосные стенки СТ 4 л (п)</t>
  </si>
  <si>
    <t>19.12</t>
  </si>
  <si>
    <t>Устройство обмазочной гидроизоляции для труб в 2 слоя. Марка мастики МБР-75 или аналог с расходом 3 кг на м² при устройстве в один слой (звенья и оголовки)</t>
  </si>
  <si>
    <t>19.13</t>
  </si>
  <si>
    <t>Устройство оклеечной гидроизоляции для труб в 2 слоя из ткани стеклянной изоляционной И-200, толщиной 0,2 мм (или аналог; звенья и оголовки)</t>
  </si>
  <si>
    <t>19.14</t>
  </si>
  <si>
    <t>Засыпка котлована трубы песком природным мелким для строительных работ (Кф ≥ 1 м/сут)</t>
  </si>
  <si>
    <t>19.15</t>
  </si>
  <si>
    <t>Восстановление слоя основания из щебня М800 фракции 40-70 мм, средней толщиной 0,25 м, с расклинцовкой щебнем М800 фракции 5-20 мм (расход 25 м³ на 1000 м²)</t>
  </si>
  <si>
    <t>19.16</t>
  </si>
  <si>
    <t>Укрепление откосов на входе, бетон В20, F200, W6, h=10 см, щебеночная подготовка М800 фракции 20-40 мм h=10 см</t>
  </si>
  <si>
    <t>19.17</t>
  </si>
  <si>
    <t>Арматура 6-A-I (A240) по ГОСТ 5781-82</t>
  </si>
  <si>
    <t>19.18</t>
  </si>
  <si>
    <t>Укрепление откосов на выходе, бетон В20, F200, W6, h=10 см, щебеночная подготовка М800 фракции 20-40 мм h=10 см</t>
  </si>
  <si>
    <t>19.19</t>
  </si>
  <si>
    <t>Укрепление русла на входе, бетон В20, F200, W6, h=10 см, щебеночная подготовка М800 фракции 20-40 мм h=10 см</t>
  </si>
  <si>
    <t>19.21</t>
  </si>
  <si>
    <t>Устройство упоров на выходе, бетон В20, F200, W6, h=10 см</t>
  </si>
  <si>
    <t>19.23</t>
  </si>
  <si>
    <t>Укрепление русла на выходе, бетон В20, F200, W6, h=10 см, щебеночная подготовка М800 фракции 20-40 мм h=10 см</t>
  </si>
  <si>
    <t>19.24</t>
  </si>
  <si>
    <t>19.25</t>
  </si>
  <si>
    <t>19.26</t>
  </si>
  <si>
    <t>Разработка грунта для устройства каменной наброски на выходе, с погрузкой и транспортировкой на 16 км</t>
  </si>
  <si>
    <t>19.27</t>
  </si>
  <si>
    <t>19.28</t>
  </si>
  <si>
    <t>Каменная наброска на выходе (валуны, глыбы) d=200-300 мм, h max=1000 мм</t>
  </si>
  <si>
    <t>Итого по разделу 19:</t>
  </si>
  <si>
    <t>Итого по разделу 1:</t>
  </si>
  <si>
    <t>2.2</t>
  </si>
  <si>
    <t>Восстановление песчано-подстилающего слоя из песка природного мелкого для строительных работ с Кф&gt;1 м/сут по ГОСТ 8736-2014 на толщину 0,4 м (в два слоя толщиной по 0,20 м) с послойным уплотнением катком (6 проходов))</t>
  </si>
  <si>
    <t>2.3</t>
  </si>
  <si>
    <t>Восстановление двухслойного щебеночного основания (н.с. - 13 см, в.с. - 12 см) по способу заклинки из щебня М800 фракции 40-70 мм толщиной 0,25 м, с расклинцовкой щебнем М800 фракции 5-20 мм (расход 25 м³ на 1000 м²)</t>
  </si>
  <si>
    <t>2.4</t>
  </si>
  <si>
    <t>Итого по разделу 2:</t>
  </si>
  <si>
    <t>Раздел 15. Нанесение дорожной разметки</t>
  </si>
  <si>
    <t>15.6</t>
  </si>
  <si>
    <t>Разметка проезжей части термопластиком со стекломикрошариками сплошной линией шириной 0,4 м (разметка 1.12)</t>
  </si>
  <si>
    <t>15.8</t>
  </si>
  <si>
    <t>Нанесение линий дорожной разметки холодным пластиком со светоотражающими элементами вручную с применением трафаретной самоклеющейся ленты (разметка 1.14.1), пластик белый</t>
  </si>
  <si>
    <t>15.13</t>
  </si>
  <si>
    <t>Нанесение линий дорожной разметки холодным пластиком со светоотражающими элементами вручную с применением трафаретной самоклеющейся ленты (разметка 1.25)</t>
  </si>
  <si>
    <t>Итого по разделу 15:</t>
  </si>
  <si>
    <t>Ведущий эксперт дорожного хозяйства производственного отдела ГКУ "Дирекция ТДФ"</t>
  </si>
  <si>
    <t>1.4</t>
  </si>
  <si>
    <t>1.5</t>
  </si>
  <si>
    <t>Укладка выравнивающего слоя из асфальтобетонной смеси типа А16Нн ГОСТ Р 58406.2-2020  (средняя толщина 4 см) (расход а/б смеси - 96,03 т/1000 м²)</t>
  </si>
  <si>
    <t>1.6</t>
  </si>
  <si>
    <t>1.7</t>
  </si>
  <si>
    <t>Акт о приемке выполненных работ №7</t>
  </si>
  <si>
    <t>Итого по разделам 9:</t>
  </si>
  <si>
    <t>9.12</t>
  </si>
  <si>
    <t>Установка автопавильонов типа НР-6М-О (оцинкованный)</t>
  </si>
  <si>
    <t>№26/2024-Р от 03.09.2024; Дополинтельное соглашение №1 от 08.10.2024; Дополнительное соглашение №2 от 13.12.2024; Дополнительное соглашение №3 от 22.01.2025; №4 от 26.11.2025; №5 от 04.03.2026.</t>
  </si>
  <si>
    <t>ИТОГО понижающий коэффициент К=0,9836065571535</t>
  </si>
  <si>
    <t>НДС 22%</t>
  </si>
  <si>
    <t>Н.Г. Долганов</t>
  </si>
  <si>
    <t>Итого с НДС 22%</t>
  </si>
  <si>
    <t>с 07.05.2026 по 07.05.2026</t>
  </si>
  <si>
    <t>Раздел 1. Работы, выполняемые на основной проезжей части, участки с изношенным асфальтобетонным покрытием</t>
  </si>
  <si>
    <t>1.2</t>
  </si>
  <si>
    <t>Срезка поверхностного слоя асфальтобетонного дорожного покрытия методом холодного фрезерования на глубину 5 см, фрезой шириной 2 метра</t>
  </si>
  <si>
    <t>100 м²</t>
  </si>
  <si>
    <t>1.3</t>
  </si>
  <si>
    <t>Прямая транспортировка отфрезерованного материала на среднее расстояние до 8 км во временный конус (без погрузки) и обратная транспортировка гранулята для использования в работе на среднее расстояние до 8 км с погрузкой (общее расстояние транспортировки груза до 16 км)</t>
  </si>
  <si>
    <t>1.8</t>
  </si>
  <si>
    <t>Укрепление обочин асфальтогранулятом (без учёта стоимости гранулята) средней толщиной 9 см</t>
  </si>
  <si>
    <t>1000 м²</t>
  </si>
  <si>
    <t xml:space="preserve">Раздел 2. Работы, выполняемые на основной проезжей части, участки с разрушенным асфальтобетонным покрытием </t>
  </si>
  <si>
    <t>Раздел 4. Съезды с изношенным асфальтобетонным покрытием</t>
  </si>
  <si>
    <t>4.1</t>
  </si>
  <si>
    <t>4.4</t>
  </si>
  <si>
    <t>Укладка выравнивающего слоя из асфальтобетонной смеси типа А16Нн ГОСТ Р 58406.2-2020 (средняя толщина 4 см) (расход а/б смеси - 96,03 т/1000 м²)</t>
  </si>
  <si>
    <t>4.6</t>
  </si>
  <si>
    <t>Итого по разделу 4:</t>
  </si>
  <si>
    <t>Раздел 7. Парковочные карманы с разрушеным асфальтобетонным покрытием</t>
  </si>
  <si>
    <t>7.2</t>
  </si>
  <si>
    <t>Восстановление верхнего слоя основания из щебня М800 фракции 40-70 мм, средней толщиной 0,15 м, с расклинцовкой щебнем М800 фракции 5-20 мм (расход 25 м³ на 1000 м²)</t>
  </si>
  <si>
    <t>7.3</t>
  </si>
  <si>
    <t>7.4</t>
  </si>
  <si>
    <t>Укладка выравнивающего слоя из асфальтобетонной смеси типа А22Нн ГОСТ Р 58406.2-2020 (средняя толщина 7 см) (расход а/б смеси - 95,83 т/1000 м²)</t>
  </si>
  <si>
    <t>Итого по разделу 7:</t>
  </si>
  <si>
    <t>7.7</t>
  </si>
  <si>
    <t>Нарезка корыта шириной 0,35 м, глубиной 0,25 м под установку бортовых камней на бетонном основании</t>
  </si>
  <si>
    <t>1000 м³</t>
  </si>
  <si>
    <t>7.9а</t>
  </si>
  <si>
    <t>Восстановление недостающих бортовых камней БР 100.30.15 на бетонном основании</t>
  </si>
  <si>
    <t xml:space="preserve">Раздел 8. Ремонт заездных карманов с разрушенным асфальтобетонным покрытием </t>
  </si>
  <si>
    <t>Итого по разделу 8:</t>
  </si>
  <si>
    <t>Разборка изношенного щебеночного покрытия на глубину 0,15 м экскаватором с погрузкой и транспортировкой на среднее расстояние до 16 км (вес грунта 1 м³ - 1,8 т/м³)</t>
  </si>
  <si>
    <t>8.1</t>
  </si>
  <si>
    <t>8.2</t>
  </si>
  <si>
    <t>8.3</t>
  </si>
  <si>
    <t>8.4</t>
  </si>
  <si>
    <t>8.5</t>
  </si>
  <si>
    <t>Розлив битумной эмульсии ЭБДК Б по ГОСТ Р 58952.1-2020, расход битумной эмульсии  - 0,3 л/м²</t>
  </si>
  <si>
    <t>8.6</t>
  </si>
  <si>
    <t>9.4</t>
  </si>
  <si>
    <t>Восстановление щебеночной подушки из щебня М800 фракции 20-40 мм, тощиной 0,1 м, шириной 0,3 м, под бетонное основание для бортовых камней</t>
  </si>
  <si>
    <t>100 м³</t>
  </si>
  <si>
    <t>9.5</t>
  </si>
  <si>
    <t>Укладка выравнивающего слоя основания из песчаного, супесчаного грунта</t>
  </si>
  <si>
    <t>Итого по разделу 10:</t>
  </si>
  <si>
    <t>Раздел 10. Ремонт разрушенных пешеходных дорожек и тротуаров</t>
  </si>
  <si>
    <t>10.10</t>
  </si>
  <si>
    <t>Подготовка почвы для устройства обыкновенного газона с внесением привозной растительной земли слоем 15 см: вручную (за установленными бортовыми камнями на ширину 0,5 м), с планировкой существующего грунтового материала вручную за установленными бортовыми камнями на ширину 0,5 м</t>
  </si>
  <si>
    <t>10.11</t>
  </si>
  <si>
    <t xml:space="preserve">Посев семян трав на ширину 0,5 метра на спланированной растительной земле за установленными бортовыми камнями (из расчета 40 г. семян на 1 м²) </t>
  </si>
  <si>
    <t>Итого по разделу 11:</t>
  </si>
  <si>
    <t>Раздел 11. Подготовительные работы - расчистка площадей от растительности</t>
  </si>
  <si>
    <t>11.5</t>
  </si>
  <si>
    <t>Расчистка площадей от кустарника и мелколесья вручную (средней поросли)</t>
  </si>
  <si>
    <t>11.6</t>
  </si>
  <si>
    <t>Погрузка и перевозка порубочных остатков от рубки кустарника и мелколесья на среднее расстояние до 16 км</t>
  </si>
  <si>
    <t>Итого по разделу 13:</t>
  </si>
  <si>
    <t>Раздел 13. Восстановление недостающего барьерного ограждения</t>
  </si>
  <si>
    <t>13.3</t>
  </si>
  <si>
    <t>Устройство недостающего металлического оцинкованного барьерного ограждения типа 21ДО/У3(250)-0,75-2,0-1.15(1.35) высотой 0,75 м механизированным способом, шаг стоек 2,0 м</t>
  </si>
  <si>
    <t>Итого по разделу 14:</t>
  </si>
  <si>
    <t>Раздел 14. Восстановление дорожных знаков, обустройства</t>
  </si>
  <si>
    <t>14.3</t>
  </si>
  <si>
    <t>Установка стоек дорожных знаков из металлических полых оцинкованных труб круглого сечения диаметром 76 мм, средней длиной 4 п.м на монолитном бетонном фундаменте (бетон тяжелый (М100) объем - 0,05 м³ на стойку) масса одной стойки 22,96 кг</t>
  </si>
  <si>
    <t>100 знаков</t>
  </si>
  <si>
    <t>14.10</t>
  </si>
  <si>
    <t>Установка щитков дорожных знаков II типоразмера на оцинкованной подоснове со световозвращающей пленкой тип Б: 1.34.1 (1.34.2) Направление поворота" (размер щита, мм 500*615)</t>
  </si>
  <si>
    <t>14.17</t>
  </si>
  <si>
    <t>Установка щитков дорожных знаков II типоразмера на оцинкованной подоснове со световозвращающей пленкой тип Б: 3.20 "Движение запрещено" и 3.24 "Ограничение максимальной скорости" (размер щита: круг диаметром 700 мм)</t>
  </si>
  <si>
    <t>14.19</t>
  </si>
  <si>
    <t>Установка щитков дорожных знаков II типоразмера на оцинкованной подоснове со световозвращающей пленкой тип Б: 3.20 "Обгон запрещен" и 3.31 "Конец всех ограничений" (размер щита: круг диаметром 700 мм)</t>
  </si>
  <si>
    <t>14.19а</t>
  </si>
  <si>
    <t>Установка щитков дорожных знаков II типоразмера на оцинкованной подоснове со световозвращающей пленкой тип Б: 3.21 "Конец зоны запрещения обгона"(размер щита: круг диаметром 700 мм)</t>
  </si>
  <si>
    <t>14.24</t>
  </si>
  <si>
    <t>Установка щитков дорожных знаков II типоразмера на оцинкованной подоснове со световозвращающей пленкой тип Б: 5.20 "Искусственная неровность" (размер щита, мм 900*900)</t>
  </si>
  <si>
    <t>14.43а</t>
  </si>
  <si>
    <t>Установка щитков дорожных знаков II типоразмера на оцинкованной подоснове со световозвращающей пленкой тип Б: 6.22."Фотовидеофиксация" (размер щита, мм 700*350)</t>
  </si>
  <si>
    <t>14.47а</t>
  </si>
  <si>
    <t>Установка щитков дорожных знаков II типоразмера на оцинкованной подоснове со световозвращающей пленкой тип Б: 8.1.1 "Расстояние до объекта" (размер щита, мм 700*350)</t>
  </si>
  <si>
    <t>14.53</t>
  </si>
  <si>
    <t>Установка дорожных сигнальных столбиков типа С3</t>
  </si>
  <si>
    <t>100 шт</t>
  </si>
  <si>
    <t>15.12</t>
  </si>
  <si>
    <t>Нанесение линий дорожной разметки холодным пластиком со светоотражающими элементами вручную с применением трафаретной самоклеющейся ленты (разметка 1.17), пластик желтый</t>
  </si>
  <si>
    <t>15.1</t>
  </si>
  <si>
    <t xml:space="preserve">Разметка проезжей части термопластиком со стекломикрошариками сплошной линией шириной 0,1 м (разметка 1.1, 1.2.1) </t>
  </si>
  <si>
    <t xml:space="preserve">Разметка проезжей части термопластиком со стекломикрошариками пунктирной линией (шаг 1:3) шириной 0,1 м (разметка 1.5) </t>
  </si>
  <si>
    <t>15.4</t>
  </si>
  <si>
    <t>15.2</t>
  </si>
  <si>
    <t xml:space="preserve">Разметка проезжей части термопластиком со стекломикрошариками пунктирной линией (шаг 1:1) шириной 0,1 м (разметка 1.7) </t>
  </si>
  <si>
    <t>15.5</t>
  </si>
  <si>
    <t>Разметка проезжей части термопластиком со стекломикрошариками (разметка 1.11), сочетание сплошной линии к прерывистой линии (шаг 3:1)
- сплошная
- прерывистая</t>
  </si>
  <si>
    <t>Раздел 16. Работы по восстановлению искуственных неровностей</t>
  </si>
  <si>
    <t>Итого по разделу 16:</t>
  </si>
  <si>
    <t>16.1</t>
  </si>
  <si>
    <t>Нарезка штрабы в асфальтобетонном дорожного покрытии методом холодного фрезерования на глубину 5 см, фрезой шириной 1 метр</t>
  </si>
  <si>
    <t>16.2</t>
  </si>
  <si>
    <t>16.3</t>
  </si>
  <si>
    <t>16.4</t>
  </si>
  <si>
    <t>Устройство выравнивающих слоев (восстановление ИН трапециевидного профиля, высотой 7 см, длиной 6,5 п.м.) из асфальтобетонной смеси типа А22Нн ГОСТ Р 58406.2-2020 (средняя толщина 7 см) (расход а/б смеси - 95,83 т/1000 м²)</t>
  </si>
  <si>
    <t>Раздел 18. Ремонт водопропускных труб</t>
  </si>
  <si>
    <t>18.7</t>
  </si>
  <si>
    <t>Земляные работы (разработка грунта 2 группы экскаватором емкостью ковша 0,65 м³ с перемещением бульдозером на 30 м и разравниванием)</t>
  </si>
  <si>
    <t>Итого по разделу 18:</t>
  </si>
  <si>
    <t>18.8</t>
  </si>
  <si>
    <t>Укрепление русел на входе водопропускных труб матрацами РЕНО 3х2 м h=0,17 (щебень М1000 фр.70-120 мм), щебеночная подготовка М800 фракции 20-40 мм h=10 см</t>
  </si>
  <si>
    <t>18.9</t>
  </si>
  <si>
    <t>18.10</t>
  </si>
  <si>
    <t>Укрепление конца русел водопропускных труб на выходе матрацами РЕНО 3х2 м h=0,17 (щебень М1000 фр.70-120 мм), щебеночная подготовка М800 фракции 20-40 мм h=10 см</t>
  </si>
  <si>
    <t>18.11</t>
  </si>
  <si>
    <t>18.12</t>
  </si>
  <si>
    <t>Начальник производственного отдела ГКУ "Дирекция ТДФ"</t>
  </si>
  <si>
    <t>А.М. Гаджиев</t>
  </si>
  <si>
    <t>Итого по разделам 1,2,4,7,8,9,10,11,13,14,15,16,18,19:</t>
  </si>
  <si>
    <t>В дс 0,39</t>
  </si>
  <si>
    <t>В дс 0,23296</t>
  </si>
  <si>
    <t>Почему в дс объем не в отпавших?</t>
  </si>
  <si>
    <t>ед расценка 175935,88</t>
  </si>
  <si>
    <t>Ед расцена в дс - 94834,87</t>
  </si>
  <si>
    <t>Объем в дс - 0,0011
Ед. расценка - 84 514,27</t>
  </si>
</sst>
</file>

<file path=xl/styles.xml><?xml version="1.0" encoding="utf-8"?>
<styleSheet xmlns="http://schemas.openxmlformats.org/spreadsheetml/2006/main">
  <numFmts count="13">
    <numFmt numFmtId="43" formatCode="_-* #,##0.00\ _₽_-;\-* #,##0.00\ _₽_-;_-* &quot;-&quot;??\ _₽_-;_-@_-"/>
    <numFmt numFmtId="164" formatCode="_-* #,##0.00_-;\-* #,##0.00_-;_-* &quot;-&quot;??_-;_-@_-"/>
    <numFmt numFmtId="165" formatCode="#,##0.00&quot;р.&quot;"/>
    <numFmt numFmtId="166" formatCode="0.000"/>
    <numFmt numFmtId="167" formatCode="0.0000"/>
    <numFmt numFmtId="168" formatCode="0.00000"/>
    <numFmt numFmtId="169" formatCode="0.000_ ;\-0.000\ "/>
    <numFmt numFmtId="170" formatCode="0.00000_ ;\-0.00000\ "/>
    <numFmt numFmtId="171" formatCode="#,##0.00_ ;\-#,##0.00\ "/>
    <numFmt numFmtId="172" formatCode="#,##0.0000"/>
    <numFmt numFmtId="173" formatCode="#,##0.00000"/>
    <numFmt numFmtId="174" formatCode="#,##0.0000000"/>
    <numFmt numFmtId="175" formatCode="0.0000000"/>
  </numFmts>
  <fonts count="22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0"/>
      <name val="Arial"/>
      <family val="2"/>
      <charset val="204"/>
    </font>
    <font>
      <sz val="11"/>
      <color theme="1"/>
      <name val="Calibri"/>
      <family val="2"/>
      <scheme val="minor"/>
    </font>
    <font>
      <sz val="12"/>
      <name val="Arial"/>
      <family val="2"/>
      <charset val="204"/>
    </font>
    <font>
      <sz val="12"/>
      <name val="Arial Cyr"/>
      <charset val="204"/>
    </font>
    <font>
      <i/>
      <sz val="12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sz val="14"/>
      <name val="Times New Roman"/>
      <family val="1"/>
      <charset val="204"/>
    </font>
    <font>
      <sz val="14"/>
      <name val="Arial"/>
      <family val="2"/>
      <charset val="204"/>
    </font>
    <font>
      <sz val="16"/>
      <color rgb="FFFF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0"/>
      <name val="Arial Cyr"/>
      <family val="2"/>
      <charset val="204"/>
    </font>
    <font>
      <b/>
      <sz val="14"/>
      <color rgb="FFFF0000"/>
      <name val="Times New Roman"/>
      <family val="1"/>
      <charset val="204"/>
    </font>
    <font>
      <sz val="14"/>
      <color rgb="FFFF000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9">
    <xf numFmtId="0" fontId="0" fillId="0" borderId="0"/>
    <xf numFmtId="0" fontId="4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>
      <alignment vertical="top"/>
      <protection locked="0"/>
    </xf>
    <xf numFmtId="0" fontId="5" fillId="0" borderId="0"/>
    <xf numFmtId="0" fontId="1" fillId="0" borderId="0"/>
    <xf numFmtId="0" fontId="1" fillId="0" borderId="0"/>
    <xf numFmtId="0" fontId="1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9" fillId="0" borderId="0"/>
  </cellStyleXfs>
  <cellXfs count="13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4" fillId="0" borderId="0" xfId="0" applyFont="1" applyAlignment="1">
      <alignment horizontal="left" vertical="center"/>
    </xf>
    <xf numFmtId="49" fontId="13" fillId="0" borderId="0" xfId="0" applyNumberFormat="1" applyFont="1" applyAlignment="1">
      <alignment horizontal="left" vertical="center"/>
    </xf>
    <xf numFmtId="49" fontId="13" fillId="0" borderId="1" xfId="0" applyNumberFormat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2" fontId="11" fillId="2" borderId="6" xfId="0" applyNumberFormat="1" applyFont="1" applyFill="1" applyBorder="1" applyAlignment="1">
      <alignment horizontal="center" vertical="center" wrapText="1"/>
    </xf>
    <xf numFmtId="2" fontId="11" fillId="2" borderId="6" xfId="0" applyNumberFormat="1" applyFont="1" applyFill="1" applyBorder="1" applyAlignment="1">
      <alignment vertical="center"/>
    </xf>
    <xf numFmtId="4" fontId="11" fillId="2" borderId="1" xfId="0" applyNumberFormat="1" applyFont="1" applyFill="1" applyBorder="1" applyAlignment="1">
      <alignment horizontal="right" vertical="center"/>
    </xf>
    <xf numFmtId="2" fontId="13" fillId="2" borderId="1" xfId="0" applyNumberFormat="1" applyFont="1" applyFill="1" applyBorder="1" applyAlignment="1">
      <alignment horizontal="center" vertical="center" wrapText="1"/>
    </xf>
    <xf numFmtId="2" fontId="13" fillId="2" borderId="1" xfId="0" applyNumberFormat="1" applyFont="1" applyFill="1" applyBorder="1" applyAlignment="1">
      <alignment vertical="center"/>
    </xf>
    <xf numFmtId="0" fontId="11" fillId="2" borderId="1" xfId="0" applyFont="1" applyFill="1" applyBorder="1" applyAlignment="1">
      <alignment horizontal="center" vertical="center" wrapText="1"/>
    </xf>
    <xf numFmtId="2" fontId="11" fillId="2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 wrapText="1"/>
    </xf>
    <xf numFmtId="2" fontId="11" fillId="2" borderId="1" xfId="0" applyNumberFormat="1" applyFont="1" applyFill="1" applyBorder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2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165" fontId="2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right" vertical="center"/>
    </xf>
    <xf numFmtId="49" fontId="2" fillId="0" borderId="0" xfId="0" applyNumberFormat="1" applyFont="1" applyAlignment="1">
      <alignment horizontal="center" vertical="center"/>
    </xf>
    <xf numFmtId="3" fontId="13" fillId="3" borderId="1" xfId="2" applyNumberFormat="1" applyFont="1" applyFill="1" applyBorder="1" applyAlignment="1">
      <alignment horizontal="center" vertical="center" wrapText="1"/>
    </xf>
    <xf numFmtId="0" fontId="13" fillId="0" borderId="1" xfId="2" applyFont="1" applyBorder="1" applyAlignment="1">
      <alignment horizontal="left" vertical="center" wrapText="1"/>
    </xf>
    <xf numFmtId="4" fontId="13" fillId="0" borderId="1" xfId="11" applyNumberFormat="1" applyFont="1" applyFill="1" applyBorder="1" applyAlignment="1">
      <alignment horizontal="center" vertical="center"/>
    </xf>
    <xf numFmtId="0" fontId="13" fillId="3" borderId="1" xfId="18" applyFont="1" applyFill="1" applyBorder="1" applyAlignment="1">
      <alignment horizontal="center" vertical="center" wrapText="1"/>
    </xf>
    <xf numFmtId="4" fontId="13" fillId="3" borderId="1" xfId="11" applyNumberFormat="1" applyFont="1" applyFill="1" applyBorder="1" applyAlignment="1">
      <alignment horizontal="center" vertical="center"/>
    </xf>
    <xf numFmtId="0" fontId="13" fillId="3" borderId="6" xfId="18" applyFont="1" applyFill="1" applyBorder="1" applyAlignment="1">
      <alignment horizontal="center" vertical="center" wrapText="1"/>
    </xf>
    <xf numFmtId="4" fontId="13" fillId="3" borderId="6" xfId="11" applyNumberFormat="1" applyFont="1" applyFill="1" applyBorder="1" applyAlignment="1">
      <alignment horizontal="center" vertical="center"/>
    </xf>
    <xf numFmtId="4" fontId="13" fillId="3" borderId="4" xfId="11" applyNumberFormat="1" applyFont="1" applyFill="1" applyBorder="1" applyAlignment="1">
      <alignment horizontal="center" vertical="center"/>
    </xf>
    <xf numFmtId="49" fontId="13" fillId="3" borderId="1" xfId="18" applyNumberFormat="1" applyFont="1" applyFill="1" applyBorder="1" applyAlignment="1">
      <alignment horizontal="center" vertical="center" wrapText="1"/>
    </xf>
    <xf numFmtId="168" fontId="7" fillId="0" borderId="0" xfId="0" applyNumberFormat="1" applyFont="1" applyAlignment="1">
      <alignment vertical="center"/>
    </xf>
    <xf numFmtId="49" fontId="13" fillId="0" borderId="1" xfId="18" applyNumberFormat="1" applyFont="1" applyBorder="1" applyAlignment="1">
      <alignment horizontal="center" vertical="center" wrapText="1"/>
    </xf>
    <xf numFmtId="0" fontId="13" fillId="0" borderId="1" xfId="2" applyFont="1" applyBorder="1" applyAlignment="1">
      <alignment vertical="center" wrapText="1"/>
    </xf>
    <xf numFmtId="0" fontId="13" fillId="0" borderId="5" xfId="0" applyFont="1" applyBorder="1" applyAlignment="1">
      <alignment horizontal="center" vertical="center"/>
    </xf>
    <xf numFmtId="0" fontId="18" fillId="0" borderId="1" xfId="2" applyFont="1" applyBorder="1" applyAlignment="1">
      <alignment horizontal="left" vertical="center" wrapText="1"/>
    </xf>
    <xf numFmtId="0" fontId="18" fillId="3" borderId="1" xfId="18" applyFont="1" applyFill="1" applyBorder="1" applyAlignment="1">
      <alignment horizontal="center" vertical="center" wrapText="1"/>
    </xf>
    <xf numFmtId="43" fontId="13" fillId="3" borderId="1" xfId="11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4" fontId="14" fillId="0" borderId="0" xfId="0" applyNumberFormat="1" applyFont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171" fontId="13" fillId="3" borderId="1" xfId="11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2" fontId="13" fillId="3" borderId="6" xfId="18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6" fillId="0" borderId="5" xfId="0" applyFont="1" applyFill="1" applyBorder="1" applyAlignment="1">
      <alignment vertical="center" wrapText="1"/>
    </xf>
    <xf numFmtId="0" fontId="13" fillId="0" borderId="7" xfId="2" applyFont="1" applyBorder="1" applyAlignment="1">
      <alignment vertical="center" wrapText="1"/>
    </xf>
    <xf numFmtId="0" fontId="13" fillId="3" borderId="1" xfId="2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4" fontId="13" fillId="0" borderId="6" xfId="11" applyNumberFormat="1" applyFont="1" applyFill="1" applyBorder="1" applyAlignment="1">
      <alignment horizontal="center" vertical="center"/>
    </xf>
    <xf numFmtId="3" fontId="18" fillId="0" borderId="1" xfId="0" applyNumberFormat="1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49" fontId="13" fillId="0" borderId="1" xfId="0" applyNumberFormat="1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vertical="center" wrapText="1"/>
    </xf>
    <xf numFmtId="4" fontId="13" fillId="0" borderId="1" xfId="0" applyNumberFormat="1" applyFont="1" applyFill="1" applyBorder="1" applyAlignment="1">
      <alignment horizontal="right" vertical="center"/>
    </xf>
    <xf numFmtId="3" fontId="13" fillId="0" borderId="1" xfId="2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2" applyFont="1" applyFill="1" applyBorder="1" applyAlignment="1">
      <alignment horizontal="left" vertical="center" wrapText="1"/>
    </xf>
    <xf numFmtId="0" fontId="13" fillId="0" borderId="1" xfId="2" applyFont="1" applyFill="1" applyBorder="1" applyAlignment="1">
      <alignment horizontal="center" vertical="center" wrapText="1"/>
    </xf>
    <xf numFmtId="49" fontId="13" fillId="0" borderId="1" xfId="18" applyNumberFormat="1" applyFont="1" applyFill="1" applyBorder="1" applyAlignment="1">
      <alignment horizontal="center" vertical="center" wrapText="1"/>
    </xf>
    <xf numFmtId="0" fontId="13" fillId="0" borderId="1" xfId="18" applyFont="1" applyFill="1" applyBorder="1" applyAlignment="1">
      <alignment horizontal="center" vertical="center" wrapText="1"/>
    </xf>
    <xf numFmtId="4" fontId="20" fillId="2" borderId="1" xfId="0" applyNumberFormat="1" applyFont="1" applyFill="1" applyBorder="1" applyAlignment="1">
      <alignment horizontal="right" vertical="center"/>
    </xf>
    <xf numFmtId="172" fontId="18" fillId="4" borderId="1" xfId="0" applyNumberFormat="1" applyFont="1" applyFill="1" applyBorder="1" applyAlignment="1">
      <alignment horizontal="center" vertical="center"/>
    </xf>
    <xf numFmtId="4" fontId="18" fillId="4" borderId="1" xfId="0" applyNumberFormat="1" applyFont="1" applyFill="1" applyBorder="1" applyAlignment="1">
      <alignment horizontal="center" vertical="center"/>
    </xf>
    <xf numFmtId="173" fontId="18" fillId="4" borderId="1" xfId="0" applyNumberFormat="1" applyFont="1" applyFill="1" applyBorder="1" applyAlignment="1">
      <alignment horizontal="center" vertical="center"/>
    </xf>
    <xf numFmtId="2" fontId="21" fillId="5" borderId="6" xfId="0" applyNumberFormat="1" applyFont="1" applyFill="1" applyBorder="1" applyAlignment="1">
      <alignment horizontal="center" vertical="center" wrapText="1"/>
    </xf>
    <xf numFmtId="170" fontId="18" fillId="4" borderId="1" xfId="7" applyNumberFormat="1" applyFont="1" applyFill="1" applyBorder="1" applyAlignment="1">
      <alignment horizontal="center" vertical="center"/>
    </xf>
    <xf numFmtId="169" fontId="18" fillId="4" borderId="1" xfId="7" applyNumberFormat="1" applyFont="1" applyFill="1" applyBorder="1" applyAlignment="1">
      <alignment horizontal="center" vertical="center"/>
    </xf>
    <xf numFmtId="4" fontId="18" fillId="4" borderId="6" xfId="0" applyNumberFormat="1" applyFont="1" applyFill="1" applyBorder="1" applyAlignment="1">
      <alignment horizontal="center" vertical="center"/>
    </xf>
    <xf numFmtId="2" fontId="13" fillId="4" borderId="1" xfId="18" applyNumberFormat="1" applyFont="1" applyFill="1" applyBorder="1" applyAlignment="1">
      <alignment horizontal="center" vertical="center" wrapText="1"/>
    </xf>
    <xf numFmtId="167" fontId="13" fillId="4" borderId="1" xfId="18" applyNumberFormat="1" applyFont="1" applyFill="1" applyBorder="1" applyAlignment="1">
      <alignment horizontal="center" vertical="center" wrapText="1"/>
    </xf>
    <xf numFmtId="166" fontId="13" fillId="4" borderId="1" xfId="18" applyNumberFormat="1" applyFont="1" applyFill="1" applyBorder="1" applyAlignment="1">
      <alignment horizontal="center" vertical="center" wrapText="1"/>
    </xf>
    <xf numFmtId="167" fontId="13" fillId="5" borderId="1" xfId="18" applyNumberFormat="1" applyFont="1" applyFill="1" applyBorder="1" applyAlignment="1">
      <alignment horizontal="center" vertical="center" wrapText="1"/>
    </xf>
    <xf numFmtId="0" fontId="7" fillId="5" borderId="0" xfId="0" applyFont="1" applyFill="1" applyAlignment="1">
      <alignment vertical="center"/>
    </xf>
    <xf numFmtId="175" fontId="13" fillId="5" borderId="1" xfId="18" applyNumberFormat="1" applyFont="1" applyFill="1" applyBorder="1" applyAlignment="1">
      <alignment horizontal="center" vertical="center" wrapText="1"/>
    </xf>
    <xf numFmtId="166" fontId="13" fillId="5" borderId="1" xfId="18" applyNumberFormat="1" applyFont="1" applyFill="1" applyBorder="1" applyAlignment="1">
      <alignment horizontal="center" vertical="center" wrapText="1"/>
    </xf>
    <xf numFmtId="2" fontId="13" fillId="5" borderId="1" xfId="18" applyNumberFormat="1" applyFont="1" applyFill="1" applyBorder="1" applyAlignment="1">
      <alignment horizontal="center" vertical="center" wrapText="1"/>
    </xf>
    <xf numFmtId="168" fontId="13" fillId="5" borderId="1" xfId="18" applyNumberFormat="1" applyFont="1" applyFill="1" applyBorder="1" applyAlignment="1">
      <alignment horizontal="center" vertical="center" wrapText="1"/>
    </xf>
    <xf numFmtId="168" fontId="13" fillId="4" borderId="1" xfId="18" applyNumberFormat="1" applyFont="1" applyFill="1" applyBorder="1" applyAlignment="1">
      <alignment horizontal="center" vertical="center" wrapText="1"/>
    </xf>
    <xf numFmtId="4" fontId="13" fillId="5" borderId="1" xfId="11" applyNumberFormat="1" applyFont="1" applyFill="1" applyBorder="1" applyAlignment="1">
      <alignment horizontal="center" vertical="center"/>
    </xf>
    <xf numFmtId="43" fontId="13" fillId="5" borderId="1" xfId="11" applyNumberFormat="1" applyFont="1" applyFill="1" applyBorder="1" applyAlignment="1">
      <alignment horizontal="center" vertical="center"/>
    </xf>
    <xf numFmtId="172" fontId="18" fillId="4" borderId="6" xfId="0" applyNumberFormat="1" applyFont="1" applyFill="1" applyBorder="1" applyAlignment="1">
      <alignment horizontal="center" vertical="center"/>
    </xf>
    <xf numFmtId="173" fontId="18" fillId="4" borderId="6" xfId="0" applyNumberFormat="1" applyFont="1" applyFill="1" applyBorder="1" applyAlignment="1">
      <alignment horizontal="center" vertical="center"/>
    </xf>
    <xf numFmtId="174" fontId="18" fillId="4" borderId="6" xfId="0" applyNumberFormat="1" applyFont="1" applyFill="1" applyBorder="1" applyAlignment="1">
      <alignment horizontal="center" vertical="center"/>
    </xf>
    <xf numFmtId="2" fontId="13" fillId="4" borderId="6" xfId="0" applyNumberFormat="1" applyFont="1" applyFill="1" applyBorder="1" applyAlignment="1">
      <alignment horizontal="center" vertical="center" wrapText="1"/>
    </xf>
    <xf numFmtId="168" fontId="13" fillId="5" borderId="6" xfId="0" applyNumberFormat="1" applyFont="1" applyFill="1" applyBorder="1" applyAlignment="1">
      <alignment horizontal="center" vertical="center" wrapText="1"/>
    </xf>
    <xf numFmtId="0" fontId="7" fillId="5" borderId="0" xfId="0" applyFont="1" applyFill="1" applyAlignment="1">
      <alignment vertical="center" wrapText="1"/>
    </xf>
    <xf numFmtId="4" fontId="13" fillId="5" borderId="6" xfId="11" applyNumberFormat="1" applyFont="1" applyFill="1" applyBorder="1" applyAlignment="1">
      <alignment horizontal="center" vertical="center"/>
    </xf>
    <xf numFmtId="2" fontId="13" fillId="5" borderId="6" xfId="0" applyNumberFormat="1" applyFont="1" applyFill="1" applyBorder="1" applyAlignment="1">
      <alignment horizontal="center" vertical="center" wrapText="1"/>
    </xf>
    <xf numFmtId="4" fontId="7" fillId="0" borderId="0" xfId="0" applyNumberFormat="1" applyFont="1" applyAlignment="1">
      <alignment vertical="center"/>
    </xf>
    <xf numFmtId="0" fontId="12" fillId="0" borderId="0" xfId="0" applyFont="1" applyAlignment="1">
      <alignment horizontal="right" vertical="center"/>
    </xf>
    <xf numFmtId="0" fontId="9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2" fillId="0" borderId="2" xfId="0" applyFont="1" applyBorder="1" applyAlignment="1">
      <alignment horizontal="right" vertical="center"/>
    </xf>
    <xf numFmtId="0" fontId="10" fillId="0" borderId="2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3" fillId="0" borderId="0" xfId="0" applyFont="1" applyAlignment="1">
      <alignment horizontal="justify" vertical="center" wrapText="1"/>
    </xf>
    <xf numFmtId="0" fontId="13" fillId="0" borderId="1" xfId="0" applyFont="1" applyBorder="1" applyAlignment="1">
      <alignment horizontal="right" vertical="center"/>
    </xf>
    <xf numFmtId="4" fontId="13" fillId="0" borderId="1" xfId="0" applyNumberFormat="1" applyFont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49" fontId="13" fillId="3" borderId="7" xfId="18" applyNumberFormat="1" applyFont="1" applyFill="1" applyBorder="1" applyAlignment="1">
      <alignment horizontal="center" vertical="center" wrapText="1"/>
    </xf>
    <xf numFmtId="49" fontId="13" fillId="3" borderId="6" xfId="18" applyNumberFormat="1" applyFont="1" applyFill="1" applyBorder="1" applyAlignment="1">
      <alignment horizontal="center" vertical="center" wrapText="1"/>
    </xf>
    <xf numFmtId="0" fontId="18" fillId="0" borderId="7" xfId="2" applyFont="1" applyBorder="1" applyAlignment="1">
      <alignment horizontal="center" vertical="center" wrapText="1"/>
    </xf>
    <xf numFmtId="0" fontId="18" fillId="0" borderId="6" xfId="2" applyFont="1" applyBorder="1" applyAlignment="1">
      <alignment horizontal="center" vertical="center" wrapText="1"/>
    </xf>
  </cellXfs>
  <cellStyles count="19">
    <cellStyle name="Excel Built-in Normal" xfId="1"/>
    <cellStyle name="Обычный" xfId="0" builtinId="0"/>
    <cellStyle name="Обычный 10" xfId="4"/>
    <cellStyle name="Обычный 10 2" xfId="5"/>
    <cellStyle name="Обычный 11" xfId="6"/>
    <cellStyle name="Обычный 2" xfId="2"/>
    <cellStyle name="Обычный 2 2" xfId="18"/>
    <cellStyle name="Обычный 3" xfId="3"/>
    <cellStyle name="Обычный 3 2" xfId="7"/>
    <cellStyle name="Обычный 4" xfId="8"/>
    <cellStyle name="Обычный 4 2" xfId="9"/>
    <cellStyle name="Обычный 4 3" xfId="10"/>
    <cellStyle name="Финансовый 2" xfId="11"/>
    <cellStyle name="Финансовый 2 2" xfId="12"/>
    <cellStyle name="Финансовый 2 2 2" xfId="13"/>
    <cellStyle name="Финансовый 2 2 3" xfId="14"/>
    <cellStyle name="Финансовый 3" xfId="15"/>
    <cellStyle name="Финансовый 3 2" xfId="16"/>
    <cellStyle name="Финансовый 3 3" xfId="1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41"/>
  <sheetViews>
    <sheetView topLeftCell="A7" workbookViewId="0">
      <selection activeCell="C7" sqref="C7:H7"/>
    </sheetView>
  </sheetViews>
  <sheetFormatPr defaultRowHeight="15.75"/>
  <cols>
    <col min="1" max="1" width="10.28515625" style="1" customWidth="1"/>
    <col min="2" max="2" width="17.5703125" style="37" customWidth="1"/>
    <col min="3" max="3" width="54.140625" style="2" customWidth="1"/>
    <col min="4" max="4" width="18.85546875" style="1" customWidth="1"/>
    <col min="5" max="5" width="20.85546875" style="1" customWidth="1"/>
    <col min="6" max="7" width="23.140625" style="1" customWidth="1"/>
    <col min="8" max="8" width="20.140625" style="1" customWidth="1"/>
    <col min="9" max="9" width="9.140625" style="27"/>
    <col min="10" max="10" width="9.5703125" style="27" bestFit="1" customWidth="1"/>
    <col min="11" max="11" width="35.5703125" style="27" bestFit="1" customWidth="1"/>
    <col min="12" max="12" width="17.85546875" style="27" bestFit="1" customWidth="1"/>
    <col min="13" max="16384" width="9.140625" style="27"/>
  </cols>
  <sheetData>
    <row r="1" spans="1:8" s="34" customFormat="1" ht="20.25">
      <c r="A1" s="131" t="s">
        <v>125</v>
      </c>
      <c r="B1" s="131"/>
      <c r="C1" s="131"/>
      <c r="D1" s="131"/>
      <c r="E1" s="131"/>
      <c r="F1" s="131"/>
      <c r="G1" s="131"/>
      <c r="H1" s="131"/>
    </row>
    <row r="2" spans="1:8" s="34" customFormat="1" ht="20.25">
      <c r="A2" s="131" t="s">
        <v>24</v>
      </c>
      <c r="B2" s="131"/>
      <c r="C2" s="131"/>
      <c r="D2" s="131"/>
      <c r="E2" s="131"/>
      <c r="F2" s="131"/>
      <c r="G2" s="131"/>
      <c r="H2" s="131"/>
    </row>
    <row r="3" spans="1:8" s="34" customFormat="1" ht="18.75">
      <c r="A3" s="130" t="s">
        <v>7</v>
      </c>
      <c r="B3" s="130"/>
      <c r="C3" s="126" t="s">
        <v>28</v>
      </c>
      <c r="D3" s="126"/>
      <c r="E3" s="126"/>
      <c r="F3" s="126"/>
      <c r="G3" s="126"/>
      <c r="H3" s="126"/>
    </row>
    <row r="4" spans="1:8" s="34" customFormat="1" ht="18.75">
      <c r="A4" s="4"/>
      <c r="B4" s="8"/>
      <c r="C4" s="56"/>
      <c r="D4" s="56"/>
      <c r="E4" s="56"/>
      <c r="F4" s="7"/>
      <c r="G4" s="7"/>
      <c r="H4" s="7"/>
    </row>
    <row r="5" spans="1:8" s="34" customFormat="1" ht="18.75">
      <c r="A5" s="130" t="s">
        <v>8</v>
      </c>
      <c r="B5" s="130"/>
      <c r="C5" s="126" t="s">
        <v>25</v>
      </c>
      <c r="D5" s="126"/>
      <c r="E5" s="126"/>
      <c r="F5" s="126"/>
      <c r="G5" s="126"/>
      <c r="H5" s="126"/>
    </row>
    <row r="6" spans="1:8" s="34" customFormat="1" ht="18.75">
      <c r="A6" s="4"/>
      <c r="B6" s="8"/>
      <c r="C6" s="56"/>
      <c r="D6" s="56"/>
      <c r="E6" s="56"/>
      <c r="F6" s="7"/>
      <c r="G6" s="7"/>
      <c r="H6" s="7"/>
    </row>
    <row r="7" spans="1:8" s="34" customFormat="1" ht="39" customHeight="1">
      <c r="A7" s="130" t="s">
        <v>10</v>
      </c>
      <c r="B7" s="130"/>
      <c r="C7" s="126" t="s">
        <v>129</v>
      </c>
      <c r="D7" s="126"/>
      <c r="E7" s="126"/>
      <c r="F7" s="126"/>
      <c r="G7" s="126"/>
      <c r="H7" s="126"/>
    </row>
    <row r="8" spans="1:8" s="34" customFormat="1" ht="18.75">
      <c r="A8" s="4"/>
      <c r="B8" s="8"/>
      <c r="C8" s="56"/>
      <c r="D8" s="56"/>
      <c r="E8" s="56"/>
      <c r="F8" s="7"/>
      <c r="G8" s="7"/>
      <c r="H8" s="7"/>
    </row>
    <row r="9" spans="1:8" s="34" customFormat="1" ht="38.25" customHeight="1">
      <c r="A9" s="130" t="s">
        <v>11</v>
      </c>
      <c r="B9" s="130"/>
      <c r="C9" s="126" t="s">
        <v>30</v>
      </c>
      <c r="D9" s="126"/>
      <c r="E9" s="126"/>
      <c r="F9" s="126"/>
      <c r="G9" s="126"/>
      <c r="H9" s="126"/>
    </row>
    <row r="10" spans="1:8" s="34" customFormat="1" ht="18.75">
      <c r="A10" s="4"/>
      <c r="B10" s="8"/>
      <c r="C10" s="56"/>
      <c r="D10" s="56"/>
      <c r="E10" s="56"/>
      <c r="F10" s="7"/>
      <c r="G10" s="7"/>
      <c r="H10" s="7"/>
    </row>
    <row r="11" spans="1:8" s="34" customFormat="1" ht="18.75">
      <c r="A11" s="125" t="s">
        <v>12</v>
      </c>
      <c r="B11" s="125"/>
      <c r="C11" s="126" t="s">
        <v>20</v>
      </c>
      <c r="D11" s="126"/>
      <c r="E11" s="126"/>
      <c r="F11" s="126"/>
      <c r="G11" s="126"/>
      <c r="H11" s="126"/>
    </row>
    <row r="12" spans="1:8" s="34" customFormat="1" ht="18.75">
      <c r="A12" s="4"/>
      <c r="B12" s="8"/>
      <c r="C12" s="10"/>
      <c r="D12" s="4"/>
      <c r="E12" s="4"/>
      <c r="F12" s="5"/>
      <c r="G12" s="5"/>
      <c r="H12" s="5"/>
    </row>
    <row r="13" spans="1:8" s="34" customFormat="1" ht="18.75">
      <c r="A13" s="125" t="s">
        <v>6</v>
      </c>
      <c r="B13" s="125"/>
      <c r="C13" s="126" t="s">
        <v>134</v>
      </c>
      <c r="D13" s="126"/>
      <c r="E13" s="126"/>
      <c r="F13" s="126"/>
      <c r="G13" s="126"/>
      <c r="H13" s="126"/>
    </row>
    <row r="14" spans="1:8" s="34" customFormat="1" ht="18.75">
      <c r="A14" s="4"/>
      <c r="B14" s="3"/>
      <c r="C14" s="10"/>
      <c r="D14" s="4"/>
      <c r="E14" s="4"/>
      <c r="F14" s="5"/>
      <c r="G14" s="5"/>
      <c r="H14" s="5"/>
    </row>
    <row r="15" spans="1:8" s="34" customFormat="1" ht="42" customHeight="1">
      <c r="A15" s="127" t="s">
        <v>31</v>
      </c>
      <c r="B15" s="127"/>
      <c r="C15" s="127"/>
      <c r="D15" s="127"/>
      <c r="E15" s="127"/>
      <c r="F15" s="127"/>
      <c r="G15" s="127"/>
      <c r="H15" s="127"/>
    </row>
    <row r="16" spans="1:8" s="34" customFormat="1" ht="18.75">
      <c r="A16" s="122"/>
      <c r="B16" s="122"/>
      <c r="C16" s="122"/>
      <c r="D16" s="122"/>
      <c r="E16" s="128" t="s">
        <v>23</v>
      </c>
      <c r="F16" s="128"/>
      <c r="G16" s="129">
        <v>286730000</v>
      </c>
      <c r="H16" s="128"/>
    </row>
    <row r="17" spans="1:12" s="34" customFormat="1" ht="18.75">
      <c r="A17" s="122" t="s">
        <v>0</v>
      </c>
      <c r="B17" s="122"/>
      <c r="C17" s="123" t="s">
        <v>13</v>
      </c>
      <c r="D17" s="123" t="s">
        <v>14</v>
      </c>
      <c r="E17" s="122" t="s">
        <v>1</v>
      </c>
      <c r="F17" s="122"/>
      <c r="G17" s="122"/>
      <c r="H17" s="123" t="s">
        <v>18</v>
      </c>
    </row>
    <row r="18" spans="1:12" s="34" customFormat="1" ht="15">
      <c r="A18" s="122" t="s">
        <v>21</v>
      </c>
      <c r="B18" s="124" t="s">
        <v>19</v>
      </c>
      <c r="C18" s="123"/>
      <c r="D18" s="123"/>
      <c r="E18" s="123" t="s">
        <v>15</v>
      </c>
      <c r="F18" s="123" t="s">
        <v>16</v>
      </c>
      <c r="G18" s="123" t="s">
        <v>17</v>
      </c>
      <c r="H18" s="123"/>
    </row>
    <row r="19" spans="1:12" s="34" customFormat="1" ht="87" customHeight="1">
      <c r="A19" s="122"/>
      <c r="B19" s="124"/>
      <c r="C19" s="123"/>
      <c r="D19" s="123"/>
      <c r="E19" s="123"/>
      <c r="F19" s="123"/>
      <c r="G19" s="123"/>
      <c r="H19" s="123"/>
    </row>
    <row r="20" spans="1:12" s="34" customFormat="1" ht="18.75">
      <c r="A20" s="54">
        <v>1</v>
      </c>
      <c r="B20" s="9" t="s">
        <v>22</v>
      </c>
      <c r="C20" s="54">
        <v>2</v>
      </c>
      <c r="D20" s="54">
        <v>3</v>
      </c>
      <c r="E20" s="54">
        <v>4</v>
      </c>
      <c r="F20" s="54">
        <v>5</v>
      </c>
      <c r="G20" s="54">
        <v>6</v>
      </c>
      <c r="H20" s="54">
        <v>7</v>
      </c>
    </row>
    <row r="21" spans="1:12" s="34" customFormat="1" ht="37.5">
      <c r="A21" s="59">
        <v>1</v>
      </c>
      <c r="B21" s="14"/>
      <c r="C21" s="23" t="s">
        <v>43</v>
      </c>
      <c r="D21" s="15"/>
      <c r="E21" s="16"/>
      <c r="F21" s="17"/>
      <c r="G21" s="18"/>
      <c r="H21" s="12"/>
    </row>
    <row r="22" spans="1:12" s="34" customFormat="1" ht="37.5">
      <c r="A22" s="64">
        <v>2</v>
      </c>
      <c r="B22" s="46" t="s">
        <v>127</v>
      </c>
      <c r="C22" s="39" t="s">
        <v>128</v>
      </c>
      <c r="D22" s="43" t="s">
        <v>45</v>
      </c>
      <c r="E22" s="68">
        <v>14</v>
      </c>
      <c r="F22" s="44">
        <v>227137.99812500001</v>
      </c>
      <c r="G22" s="45">
        <f t="shared" ref="G22" si="0">ROUND((F22*E22),2)</f>
        <v>3179931.97</v>
      </c>
      <c r="H22" s="67"/>
    </row>
    <row r="23" spans="1:12" s="34" customFormat="1" ht="18.75">
      <c r="A23" s="59">
        <v>3</v>
      </c>
      <c r="B23" s="14"/>
      <c r="C23" s="23" t="s">
        <v>44</v>
      </c>
      <c r="D23" s="15"/>
      <c r="E23" s="16"/>
      <c r="F23" s="17"/>
      <c r="G23" s="18">
        <f>SUM(G22:G22)</f>
        <v>3179931.97</v>
      </c>
      <c r="H23" s="12"/>
    </row>
    <row r="24" spans="1:12" s="34" customFormat="1" ht="18.75">
      <c r="A24" s="58">
        <v>4</v>
      </c>
      <c r="B24" s="14"/>
      <c r="C24" s="23" t="s">
        <v>126</v>
      </c>
      <c r="D24" s="21"/>
      <c r="E24" s="22"/>
      <c r="F24" s="22"/>
      <c r="G24" s="18">
        <f>G23</f>
        <v>3179931.97</v>
      </c>
      <c r="H24" s="12"/>
    </row>
    <row r="25" spans="1:12" s="34" customFormat="1" ht="37.5">
      <c r="A25" s="58">
        <v>5</v>
      </c>
      <c r="B25" s="14"/>
      <c r="C25" s="23" t="s">
        <v>33</v>
      </c>
      <c r="D25" s="21"/>
      <c r="E25" s="22"/>
      <c r="F25" s="24"/>
      <c r="G25" s="18">
        <f>ROUND(G24*1.04050001367,2)</f>
        <v>3308719.26</v>
      </c>
      <c r="H25" s="12"/>
    </row>
    <row r="26" spans="1:12" s="34" customFormat="1" ht="37.5">
      <c r="A26" s="58">
        <v>6</v>
      </c>
      <c r="B26" s="14"/>
      <c r="C26" s="23" t="s">
        <v>34</v>
      </c>
      <c r="D26" s="21"/>
      <c r="E26" s="22"/>
      <c r="F26" s="24"/>
      <c r="G26" s="18">
        <f>ROUND(G25*0.899997628394978,2)</f>
        <v>2977839.49</v>
      </c>
      <c r="H26" s="12"/>
    </row>
    <row r="27" spans="1:12" s="34" customFormat="1" ht="37.5">
      <c r="A27" s="58">
        <v>7</v>
      </c>
      <c r="B27" s="14"/>
      <c r="C27" s="23" t="s">
        <v>130</v>
      </c>
      <c r="D27" s="21"/>
      <c r="E27" s="22"/>
      <c r="F27" s="24"/>
      <c r="G27" s="18">
        <f>ROUND(G26*0.9836065571535,2)</f>
        <v>2929022.45</v>
      </c>
      <c r="H27" s="12"/>
    </row>
    <row r="28" spans="1:12" s="34" customFormat="1" ht="18.75">
      <c r="A28" s="58">
        <v>8</v>
      </c>
      <c r="B28" s="14"/>
      <c r="C28" s="23" t="s">
        <v>131</v>
      </c>
      <c r="D28" s="11"/>
      <c r="E28" s="19"/>
      <c r="F28" s="20"/>
      <c r="G28" s="18">
        <f>ROUND((G27*0.22),2)</f>
        <v>644384.93999999994</v>
      </c>
      <c r="H28" s="12"/>
    </row>
    <row r="29" spans="1:12" s="34" customFormat="1" ht="18.75">
      <c r="A29" s="58">
        <v>9</v>
      </c>
      <c r="B29" s="14"/>
      <c r="C29" s="23" t="s">
        <v>133</v>
      </c>
      <c r="D29" s="21"/>
      <c r="E29" s="22"/>
      <c r="F29" s="24"/>
      <c r="G29" s="18">
        <f>G28+G27</f>
        <v>3573407.39</v>
      </c>
      <c r="H29" s="12"/>
    </row>
    <row r="30" spans="1:12" s="34" customFormat="1" ht="18.75">
      <c r="A30" s="4"/>
      <c r="B30" s="3"/>
      <c r="C30" s="10"/>
      <c r="D30" s="4"/>
      <c r="E30" s="4"/>
      <c r="F30" s="5"/>
      <c r="K30" s="57"/>
      <c r="L30" s="57"/>
    </row>
    <row r="31" spans="1:12" ht="20.25">
      <c r="A31" s="116" t="s">
        <v>4</v>
      </c>
      <c r="B31" s="116"/>
      <c r="C31" s="30"/>
      <c r="D31" s="2"/>
      <c r="E31" s="2"/>
      <c r="F31" s="2"/>
      <c r="G31" s="2"/>
      <c r="H31" s="35"/>
    </row>
    <row r="32" spans="1:12" ht="20.25">
      <c r="B32" s="120" t="s">
        <v>26</v>
      </c>
      <c r="C32" s="121"/>
      <c r="D32" s="28"/>
      <c r="E32" s="119" t="s">
        <v>27</v>
      </c>
      <c r="F32" s="119"/>
      <c r="G32" s="119"/>
      <c r="H32" s="119"/>
    </row>
    <row r="33" spans="1:8">
      <c r="B33" s="117" t="s">
        <v>2</v>
      </c>
      <c r="C33" s="117"/>
      <c r="D33" s="29"/>
      <c r="E33" s="117" t="s">
        <v>3</v>
      </c>
      <c r="F33" s="117"/>
      <c r="G33" s="117"/>
      <c r="H33" s="117"/>
    </row>
    <row r="34" spans="1:8">
      <c r="A34" s="118" t="s">
        <v>9</v>
      </c>
      <c r="B34" s="118"/>
      <c r="C34" s="118"/>
      <c r="D34" s="28"/>
      <c r="E34" s="28"/>
      <c r="F34" s="28"/>
      <c r="G34" s="28"/>
      <c r="H34" s="28"/>
    </row>
    <row r="35" spans="1:8">
      <c r="A35" s="31"/>
      <c r="B35" s="55"/>
      <c r="C35" s="55"/>
      <c r="D35" s="28"/>
      <c r="E35" s="28"/>
      <c r="F35" s="28"/>
      <c r="G35" s="28"/>
      <c r="H35" s="28"/>
    </row>
    <row r="36" spans="1:8" ht="20.25">
      <c r="A36" s="116" t="s">
        <v>5</v>
      </c>
      <c r="B36" s="116"/>
      <c r="C36" s="28"/>
      <c r="D36" s="28"/>
      <c r="E36" s="28"/>
      <c r="F36" s="28"/>
      <c r="G36" s="28"/>
      <c r="H36" s="27"/>
    </row>
    <row r="37" spans="1:8">
      <c r="A37" s="31"/>
      <c r="B37" s="36"/>
      <c r="C37" s="28"/>
      <c r="D37" s="28"/>
      <c r="E37" s="28"/>
      <c r="F37" s="28"/>
      <c r="G37" s="28"/>
      <c r="H37" s="27"/>
    </row>
    <row r="38" spans="1:8" ht="41.25" customHeight="1">
      <c r="B38" s="120" t="s">
        <v>119</v>
      </c>
      <c r="C38" s="121"/>
      <c r="D38" s="28"/>
      <c r="E38" s="119" t="s">
        <v>132</v>
      </c>
      <c r="F38" s="119"/>
      <c r="G38" s="119"/>
      <c r="H38" s="119"/>
    </row>
    <row r="39" spans="1:8">
      <c r="B39" s="117" t="s">
        <v>2</v>
      </c>
      <c r="C39" s="117"/>
      <c r="D39" s="29"/>
      <c r="E39" s="117" t="s">
        <v>3</v>
      </c>
      <c r="F39" s="117"/>
      <c r="G39" s="117"/>
      <c r="H39" s="117"/>
    </row>
    <row r="40" spans="1:8">
      <c r="A40" s="118" t="s">
        <v>9</v>
      </c>
      <c r="B40" s="118"/>
      <c r="C40" s="118"/>
      <c r="D40" s="28"/>
      <c r="E40" s="28"/>
      <c r="F40" s="28"/>
      <c r="G40" s="28"/>
      <c r="H40" s="28"/>
    </row>
    <row r="41" spans="1:8" ht="15">
      <c r="A41" s="32"/>
      <c r="B41" s="6"/>
      <c r="C41" s="6"/>
      <c r="D41" s="6"/>
      <c r="E41" s="6"/>
      <c r="F41" s="6"/>
      <c r="G41" s="6"/>
      <c r="H41" s="6"/>
    </row>
  </sheetData>
  <mergeCells count="40">
    <mergeCell ref="A1:H1"/>
    <mergeCell ref="A2:H2"/>
    <mergeCell ref="A3:B3"/>
    <mergeCell ref="C3:H3"/>
    <mergeCell ref="A5:B5"/>
    <mergeCell ref="C5:H5"/>
    <mergeCell ref="A7:B7"/>
    <mergeCell ref="C7:H7"/>
    <mergeCell ref="A9:B9"/>
    <mergeCell ref="C9:H9"/>
    <mergeCell ref="A11:B11"/>
    <mergeCell ref="C11:H11"/>
    <mergeCell ref="A13:B13"/>
    <mergeCell ref="C13:H13"/>
    <mergeCell ref="A15:H15"/>
    <mergeCell ref="A16:D16"/>
    <mergeCell ref="E16:F16"/>
    <mergeCell ref="G16:H16"/>
    <mergeCell ref="A17:B17"/>
    <mergeCell ref="C17:C19"/>
    <mergeCell ref="D17:D19"/>
    <mergeCell ref="E17:G17"/>
    <mergeCell ref="H17:H19"/>
    <mergeCell ref="A18:A19"/>
    <mergeCell ref="B18:B19"/>
    <mergeCell ref="E18:E19"/>
    <mergeCell ref="F18:F19"/>
    <mergeCell ref="G18:G19"/>
    <mergeCell ref="A31:B31"/>
    <mergeCell ref="B39:C39"/>
    <mergeCell ref="E39:H39"/>
    <mergeCell ref="A40:C40"/>
    <mergeCell ref="E32:H32"/>
    <mergeCell ref="B33:C33"/>
    <mergeCell ref="E33:H33"/>
    <mergeCell ref="A34:C34"/>
    <mergeCell ref="A36:B36"/>
    <mergeCell ref="B38:C38"/>
    <mergeCell ref="E38:H38"/>
    <mergeCell ref="B32:C32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47" fitToHeight="7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53"/>
  <sheetViews>
    <sheetView tabSelected="1" zoomScale="70" zoomScaleNormal="70" workbookViewId="0">
      <selection activeCell="E93" sqref="E93"/>
    </sheetView>
  </sheetViews>
  <sheetFormatPr defaultRowHeight="15.75"/>
  <cols>
    <col min="1" max="1" width="10.28515625" style="1" customWidth="1"/>
    <col min="2" max="2" width="17.5703125" style="37" customWidth="1"/>
    <col min="3" max="3" width="54.140625" style="2" customWidth="1"/>
    <col min="4" max="4" width="18.85546875" style="1" customWidth="1"/>
    <col min="5" max="5" width="20.28515625" style="1" customWidth="1"/>
    <col min="6" max="7" width="23.140625" style="1" customWidth="1"/>
    <col min="8" max="8" width="20.140625" style="1" customWidth="1"/>
    <col min="9" max="9" width="9.140625" style="27"/>
    <col min="10" max="10" width="9.5703125" style="27" bestFit="1" customWidth="1"/>
    <col min="11" max="11" width="45.7109375" style="27" customWidth="1"/>
    <col min="12" max="12" width="17.85546875" style="27" bestFit="1" customWidth="1"/>
    <col min="13" max="16384" width="9.140625" style="27"/>
  </cols>
  <sheetData>
    <row r="1" spans="1:8" s="34" customFormat="1" ht="20.25">
      <c r="A1" s="131" t="s">
        <v>125</v>
      </c>
      <c r="B1" s="131"/>
      <c r="C1" s="131"/>
      <c r="D1" s="131"/>
      <c r="E1" s="131"/>
      <c r="F1" s="131"/>
      <c r="G1" s="131"/>
      <c r="H1" s="131"/>
    </row>
    <row r="2" spans="1:8" s="34" customFormat="1" ht="20.25">
      <c r="A2" s="131" t="s">
        <v>24</v>
      </c>
      <c r="B2" s="131"/>
      <c r="C2" s="131"/>
      <c r="D2" s="131"/>
      <c r="E2" s="131"/>
      <c r="F2" s="131"/>
      <c r="G2" s="131"/>
      <c r="H2" s="131"/>
    </row>
    <row r="3" spans="1:8" s="34" customFormat="1" ht="18.75">
      <c r="A3" s="130" t="s">
        <v>7</v>
      </c>
      <c r="B3" s="130"/>
      <c r="C3" s="126" t="s">
        <v>28</v>
      </c>
      <c r="D3" s="126"/>
      <c r="E3" s="126"/>
      <c r="F3" s="126"/>
      <c r="G3" s="126"/>
      <c r="H3" s="126"/>
    </row>
    <row r="4" spans="1:8" s="34" customFormat="1" ht="18.75">
      <c r="A4" s="4"/>
      <c r="B4" s="8"/>
      <c r="C4" s="60"/>
      <c r="D4" s="60"/>
      <c r="E4" s="60"/>
      <c r="F4" s="7"/>
      <c r="G4" s="7"/>
      <c r="H4" s="7"/>
    </row>
    <row r="5" spans="1:8" s="34" customFormat="1" ht="18.75">
      <c r="A5" s="130" t="s">
        <v>8</v>
      </c>
      <c r="B5" s="130"/>
      <c r="C5" s="126" t="s">
        <v>25</v>
      </c>
      <c r="D5" s="126"/>
      <c r="E5" s="126"/>
      <c r="F5" s="126"/>
      <c r="G5" s="126"/>
      <c r="H5" s="126"/>
    </row>
    <row r="6" spans="1:8" s="34" customFormat="1" ht="18.75">
      <c r="A6" s="4"/>
      <c r="B6" s="8"/>
      <c r="C6" s="60"/>
      <c r="D6" s="60"/>
      <c r="E6" s="60"/>
      <c r="F6" s="7"/>
      <c r="G6" s="7"/>
      <c r="H6" s="7"/>
    </row>
    <row r="7" spans="1:8" s="34" customFormat="1" ht="39.75" customHeight="1">
      <c r="A7" s="130" t="s">
        <v>10</v>
      </c>
      <c r="B7" s="130"/>
      <c r="C7" s="126" t="s">
        <v>129</v>
      </c>
      <c r="D7" s="126"/>
      <c r="E7" s="126"/>
      <c r="F7" s="126"/>
      <c r="G7" s="126"/>
      <c r="H7" s="126"/>
    </row>
    <row r="8" spans="1:8" s="34" customFormat="1" ht="18.75">
      <c r="A8" s="4"/>
      <c r="B8" s="8"/>
      <c r="C8" s="60"/>
      <c r="D8" s="60"/>
      <c r="E8" s="60"/>
      <c r="F8" s="7"/>
      <c r="G8" s="7"/>
      <c r="H8" s="7"/>
    </row>
    <row r="9" spans="1:8" s="34" customFormat="1" ht="37.5" customHeight="1">
      <c r="A9" s="130" t="s">
        <v>11</v>
      </c>
      <c r="B9" s="130"/>
      <c r="C9" s="126" t="s">
        <v>30</v>
      </c>
      <c r="D9" s="126"/>
      <c r="E9" s="126"/>
      <c r="F9" s="126"/>
      <c r="G9" s="126"/>
      <c r="H9" s="126"/>
    </row>
    <row r="10" spans="1:8" s="34" customFormat="1" ht="18.75">
      <c r="A10" s="4"/>
      <c r="B10" s="8"/>
      <c r="C10" s="60"/>
      <c r="D10" s="60"/>
      <c r="E10" s="60"/>
      <c r="F10" s="7"/>
      <c r="G10" s="7"/>
      <c r="H10" s="7"/>
    </row>
    <row r="11" spans="1:8" s="34" customFormat="1" ht="18.75">
      <c r="A11" s="125" t="s">
        <v>12</v>
      </c>
      <c r="B11" s="125"/>
      <c r="C11" s="126" t="s">
        <v>20</v>
      </c>
      <c r="D11" s="126"/>
      <c r="E11" s="126"/>
      <c r="F11" s="126"/>
      <c r="G11" s="126"/>
      <c r="H11" s="126"/>
    </row>
    <row r="12" spans="1:8" s="34" customFormat="1" ht="18.75">
      <c r="A12" s="4"/>
      <c r="B12" s="8"/>
      <c r="C12" s="10"/>
      <c r="D12" s="4"/>
      <c r="E12" s="4"/>
      <c r="F12" s="5"/>
      <c r="G12" s="5"/>
      <c r="H12" s="5"/>
    </row>
    <row r="13" spans="1:8" s="34" customFormat="1" ht="18.75">
      <c r="A13" s="125" t="s">
        <v>6</v>
      </c>
      <c r="B13" s="125"/>
      <c r="C13" s="126" t="s">
        <v>134</v>
      </c>
      <c r="D13" s="126"/>
      <c r="E13" s="126"/>
      <c r="F13" s="126"/>
      <c r="G13" s="126"/>
      <c r="H13" s="126"/>
    </row>
    <row r="14" spans="1:8" s="34" customFormat="1" ht="18.75">
      <c r="A14" s="4"/>
      <c r="B14" s="3"/>
      <c r="C14" s="10"/>
      <c r="D14" s="4"/>
      <c r="E14" s="4"/>
      <c r="F14" s="5"/>
      <c r="G14" s="5"/>
      <c r="H14" s="5"/>
    </row>
    <row r="15" spans="1:8" s="34" customFormat="1" ht="41.25" customHeight="1">
      <c r="A15" s="127" t="s">
        <v>31</v>
      </c>
      <c r="B15" s="127"/>
      <c r="C15" s="127"/>
      <c r="D15" s="127"/>
      <c r="E15" s="127"/>
      <c r="F15" s="127"/>
      <c r="G15" s="127"/>
      <c r="H15" s="127"/>
    </row>
    <row r="16" spans="1:8" s="34" customFormat="1" ht="18.75">
      <c r="A16" s="122"/>
      <c r="B16" s="122"/>
      <c r="C16" s="122"/>
      <c r="D16" s="122"/>
      <c r="E16" s="128" t="s">
        <v>23</v>
      </c>
      <c r="F16" s="128"/>
      <c r="G16" s="129">
        <v>286730000</v>
      </c>
      <c r="H16" s="128"/>
    </row>
    <row r="17" spans="1:11" s="34" customFormat="1" ht="18.75">
      <c r="A17" s="122" t="s">
        <v>0</v>
      </c>
      <c r="B17" s="122"/>
      <c r="C17" s="123" t="s">
        <v>13</v>
      </c>
      <c r="D17" s="123" t="s">
        <v>14</v>
      </c>
      <c r="E17" s="122" t="s">
        <v>1</v>
      </c>
      <c r="F17" s="122"/>
      <c r="G17" s="122"/>
      <c r="H17" s="123" t="s">
        <v>18</v>
      </c>
    </row>
    <row r="18" spans="1:11" s="34" customFormat="1" ht="15">
      <c r="A18" s="122" t="s">
        <v>21</v>
      </c>
      <c r="B18" s="124" t="s">
        <v>19</v>
      </c>
      <c r="C18" s="123"/>
      <c r="D18" s="123"/>
      <c r="E18" s="123" t="s">
        <v>15</v>
      </c>
      <c r="F18" s="123" t="s">
        <v>16</v>
      </c>
      <c r="G18" s="123" t="s">
        <v>17</v>
      </c>
      <c r="H18" s="123"/>
    </row>
    <row r="19" spans="1:11" s="34" customFormat="1" ht="48.75" customHeight="1">
      <c r="A19" s="122"/>
      <c r="B19" s="124"/>
      <c r="C19" s="123"/>
      <c r="D19" s="123"/>
      <c r="E19" s="123"/>
      <c r="F19" s="123"/>
      <c r="G19" s="123"/>
      <c r="H19" s="123"/>
    </row>
    <row r="20" spans="1:11" s="34" customFormat="1" ht="18.75">
      <c r="A20" s="62">
        <v>1</v>
      </c>
      <c r="B20" s="9" t="s">
        <v>22</v>
      </c>
      <c r="C20" s="62">
        <v>2</v>
      </c>
      <c r="D20" s="62">
        <v>3</v>
      </c>
      <c r="E20" s="62">
        <v>4</v>
      </c>
      <c r="F20" s="62">
        <v>5</v>
      </c>
      <c r="G20" s="62">
        <v>6</v>
      </c>
      <c r="H20" s="62">
        <v>7</v>
      </c>
    </row>
    <row r="21" spans="1:11" s="34" customFormat="1" ht="75">
      <c r="A21" s="33">
        <v>1</v>
      </c>
      <c r="B21" s="14"/>
      <c r="C21" s="21" t="s">
        <v>135</v>
      </c>
      <c r="D21" s="21"/>
      <c r="E21" s="21"/>
      <c r="F21" s="25"/>
      <c r="G21" s="26"/>
      <c r="H21" s="13"/>
    </row>
    <row r="22" spans="1:11" s="34" customFormat="1" ht="75">
      <c r="A22" s="73">
        <v>2</v>
      </c>
      <c r="B22" s="46" t="s">
        <v>136</v>
      </c>
      <c r="C22" s="71" t="s">
        <v>137</v>
      </c>
      <c r="D22" s="38" t="s">
        <v>138</v>
      </c>
      <c r="E22" s="88">
        <v>24.727799999999998</v>
      </c>
      <c r="F22" s="40">
        <v>7719.21</v>
      </c>
      <c r="G22" s="40">
        <f t="shared" ref="G22:G28" si="0">ROUND((F22*E22),2)</f>
        <v>190879.08</v>
      </c>
      <c r="H22" s="70"/>
      <c r="K22" s="115"/>
    </row>
    <row r="23" spans="1:11" s="34" customFormat="1" ht="150">
      <c r="A23" s="73">
        <v>3</v>
      </c>
      <c r="B23" s="46" t="s">
        <v>139</v>
      </c>
      <c r="C23" s="39" t="s">
        <v>140</v>
      </c>
      <c r="D23" s="72" t="s">
        <v>29</v>
      </c>
      <c r="E23" s="89">
        <v>234.91</v>
      </c>
      <c r="F23" s="40">
        <v>343.13</v>
      </c>
      <c r="G23" s="40">
        <f t="shared" si="0"/>
        <v>80604.67</v>
      </c>
      <c r="H23" s="70"/>
      <c r="K23" s="115"/>
    </row>
    <row r="24" spans="1:11" s="34" customFormat="1" ht="56.25">
      <c r="A24" s="62">
        <v>4</v>
      </c>
      <c r="B24" s="46" t="s">
        <v>120</v>
      </c>
      <c r="C24" s="49" t="s">
        <v>32</v>
      </c>
      <c r="D24" s="38" t="s">
        <v>29</v>
      </c>
      <c r="E24" s="89">
        <v>0.73</v>
      </c>
      <c r="F24" s="40">
        <v>23492.97</v>
      </c>
      <c r="G24" s="40">
        <f t="shared" si="0"/>
        <v>17149.87</v>
      </c>
      <c r="H24" s="62"/>
      <c r="K24" s="115"/>
    </row>
    <row r="25" spans="1:11" s="34" customFormat="1" ht="75">
      <c r="A25" s="62">
        <v>5</v>
      </c>
      <c r="B25" s="46" t="s">
        <v>121</v>
      </c>
      <c r="C25" s="49" t="s">
        <v>122</v>
      </c>
      <c r="D25" s="38" t="s">
        <v>36</v>
      </c>
      <c r="E25" s="88">
        <v>3.1145999999999998</v>
      </c>
      <c r="F25" s="40">
        <v>779034.45729263895</v>
      </c>
      <c r="G25" s="40">
        <f t="shared" si="0"/>
        <v>2426380.7200000002</v>
      </c>
      <c r="H25" s="62"/>
      <c r="K25" s="115"/>
    </row>
    <row r="26" spans="1:11" s="34" customFormat="1" ht="56.25">
      <c r="A26" s="62">
        <v>6</v>
      </c>
      <c r="B26" s="46" t="s">
        <v>123</v>
      </c>
      <c r="C26" s="49" t="s">
        <v>32</v>
      </c>
      <c r="D26" s="38" t="s">
        <v>29</v>
      </c>
      <c r="E26" s="89">
        <v>0.75</v>
      </c>
      <c r="F26" s="40">
        <v>23492.97</v>
      </c>
      <c r="G26" s="40">
        <f t="shared" si="0"/>
        <v>17619.73</v>
      </c>
      <c r="H26" s="62"/>
      <c r="K26" s="115"/>
    </row>
    <row r="27" spans="1:11" s="34" customFormat="1" ht="93.75">
      <c r="A27" s="62">
        <v>7</v>
      </c>
      <c r="B27" s="46" t="s">
        <v>124</v>
      </c>
      <c r="C27" s="49" t="s">
        <v>35</v>
      </c>
      <c r="D27" s="38" t="s">
        <v>38</v>
      </c>
      <c r="E27" s="90">
        <v>2.4815800000000001</v>
      </c>
      <c r="F27" s="40">
        <v>917203.40793910495</v>
      </c>
      <c r="G27" s="40">
        <f t="shared" si="0"/>
        <v>2276113.63</v>
      </c>
      <c r="H27" s="62"/>
      <c r="J27" s="47"/>
      <c r="K27" s="115"/>
    </row>
    <row r="28" spans="1:11" s="34" customFormat="1" ht="56.25">
      <c r="A28" s="69">
        <v>8</v>
      </c>
      <c r="B28" s="46" t="s">
        <v>141</v>
      </c>
      <c r="C28" s="49" t="s">
        <v>142</v>
      </c>
      <c r="D28" s="38" t="s">
        <v>143</v>
      </c>
      <c r="E28" s="90">
        <v>1.44295</v>
      </c>
      <c r="F28" s="40">
        <v>44879.47</v>
      </c>
      <c r="G28" s="40">
        <f t="shared" si="0"/>
        <v>64758.83</v>
      </c>
      <c r="H28" s="69"/>
      <c r="J28" s="47"/>
      <c r="K28" s="115"/>
    </row>
    <row r="29" spans="1:11" s="34" customFormat="1" ht="18.75">
      <c r="A29" s="12">
        <v>9</v>
      </c>
      <c r="B29" s="14"/>
      <c r="C29" s="23" t="s">
        <v>104</v>
      </c>
      <c r="D29" s="15"/>
      <c r="E29" s="16"/>
      <c r="F29" s="17"/>
      <c r="G29" s="18">
        <f>SUM(G22:G28)</f>
        <v>5073506.53</v>
      </c>
      <c r="H29" s="12"/>
    </row>
    <row r="30" spans="1:11" s="34" customFormat="1" ht="75">
      <c r="A30" s="33">
        <v>10</v>
      </c>
      <c r="B30" s="14"/>
      <c r="C30" s="21" t="s">
        <v>144</v>
      </c>
      <c r="D30" s="21"/>
      <c r="E30" s="21"/>
      <c r="F30" s="25"/>
      <c r="G30" s="26"/>
      <c r="H30" s="13"/>
    </row>
    <row r="31" spans="1:11" s="34" customFormat="1" ht="112.5">
      <c r="A31" s="75">
        <v>11</v>
      </c>
      <c r="B31" s="46" t="s">
        <v>105</v>
      </c>
      <c r="C31" s="49" t="s">
        <v>106</v>
      </c>
      <c r="D31" s="38" t="s">
        <v>40</v>
      </c>
      <c r="E31" s="92">
        <v>1.9339999999999691E-2</v>
      </c>
      <c r="F31" s="40">
        <v>1044953.22</v>
      </c>
      <c r="G31" s="40">
        <f t="shared" ref="G31" si="1">ROUND((F31*E31),2)</f>
        <v>20209.400000000001</v>
      </c>
      <c r="H31" s="62"/>
    </row>
    <row r="32" spans="1:11" s="34" customFormat="1" ht="112.5">
      <c r="A32" s="75">
        <v>12</v>
      </c>
      <c r="B32" s="46" t="s">
        <v>107</v>
      </c>
      <c r="C32" s="49" t="s">
        <v>108</v>
      </c>
      <c r="D32" s="38" t="s">
        <v>38</v>
      </c>
      <c r="E32" s="92">
        <v>3.8559999999999928E-2</v>
      </c>
      <c r="F32" s="40">
        <v>1055884.3600000001</v>
      </c>
      <c r="G32" s="40">
        <f t="shared" ref="G32" si="2">ROUND((F32*E32),2)</f>
        <v>40714.9</v>
      </c>
      <c r="H32" s="50"/>
    </row>
    <row r="33" spans="1:11" s="34" customFormat="1" ht="56.25">
      <c r="A33" s="75">
        <v>13</v>
      </c>
      <c r="B33" s="46" t="s">
        <v>109</v>
      </c>
      <c r="C33" s="49" t="s">
        <v>39</v>
      </c>
      <c r="D33" s="38" t="s">
        <v>29</v>
      </c>
      <c r="E33" s="93">
        <v>5.7000000000000384E-2</v>
      </c>
      <c r="F33" s="40">
        <v>23492.97</v>
      </c>
      <c r="G33" s="40">
        <f t="shared" ref="G33" si="3">ROUND((F33*E33),2)</f>
        <v>1339.1</v>
      </c>
      <c r="H33" s="50"/>
    </row>
    <row r="34" spans="1:11" s="34" customFormat="1" ht="18.75">
      <c r="A34" s="12">
        <v>14</v>
      </c>
      <c r="B34" s="14"/>
      <c r="C34" s="23" t="s">
        <v>110</v>
      </c>
      <c r="D34" s="15"/>
      <c r="E34" s="16"/>
      <c r="F34" s="17"/>
      <c r="G34" s="18">
        <f>SUM(G31:G33)</f>
        <v>62263.4</v>
      </c>
      <c r="H34" s="65"/>
    </row>
    <row r="35" spans="1:11" s="34" customFormat="1" ht="37.5">
      <c r="A35" s="33">
        <v>15</v>
      </c>
      <c r="B35" s="14"/>
      <c r="C35" s="21" t="s">
        <v>145</v>
      </c>
      <c r="D35" s="21"/>
      <c r="E35" s="21"/>
      <c r="F35" s="25"/>
      <c r="G35" s="26"/>
      <c r="H35" s="13"/>
    </row>
    <row r="36" spans="1:11" s="34" customFormat="1" ht="75">
      <c r="A36" s="76">
        <v>16</v>
      </c>
      <c r="B36" s="78" t="s">
        <v>146</v>
      </c>
      <c r="C36" s="79" t="s">
        <v>137</v>
      </c>
      <c r="D36" s="81" t="s">
        <v>138</v>
      </c>
      <c r="E36" s="114"/>
      <c r="F36" s="40">
        <v>7688.42</v>
      </c>
      <c r="G36" s="80">
        <v>0.01</v>
      </c>
      <c r="H36" s="77"/>
    </row>
    <row r="37" spans="1:11" s="34" customFormat="1" ht="75">
      <c r="A37" s="76">
        <v>17</v>
      </c>
      <c r="B37" s="78" t="s">
        <v>147</v>
      </c>
      <c r="C37" s="79" t="s">
        <v>148</v>
      </c>
      <c r="D37" s="81" t="s">
        <v>36</v>
      </c>
      <c r="E37" s="91"/>
      <c r="F37" s="40">
        <v>779034.46</v>
      </c>
      <c r="G37" s="80">
        <v>0.01</v>
      </c>
      <c r="H37" s="77"/>
    </row>
    <row r="38" spans="1:11" s="34" customFormat="1" ht="93.75">
      <c r="A38" s="76">
        <v>18</v>
      </c>
      <c r="B38" s="78" t="s">
        <v>149</v>
      </c>
      <c r="C38" s="79" t="s">
        <v>35</v>
      </c>
      <c r="D38" s="81" t="s">
        <v>143</v>
      </c>
      <c r="E38" s="91"/>
      <c r="F38" s="40">
        <v>917203.41</v>
      </c>
      <c r="G38" s="80">
        <v>0.01</v>
      </c>
      <c r="H38" s="77"/>
    </row>
    <row r="39" spans="1:11" s="34" customFormat="1" ht="18.75">
      <c r="A39" s="12">
        <v>19</v>
      </c>
      <c r="B39" s="14"/>
      <c r="C39" s="23" t="s">
        <v>150</v>
      </c>
      <c r="D39" s="15"/>
      <c r="E39" s="16"/>
      <c r="F39" s="17"/>
      <c r="G39" s="18">
        <f>SUM(G36:G38)</f>
        <v>0.03</v>
      </c>
      <c r="H39" s="65"/>
    </row>
    <row r="40" spans="1:11" s="34" customFormat="1" ht="56.25">
      <c r="A40" s="33">
        <v>20</v>
      </c>
      <c r="B40" s="14"/>
      <c r="C40" s="21" t="s">
        <v>151</v>
      </c>
      <c r="D40" s="21"/>
      <c r="E40" s="21"/>
      <c r="F40" s="25"/>
      <c r="G40" s="26"/>
      <c r="H40" s="13"/>
    </row>
    <row r="41" spans="1:11" s="34" customFormat="1" ht="93.75">
      <c r="A41" s="76">
        <v>21</v>
      </c>
      <c r="B41" s="78" t="s">
        <v>152</v>
      </c>
      <c r="C41" s="79" t="s">
        <v>153</v>
      </c>
      <c r="D41" s="81" t="s">
        <v>143</v>
      </c>
      <c r="E41" s="114"/>
      <c r="F41" s="40">
        <v>659697.78</v>
      </c>
      <c r="G41" s="80">
        <v>-0.01</v>
      </c>
      <c r="H41" s="77"/>
    </row>
    <row r="42" spans="1:11" s="34" customFormat="1" ht="56.25">
      <c r="A42" s="76">
        <v>22</v>
      </c>
      <c r="B42" s="78" t="s">
        <v>154</v>
      </c>
      <c r="C42" s="79" t="s">
        <v>39</v>
      </c>
      <c r="D42" s="81" t="s">
        <v>29</v>
      </c>
      <c r="E42" s="114"/>
      <c r="F42" s="40">
        <v>23492.97</v>
      </c>
      <c r="G42" s="80">
        <v>0.01</v>
      </c>
      <c r="H42" s="77"/>
    </row>
    <row r="43" spans="1:11" s="34" customFormat="1" ht="75">
      <c r="A43" s="76">
        <v>23</v>
      </c>
      <c r="B43" s="78" t="s">
        <v>155</v>
      </c>
      <c r="C43" s="79" t="s">
        <v>156</v>
      </c>
      <c r="D43" s="81" t="s">
        <v>36</v>
      </c>
      <c r="E43" s="114"/>
      <c r="F43" s="40">
        <v>763141.1</v>
      </c>
      <c r="G43" s="80">
        <v>0.02</v>
      </c>
      <c r="H43" s="77"/>
    </row>
    <row r="44" spans="1:11" s="34" customFormat="1" ht="56.25">
      <c r="A44" s="76">
        <v>24</v>
      </c>
      <c r="B44" s="78" t="s">
        <v>158</v>
      </c>
      <c r="C44" s="79" t="s">
        <v>159</v>
      </c>
      <c r="D44" s="81" t="s">
        <v>160</v>
      </c>
      <c r="E44" s="111">
        <v>1.1099999999999999E-3</v>
      </c>
      <c r="F44" s="113">
        <v>84514.29</v>
      </c>
      <c r="G44" s="80">
        <f>ROUND((F44*E44),2)</f>
        <v>93.81</v>
      </c>
      <c r="H44" s="77"/>
      <c r="K44" s="112" t="s">
        <v>253</v>
      </c>
    </row>
    <row r="45" spans="1:11" s="34" customFormat="1" ht="37.5">
      <c r="A45" s="76">
        <v>25</v>
      </c>
      <c r="B45" s="78" t="s">
        <v>161</v>
      </c>
      <c r="C45" s="79" t="s">
        <v>162</v>
      </c>
      <c r="D45" s="81" t="s">
        <v>42</v>
      </c>
      <c r="E45" s="110">
        <v>6.13</v>
      </c>
      <c r="F45" s="74">
        <v>156045.1109725686</v>
      </c>
      <c r="G45" s="80">
        <f>ROUND((F45*E45),2)</f>
        <v>956556.53</v>
      </c>
      <c r="H45" s="77"/>
    </row>
    <row r="46" spans="1:11" s="34" customFormat="1" ht="18.75">
      <c r="A46" s="12">
        <v>26</v>
      </c>
      <c r="B46" s="14"/>
      <c r="C46" s="23" t="s">
        <v>157</v>
      </c>
      <c r="D46" s="15"/>
      <c r="E46" s="16"/>
      <c r="F46" s="17"/>
      <c r="G46" s="18">
        <f>SUM(G41:G45)</f>
        <v>956650.36</v>
      </c>
      <c r="H46" s="65"/>
    </row>
    <row r="47" spans="1:11" s="34" customFormat="1" ht="56.25">
      <c r="A47" s="33">
        <v>27</v>
      </c>
      <c r="B47" s="14"/>
      <c r="C47" s="21" t="s">
        <v>163</v>
      </c>
      <c r="D47" s="21"/>
      <c r="E47" s="21"/>
      <c r="F47" s="25"/>
      <c r="G47" s="26"/>
      <c r="H47" s="13"/>
    </row>
    <row r="48" spans="1:11" s="34" customFormat="1" ht="93.75">
      <c r="A48" s="76">
        <v>28</v>
      </c>
      <c r="B48" s="78" t="s">
        <v>166</v>
      </c>
      <c r="C48" s="79" t="s">
        <v>165</v>
      </c>
      <c r="D48" s="81" t="s">
        <v>160</v>
      </c>
      <c r="E48" s="90">
        <v>2.3560000000000001E-2</v>
      </c>
      <c r="F48" s="40">
        <v>403612.15</v>
      </c>
      <c r="G48" s="80">
        <f>ROUND((F48*E48),2)</f>
        <v>9509.1</v>
      </c>
      <c r="H48" s="77"/>
    </row>
    <row r="49" spans="1:8" s="34" customFormat="1" ht="93.75">
      <c r="A49" s="76">
        <v>29</v>
      </c>
      <c r="B49" s="78" t="s">
        <v>167</v>
      </c>
      <c r="C49" s="79" t="s">
        <v>153</v>
      </c>
      <c r="D49" s="81" t="s">
        <v>143</v>
      </c>
      <c r="E49" s="88">
        <v>0.15709999999999999</v>
      </c>
      <c r="F49" s="40">
        <v>659697.81000000006</v>
      </c>
      <c r="G49" s="80">
        <f>ROUND((F49*E49),2)-0.01</f>
        <v>103638.52</v>
      </c>
      <c r="H49" s="77"/>
    </row>
    <row r="50" spans="1:8" s="34" customFormat="1" ht="56.25">
      <c r="A50" s="76">
        <v>30</v>
      </c>
      <c r="B50" s="78" t="s">
        <v>168</v>
      </c>
      <c r="C50" s="79" t="s">
        <v>39</v>
      </c>
      <c r="D50" s="81" t="s">
        <v>29</v>
      </c>
      <c r="E50" s="88">
        <v>0.1258</v>
      </c>
      <c r="F50" s="40">
        <v>23492.98</v>
      </c>
      <c r="G50" s="80">
        <f>ROUND((F50*E50),2)</f>
        <v>2955.42</v>
      </c>
      <c r="H50" s="77"/>
    </row>
    <row r="51" spans="1:8" s="34" customFormat="1" ht="75">
      <c r="A51" s="67">
        <v>31</v>
      </c>
      <c r="B51" s="85" t="s">
        <v>169</v>
      </c>
      <c r="C51" s="83" t="s">
        <v>156</v>
      </c>
      <c r="D51" s="84" t="s">
        <v>36</v>
      </c>
      <c r="E51" s="109">
        <v>0.25767760000000001</v>
      </c>
      <c r="F51" s="74">
        <v>763141.09</v>
      </c>
      <c r="G51" s="80">
        <f>ROUND((F51*E51),2)+0.01</f>
        <v>196644.37</v>
      </c>
      <c r="H51" s="77"/>
    </row>
    <row r="52" spans="1:8" s="34" customFormat="1" ht="56.25">
      <c r="A52" s="76">
        <v>32</v>
      </c>
      <c r="B52" s="85" t="s">
        <v>170</v>
      </c>
      <c r="C52" s="83" t="s">
        <v>171</v>
      </c>
      <c r="D52" s="84" t="s">
        <v>29</v>
      </c>
      <c r="E52" s="107">
        <v>1.4800000000000001E-2</v>
      </c>
      <c r="F52" s="74">
        <v>23492.93</v>
      </c>
      <c r="G52" s="80">
        <f>ROUND((F52*E52),2)-0.01</f>
        <v>347.69</v>
      </c>
      <c r="H52" s="77"/>
    </row>
    <row r="53" spans="1:8" s="34" customFormat="1" ht="93.75">
      <c r="A53" s="76">
        <v>33</v>
      </c>
      <c r="B53" s="85" t="s">
        <v>172</v>
      </c>
      <c r="C53" s="83" t="s">
        <v>35</v>
      </c>
      <c r="D53" s="81" t="s">
        <v>143</v>
      </c>
      <c r="E53" s="108">
        <v>4.4069999999999998E-2</v>
      </c>
      <c r="F53" s="74">
        <v>917203.44</v>
      </c>
      <c r="G53" s="80">
        <f>ROUND((F53*E53),2)</f>
        <v>40421.160000000003</v>
      </c>
      <c r="H53" s="77"/>
    </row>
    <row r="54" spans="1:8" s="34" customFormat="1" ht="18.75">
      <c r="A54" s="59"/>
      <c r="B54" s="14"/>
      <c r="C54" s="23" t="s">
        <v>164</v>
      </c>
      <c r="D54" s="15"/>
      <c r="E54" s="16"/>
      <c r="F54" s="17"/>
      <c r="G54" s="18">
        <f>SUM(G48:G53)</f>
        <v>353516.26</v>
      </c>
      <c r="H54" s="65"/>
    </row>
    <row r="55" spans="1:8" s="34" customFormat="1" ht="37.5">
      <c r="A55" s="59"/>
      <c r="B55" s="14"/>
      <c r="C55" s="21" t="s">
        <v>43</v>
      </c>
      <c r="D55" s="15"/>
      <c r="E55" s="16"/>
      <c r="F55" s="17"/>
      <c r="G55" s="18"/>
      <c r="H55" s="65"/>
    </row>
    <row r="56" spans="1:8" s="34" customFormat="1" ht="75">
      <c r="A56" s="76">
        <v>34</v>
      </c>
      <c r="B56" s="85" t="s">
        <v>173</v>
      </c>
      <c r="C56" s="83" t="s">
        <v>174</v>
      </c>
      <c r="D56" s="84" t="s">
        <v>175</v>
      </c>
      <c r="E56" s="108">
        <v>6.0000000000000002E-5</v>
      </c>
      <c r="F56" s="74">
        <v>385876.16</v>
      </c>
      <c r="G56" s="80">
        <f>ROUND((F56*E56),2)</f>
        <v>23.15</v>
      </c>
      <c r="H56" s="77"/>
    </row>
    <row r="57" spans="1:8" s="34" customFormat="1" ht="37.5">
      <c r="A57" s="76">
        <v>35</v>
      </c>
      <c r="B57" s="85" t="s">
        <v>176</v>
      </c>
      <c r="C57" s="83" t="s">
        <v>177</v>
      </c>
      <c r="D57" s="84" t="s">
        <v>175</v>
      </c>
      <c r="E57" s="107">
        <v>0.35849999999999999</v>
      </c>
      <c r="F57" s="74">
        <v>131120.91</v>
      </c>
      <c r="G57" s="80">
        <f>ROUND((F57*E57),2)</f>
        <v>47006.85</v>
      </c>
      <c r="H57" s="77"/>
    </row>
    <row r="58" spans="1:8" s="34" customFormat="1" ht="18.75">
      <c r="A58" s="59"/>
      <c r="B58" s="14"/>
      <c r="C58" s="23" t="s">
        <v>44</v>
      </c>
      <c r="D58" s="15"/>
      <c r="E58" s="16"/>
      <c r="F58" s="17"/>
      <c r="G58" s="18">
        <f>SUM(G56:G57)</f>
        <v>47030</v>
      </c>
      <c r="H58" s="65"/>
    </row>
    <row r="59" spans="1:8" s="34" customFormat="1" ht="37.5">
      <c r="A59" s="59"/>
      <c r="B59" s="14"/>
      <c r="C59" s="21" t="s">
        <v>179</v>
      </c>
      <c r="D59" s="15"/>
      <c r="E59" s="16"/>
      <c r="F59" s="17"/>
      <c r="G59" s="18"/>
      <c r="H59" s="65"/>
    </row>
    <row r="60" spans="1:8" s="34" customFormat="1" ht="150">
      <c r="A60" s="76">
        <v>36</v>
      </c>
      <c r="B60" s="85" t="s">
        <v>180</v>
      </c>
      <c r="C60" s="83" t="s">
        <v>181</v>
      </c>
      <c r="D60" s="81" t="s">
        <v>138</v>
      </c>
      <c r="E60" s="107">
        <v>15.097899999999999</v>
      </c>
      <c r="F60" s="74">
        <v>50916.65</v>
      </c>
      <c r="G60" s="80">
        <f>ROUND((F60*E60),2)+0.04</f>
        <v>768734.53</v>
      </c>
      <c r="H60" s="77"/>
    </row>
    <row r="61" spans="1:8" s="34" customFormat="1" ht="75">
      <c r="A61" s="76">
        <v>37</v>
      </c>
      <c r="B61" s="85" t="s">
        <v>182</v>
      </c>
      <c r="C61" s="83" t="s">
        <v>183</v>
      </c>
      <c r="D61" s="81" t="s">
        <v>138</v>
      </c>
      <c r="E61" s="107">
        <v>15.097899999999999</v>
      </c>
      <c r="F61" s="74">
        <v>7909.16</v>
      </c>
      <c r="G61" s="80">
        <f>ROUND((F61*E61),2)-0.04</f>
        <v>119411.67000000001</v>
      </c>
      <c r="H61" s="77"/>
    </row>
    <row r="62" spans="1:8" s="34" customFormat="1" ht="18.75">
      <c r="A62" s="59"/>
      <c r="B62" s="14"/>
      <c r="C62" s="23" t="s">
        <v>178</v>
      </c>
      <c r="D62" s="15"/>
      <c r="E62" s="16"/>
      <c r="F62" s="17"/>
      <c r="G62" s="18">
        <f>SUM(G60:G61)</f>
        <v>888146.20000000007</v>
      </c>
      <c r="H62" s="65"/>
    </row>
    <row r="63" spans="1:8" s="34" customFormat="1" ht="37.5">
      <c r="A63" s="59"/>
      <c r="B63" s="14"/>
      <c r="C63" s="21" t="s">
        <v>185</v>
      </c>
      <c r="D63" s="15"/>
      <c r="E63" s="16"/>
      <c r="F63" s="17"/>
      <c r="G63" s="18"/>
      <c r="H63" s="65"/>
    </row>
    <row r="64" spans="1:8" s="34" customFormat="1" ht="37.5">
      <c r="A64" s="76">
        <v>38</v>
      </c>
      <c r="B64" s="85" t="s">
        <v>186</v>
      </c>
      <c r="C64" s="83" t="s">
        <v>187</v>
      </c>
      <c r="D64" s="81" t="s">
        <v>138</v>
      </c>
      <c r="E64" s="107"/>
      <c r="F64" s="74">
        <v>3062.1</v>
      </c>
      <c r="G64" s="80">
        <v>0.09</v>
      </c>
      <c r="H64" s="77"/>
    </row>
    <row r="65" spans="1:8" s="34" customFormat="1" ht="56.25">
      <c r="A65" s="76">
        <v>39</v>
      </c>
      <c r="B65" s="85" t="s">
        <v>188</v>
      </c>
      <c r="C65" s="83" t="s">
        <v>189</v>
      </c>
      <c r="D65" s="81" t="s">
        <v>29</v>
      </c>
      <c r="E65" s="107"/>
      <c r="F65" s="74">
        <v>468.55</v>
      </c>
      <c r="G65" s="80">
        <v>-1.87</v>
      </c>
      <c r="H65" s="77"/>
    </row>
    <row r="66" spans="1:8" s="34" customFormat="1" ht="18.75">
      <c r="A66" s="59"/>
      <c r="B66" s="14"/>
      <c r="C66" s="23" t="s">
        <v>184</v>
      </c>
      <c r="D66" s="15"/>
      <c r="E66" s="16"/>
      <c r="F66" s="17"/>
      <c r="G66" s="18">
        <f>SUM(G64:G65)</f>
        <v>-1.78</v>
      </c>
      <c r="H66" s="65"/>
    </row>
    <row r="67" spans="1:8" s="34" customFormat="1" ht="37.5">
      <c r="A67" s="59"/>
      <c r="B67" s="14"/>
      <c r="C67" s="21" t="s">
        <v>191</v>
      </c>
      <c r="D67" s="15"/>
      <c r="E67" s="16"/>
      <c r="F67" s="17"/>
      <c r="G67" s="18"/>
      <c r="H67" s="65"/>
    </row>
    <row r="68" spans="1:8" s="34" customFormat="1" ht="93.75">
      <c r="A68" s="76">
        <v>40</v>
      </c>
      <c r="B68" s="85" t="s">
        <v>192</v>
      </c>
      <c r="C68" s="83" t="s">
        <v>193</v>
      </c>
      <c r="D68" s="86" t="s">
        <v>42</v>
      </c>
      <c r="E68" s="94">
        <v>0.15</v>
      </c>
      <c r="F68" s="74">
        <v>336933.72</v>
      </c>
      <c r="G68" s="80">
        <f>ROUND((F68*E68),2)</f>
        <v>50540.06</v>
      </c>
      <c r="H68" s="77"/>
    </row>
    <row r="69" spans="1:8" s="34" customFormat="1" ht="18.75">
      <c r="A69" s="59"/>
      <c r="B69" s="14"/>
      <c r="C69" s="23" t="s">
        <v>190</v>
      </c>
      <c r="D69" s="15"/>
      <c r="E69" s="16"/>
      <c r="F69" s="17"/>
      <c r="G69" s="18">
        <f>SUM(G68)</f>
        <v>50540.06</v>
      </c>
      <c r="H69" s="65"/>
    </row>
    <row r="70" spans="1:8" s="34" customFormat="1" ht="37.5">
      <c r="A70" s="59"/>
      <c r="B70" s="14"/>
      <c r="C70" s="21" t="s">
        <v>195</v>
      </c>
      <c r="D70" s="15"/>
      <c r="E70" s="16"/>
      <c r="F70" s="17"/>
      <c r="G70" s="18"/>
      <c r="H70" s="65"/>
    </row>
    <row r="71" spans="1:8" s="34" customFormat="1" ht="131.25">
      <c r="A71" s="76">
        <v>41</v>
      </c>
      <c r="B71" s="85" t="s">
        <v>196</v>
      </c>
      <c r="C71" s="83" t="s">
        <v>197</v>
      </c>
      <c r="D71" s="86" t="s">
        <v>198</v>
      </c>
      <c r="E71" s="94">
        <v>-0.09</v>
      </c>
      <c r="F71" s="74">
        <v>817684.94</v>
      </c>
      <c r="G71" s="80">
        <f t="shared" ref="G71:G79" si="4">ROUND((F71*E71),2)</f>
        <v>-73591.64</v>
      </c>
      <c r="H71" s="77"/>
    </row>
    <row r="72" spans="1:8" s="34" customFormat="1" ht="93.75">
      <c r="A72" s="76">
        <v>42</v>
      </c>
      <c r="B72" s="85" t="s">
        <v>199</v>
      </c>
      <c r="C72" s="83" t="s">
        <v>200</v>
      </c>
      <c r="D72" s="86" t="s">
        <v>45</v>
      </c>
      <c r="E72" s="94">
        <v>2</v>
      </c>
      <c r="F72" s="74">
        <v>2233.0300000000002</v>
      </c>
      <c r="G72" s="80">
        <f t="shared" si="4"/>
        <v>4466.0600000000004</v>
      </c>
      <c r="H72" s="77"/>
    </row>
    <row r="73" spans="1:8" s="34" customFormat="1" ht="112.5">
      <c r="A73" s="76">
        <v>43</v>
      </c>
      <c r="B73" s="85" t="s">
        <v>201</v>
      </c>
      <c r="C73" s="83" t="s">
        <v>202</v>
      </c>
      <c r="D73" s="86" t="s">
        <v>45</v>
      </c>
      <c r="E73" s="94">
        <v>46</v>
      </c>
      <c r="F73" s="74">
        <v>3076.56</v>
      </c>
      <c r="G73" s="80">
        <f t="shared" si="4"/>
        <v>141521.76</v>
      </c>
      <c r="H73" s="77"/>
    </row>
    <row r="74" spans="1:8" s="34" customFormat="1" ht="112.5">
      <c r="A74" s="76">
        <v>44</v>
      </c>
      <c r="B74" s="85" t="s">
        <v>203</v>
      </c>
      <c r="C74" s="83" t="s">
        <v>204</v>
      </c>
      <c r="D74" s="86" t="s">
        <v>45</v>
      </c>
      <c r="E74" s="94">
        <v>2</v>
      </c>
      <c r="F74" s="74">
        <v>3076.56</v>
      </c>
      <c r="G74" s="80">
        <f t="shared" si="4"/>
        <v>6153.12</v>
      </c>
      <c r="H74" s="77"/>
    </row>
    <row r="75" spans="1:8" s="34" customFormat="1" ht="93.75">
      <c r="A75" s="76">
        <v>45</v>
      </c>
      <c r="B75" s="85" t="s">
        <v>205</v>
      </c>
      <c r="C75" s="83" t="s">
        <v>206</v>
      </c>
      <c r="D75" s="86" t="s">
        <v>45</v>
      </c>
      <c r="E75" s="94">
        <v>8</v>
      </c>
      <c r="F75" s="74">
        <v>3076.56</v>
      </c>
      <c r="G75" s="80">
        <f t="shared" si="4"/>
        <v>24612.48</v>
      </c>
      <c r="H75" s="77"/>
    </row>
    <row r="76" spans="1:8" s="34" customFormat="1" ht="93.75">
      <c r="A76" s="76">
        <v>46</v>
      </c>
      <c r="B76" s="85" t="s">
        <v>207</v>
      </c>
      <c r="C76" s="83" t="s">
        <v>208</v>
      </c>
      <c r="D76" s="86" t="s">
        <v>45</v>
      </c>
      <c r="E76" s="94">
        <v>6</v>
      </c>
      <c r="F76" s="74">
        <v>4401.6899999999996</v>
      </c>
      <c r="G76" s="80">
        <f t="shared" si="4"/>
        <v>26410.14</v>
      </c>
      <c r="H76" s="77"/>
    </row>
    <row r="77" spans="1:8" s="34" customFormat="1" ht="93.75">
      <c r="A77" s="76">
        <v>47</v>
      </c>
      <c r="B77" s="85" t="s">
        <v>209</v>
      </c>
      <c r="C77" s="83" t="s">
        <v>210</v>
      </c>
      <c r="D77" s="86" t="s">
        <v>45</v>
      </c>
      <c r="E77" s="94">
        <v>10</v>
      </c>
      <c r="F77" s="74">
        <v>1345.03</v>
      </c>
      <c r="G77" s="80">
        <f t="shared" si="4"/>
        <v>13450.3</v>
      </c>
      <c r="H77" s="77"/>
    </row>
    <row r="78" spans="1:8" s="34" customFormat="1" ht="93.75">
      <c r="A78" s="76">
        <v>48</v>
      </c>
      <c r="B78" s="85" t="s">
        <v>211</v>
      </c>
      <c r="C78" s="83" t="s">
        <v>212</v>
      </c>
      <c r="D78" s="86" t="s">
        <v>45</v>
      </c>
      <c r="E78" s="94">
        <v>3</v>
      </c>
      <c r="F78" s="74">
        <v>1345.03</v>
      </c>
      <c r="G78" s="80">
        <f t="shared" si="4"/>
        <v>4035.09</v>
      </c>
      <c r="H78" s="77"/>
    </row>
    <row r="79" spans="1:8" s="34" customFormat="1" ht="37.5">
      <c r="A79" s="76">
        <v>49</v>
      </c>
      <c r="B79" s="85" t="s">
        <v>213</v>
      </c>
      <c r="C79" s="83" t="s">
        <v>214</v>
      </c>
      <c r="D79" s="86" t="s">
        <v>215</v>
      </c>
      <c r="E79" s="94">
        <v>0.54</v>
      </c>
      <c r="F79" s="74">
        <v>43381.5</v>
      </c>
      <c r="G79" s="80">
        <f t="shared" si="4"/>
        <v>23426.01</v>
      </c>
      <c r="H79" s="77"/>
    </row>
    <row r="80" spans="1:8" s="34" customFormat="1" ht="18.75">
      <c r="A80" s="59">
        <v>50</v>
      </c>
      <c r="B80" s="14"/>
      <c r="C80" s="23" t="s">
        <v>194</v>
      </c>
      <c r="D80" s="15"/>
      <c r="E80" s="16"/>
      <c r="F80" s="17"/>
      <c r="G80" s="18">
        <f>SUM(G71:G79)</f>
        <v>170483.32</v>
      </c>
      <c r="H80" s="65"/>
    </row>
    <row r="81" spans="1:11" s="34" customFormat="1" ht="37.5">
      <c r="A81" s="33">
        <v>51</v>
      </c>
      <c r="B81" s="14"/>
      <c r="C81" s="21" t="s">
        <v>111</v>
      </c>
      <c r="D81" s="21"/>
      <c r="E81" s="21"/>
      <c r="F81" s="25"/>
      <c r="G81" s="26"/>
      <c r="H81" s="13"/>
    </row>
    <row r="82" spans="1:11" s="34" customFormat="1" ht="56.25">
      <c r="A82" s="82">
        <v>52</v>
      </c>
      <c r="B82" s="46" t="s">
        <v>218</v>
      </c>
      <c r="C82" s="51" t="s">
        <v>219</v>
      </c>
      <c r="D82" s="52" t="s">
        <v>37</v>
      </c>
      <c r="E82" s="95">
        <v>4.32</v>
      </c>
      <c r="F82" s="53">
        <v>86426.21</v>
      </c>
      <c r="G82" s="66">
        <f t="shared" ref="G82" si="5">ROUND((F82*E82),2)</f>
        <v>373361.23</v>
      </c>
      <c r="H82" s="50"/>
    </row>
    <row r="83" spans="1:11" s="34" customFormat="1" ht="75">
      <c r="A83" s="82">
        <v>53</v>
      </c>
      <c r="B83" s="46" t="s">
        <v>222</v>
      </c>
      <c r="C83" s="51" t="s">
        <v>220</v>
      </c>
      <c r="D83" s="52" t="s">
        <v>37</v>
      </c>
      <c r="E83" s="95"/>
      <c r="F83" s="106">
        <v>86426.21</v>
      </c>
      <c r="G83" s="66">
        <v>0.01</v>
      </c>
      <c r="H83" s="50"/>
      <c r="K83" s="99" t="s">
        <v>252</v>
      </c>
    </row>
    <row r="84" spans="1:11" s="34" customFormat="1" ht="75">
      <c r="A84" s="82">
        <v>54</v>
      </c>
      <c r="B84" s="46" t="s">
        <v>221</v>
      </c>
      <c r="C84" s="51" t="s">
        <v>223</v>
      </c>
      <c r="D84" s="52" t="s">
        <v>37</v>
      </c>
      <c r="E84" s="96">
        <v>0.72760000000000002</v>
      </c>
      <c r="F84" s="53">
        <v>88642.4</v>
      </c>
      <c r="G84" s="66">
        <f>ROUND((F84*E84),2)+0.01</f>
        <v>64496.22</v>
      </c>
      <c r="H84" s="50"/>
    </row>
    <row r="85" spans="1:11" s="34" customFormat="1" ht="63.75" customHeight="1">
      <c r="A85" s="132">
        <v>55</v>
      </c>
      <c r="B85" s="134" t="s">
        <v>224</v>
      </c>
      <c r="C85" s="136" t="s">
        <v>225</v>
      </c>
      <c r="D85" s="52" t="s">
        <v>37</v>
      </c>
      <c r="E85" s="97">
        <v>0.47399999999999998</v>
      </c>
      <c r="F85" s="53">
        <v>86426.23</v>
      </c>
      <c r="G85" s="66">
        <f>ROUND((F85*E85),2)</f>
        <v>40966.03</v>
      </c>
      <c r="H85" s="50"/>
    </row>
    <row r="86" spans="1:11" s="34" customFormat="1" ht="56.25" customHeight="1">
      <c r="A86" s="133"/>
      <c r="B86" s="135"/>
      <c r="C86" s="137"/>
      <c r="D86" s="52" t="s">
        <v>37</v>
      </c>
      <c r="E86" s="96">
        <v>0.27550000000000002</v>
      </c>
      <c r="F86" s="53">
        <v>86624.99</v>
      </c>
      <c r="G86" s="66">
        <f>ROUND((F86*E86),2)</f>
        <v>23865.18</v>
      </c>
      <c r="H86" s="50"/>
    </row>
    <row r="87" spans="1:11" s="34" customFormat="1" ht="56.25">
      <c r="A87" s="62">
        <v>56</v>
      </c>
      <c r="B87" s="46" t="s">
        <v>112</v>
      </c>
      <c r="C87" s="51" t="s">
        <v>113</v>
      </c>
      <c r="D87" s="52" t="s">
        <v>48</v>
      </c>
      <c r="E87" s="95">
        <v>2.6</v>
      </c>
      <c r="F87" s="53">
        <v>26934.1</v>
      </c>
      <c r="G87" s="66">
        <f t="shared" ref="G87:G90" si="6">ROUND((F87*E87),2)</f>
        <v>70028.66</v>
      </c>
      <c r="H87" s="50"/>
    </row>
    <row r="88" spans="1:11" s="34" customFormat="1" ht="93.75">
      <c r="A88" s="62">
        <v>57</v>
      </c>
      <c r="B88" s="46" t="s">
        <v>114</v>
      </c>
      <c r="C88" s="51" t="s">
        <v>115</v>
      </c>
      <c r="D88" s="52" t="s">
        <v>48</v>
      </c>
      <c r="E88" s="95">
        <v>23.04</v>
      </c>
      <c r="F88" s="53">
        <v>40555.74</v>
      </c>
      <c r="G88" s="66">
        <f t="shared" si="6"/>
        <v>934404.25</v>
      </c>
      <c r="H88" s="50"/>
    </row>
    <row r="89" spans="1:11" s="34" customFormat="1" ht="93.75">
      <c r="A89" s="82">
        <v>58</v>
      </c>
      <c r="B89" s="46" t="s">
        <v>216</v>
      </c>
      <c r="C89" s="51" t="s">
        <v>217</v>
      </c>
      <c r="D89" s="52" t="s">
        <v>48</v>
      </c>
      <c r="E89" s="97">
        <v>3.0640000000000001</v>
      </c>
      <c r="F89" s="53">
        <v>21273.14</v>
      </c>
      <c r="G89" s="66">
        <f t="shared" ref="G89" si="7">ROUND((F89*E89),2)</f>
        <v>65180.9</v>
      </c>
      <c r="H89" s="50"/>
    </row>
    <row r="90" spans="1:11" s="34" customFormat="1" ht="93.75">
      <c r="A90" s="62">
        <v>59</v>
      </c>
      <c r="B90" s="46" t="s">
        <v>116</v>
      </c>
      <c r="C90" s="51" t="s">
        <v>117</v>
      </c>
      <c r="D90" s="52" t="s">
        <v>48</v>
      </c>
      <c r="E90" s="97">
        <v>9.1359999999999992</v>
      </c>
      <c r="F90" s="53">
        <v>19846.52</v>
      </c>
      <c r="G90" s="66">
        <f t="shared" si="6"/>
        <v>181317.81</v>
      </c>
      <c r="H90" s="50"/>
    </row>
    <row r="91" spans="1:11" s="34" customFormat="1" ht="18.75">
      <c r="A91" s="12">
        <v>60</v>
      </c>
      <c r="B91" s="14"/>
      <c r="C91" s="23" t="s">
        <v>118</v>
      </c>
      <c r="D91" s="15"/>
      <c r="E91" s="16"/>
      <c r="F91" s="17"/>
      <c r="G91" s="18">
        <f>SUM(G82:G90)</f>
        <v>1753620.29</v>
      </c>
      <c r="H91" s="12"/>
    </row>
    <row r="92" spans="1:11" s="34" customFormat="1" ht="37.5">
      <c r="A92" s="58">
        <v>61</v>
      </c>
      <c r="B92" s="14"/>
      <c r="C92" s="21" t="s">
        <v>226</v>
      </c>
      <c r="D92" s="15"/>
      <c r="E92" s="16"/>
      <c r="F92" s="17"/>
      <c r="G92" s="18"/>
      <c r="H92" s="12"/>
    </row>
    <row r="93" spans="1:11" s="34" customFormat="1" ht="75">
      <c r="A93" s="82">
        <v>62</v>
      </c>
      <c r="B93" s="46" t="s">
        <v>228</v>
      </c>
      <c r="C93" s="51" t="s">
        <v>229</v>
      </c>
      <c r="D93" s="41" t="s">
        <v>41</v>
      </c>
      <c r="E93" s="98">
        <v>0.3906</v>
      </c>
      <c r="F93" s="53">
        <v>10613.53</v>
      </c>
      <c r="G93" s="66">
        <f t="shared" ref="G93" si="8">ROUND((F93*E93),2)</f>
        <v>4145.6400000000003</v>
      </c>
      <c r="H93" s="50"/>
      <c r="K93" s="99" t="s">
        <v>248</v>
      </c>
    </row>
    <row r="94" spans="1:11" s="34" customFormat="1" ht="150">
      <c r="A94" s="82">
        <v>63</v>
      </c>
      <c r="B94" s="46" t="s">
        <v>230</v>
      </c>
      <c r="C94" s="51" t="s">
        <v>140</v>
      </c>
      <c r="D94" s="41" t="s">
        <v>29</v>
      </c>
      <c r="E94" s="97">
        <v>2.5009999999999999</v>
      </c>
      <c r="F94" s="53">
        <v>343.13</v>
      </c>
      <c r="G94" s="66">
        <f t="shared" ref="G94" si="9">ROUND((F94*E94),2)</f>
        <v>858.17</v>
      </c>
      <c r="H94" s="50"/>
    </row>
    <row r="95" spans="1:11" s="34" customFormat="1" ht="56.25">
      <c r="A95" s="82">
        <v>64</v>
      </c>
      <c r="B95" s="46" t="s">
        <v>231</v>
      </c>
      <c r="C95" s="51" t="s">
        <v>32</v>
      </c>
      <c r="D95" s="41" t="s">
        <v>29</v>
      </c>
      <c r="E95" s="96">
        <v>4.1599999999999998E-2</v>
      </c>
      <c r="F95" s="53">
        <v>23493.040000000001</v>
      </c>
      <c r="G95" s="66">
        <f t="shared" ref="G95" si="10">ROUND((F95*E95),2)</f>
        <v>977.31</v>
      </c>
      <c r="H95" s="50"/>
    </row>
    <row r="96" spans="1:11" s="34" customFormat="1" ht="112.5">
      <c r="A96" s="82">
        <v>65</v>
      </c>
      <c r="B96" s="46" t="s">
        <v>232</v>
      </c>
      <c r="C96" s="51" t="s">
        <v>233</v>
      </c>
      <c r="D96" s="41" t="s">
        <v>36</v>
      </c>
      <c r="E96" s="100">
        <v>0.23296120000000001</v>
      </c>
      <c r="F96" s="53">
        <v>823740.68</v>
      </c>
      <c r="G96" s="66">
        <f t="shared" ref="G96" si="11">ROUND((F96*E96),2)</f>
        <v>191899.62</v>
      </c>
      <c r="H96" s="50"/>
      <c r="K96" s="99" t="s">
        <v>249</v>
      </c>
    </row>
    <row r="97" spans="1:11" s="34" customFormat="1" ht="18.75">
      <c r="A97" s="58">
        <v>66</v>
      </c>
      <c r="B97" s="14"/>
      <c r="C97" s="23" t="s">
        <v>227</v>
      </c>
      <c r="D97" s="15"/>
      <c r="E97" s="16"/>
      <c r="F97" s="17"/>
      <c r="G97" s="18">
        <f>SUM(G93:G96)</f>
        <v>197880.74</v>
      </c>
      <c r="H97" s="12"/>
    </row>
    <row r="98" spans="1:11" s="34" customFormat="1" ht="18.75">
      <c r="A98" s="58">
        <v>67</v>
      </c>
      <c r="B98" s="14"/>
      <c r="C98" s="23" t="s">
        <v>234</v>
      </c>
      <c r="D98" s="15"/>
      <c r="E98" s="16"/>
      <c r="F98" s="17"/>
      <c r="G98" s="18"/>
      <c r="H98" s="12"/>
    </row>
    <row r="99" spans="1:11" s="34" customFormat="1" ht="75">
      <c r="A99" s="82">
        <v>68</v>
      </c>
      <c r="B99" s="46" t="s">
        <v>235</v>
      </c>
      <c r="C99" s="51" t="s">
        <v>236</v>
      </c>
      <c r="D99" s="41" t="s">
        <v>40</v>
      </c>
      <c r="E99" s="101">
        <v>-0.32400000000000001</v>
      </c>
      <c r="F99" s="53">
        <v>10627.96</v>
      </c>
      <c r="G99" s="66">
        <f t="shared" ref="G99" si="12">ROUND((F99*E99),2)</f>
        <v>-3443.46</v>
      </c>
      <c r="H99" s="50"/>
      <c r="K99" s="99" t="s">
        <v>250</v>
      </c>
    </row>
    <row r="100" spans="1:11" s="34" customFormat="1" ht="93.75">
      <c r="A100" s="82">
        <v>69</v>
      </c>
      <c r="B100" s="46" t="s">
        <v>238</v>
      </c>
      <c r="C100" s="51" t="s">
        <v>239</v>
      </c>
      <c r="D100" s="41" t="s">
        <v>48</v>
      </c>
      <c r="E100" s="102">
        <v>-12</v>
      </c>
      <c r="F100" s="53">
        <v>111871.03</v>
      </c>
      <c r="G100" s="66">
        <f>ROUND((F100*E100),2)+0.02</f>
        <v>-1342452.34</v>
      </c>
      <c r="H100" s="50"/>
      <c r="K100" s="99" t="s">
        <v>250</v>
      </c>
    </row>
    <row r="101" spans="1:11" s="34" customFormat="1" ht="75">
      <c r="A101" s="82">
        <v>70</v>
      </c>
      <c r="B101" s="46" t="s">
        <v>240</v>
      </c>
      <c r="C101" s="51" t="s">
        <v>236</v>
      </c>
      <c r="D101" s="41" t="s">
        <v>40</v>
      </c>
      <c r="E101" s="103">
        <v>-3.1220000000000001E-2</v>
      </c>
      <c r="F101" s="53">
        <v>106280.27</v>
      </c>
      <c r="G101" s="66">
        <f>ROUND((F101*E101),2)</f>
        <v>-3318.07</v>
      </c>
      <c r="H101" s="50"/>
      <c r="K101" s="99" t="s">
        <v>250</v>
      </c>
    </row>
    <row r="102" spans="1:11" s="34" customFormat="1" ht="93.75">
      <c r="A102" s="82">
        <v>71</v>
      </c>
      <c r="B102" s="46" t="s">
        <v>241</v>
      </c>
      <c r="C102" s="51" t="s">
        <v>242</v>
      </c>
      <c r="D102" s="41" t="s">
        <v>48</v>
      </c>
      <c r="E102" s="102">
        <v>-10.8</v>
      </c>
      <c r="F102" s="53">
        <v>111871.03</v>
      </c>
      <c r="G102" s="66">
        <f>ROUND((F102*E102),2)+0.01</f>
        <v>-1208207.1100000001</v>
      </c>
      <c r="H102" s="50"/>
      <c r="K102" s="99" t="s">
        <v>250</v>
      </c>
    </row>
    <row r="103" spans="1:11" s="34" customFormat="1" ht="56.25">
      <c r="A103" s="82">
        <v>72</v>
      </c>
      <c r="B103" s="46" t="s">
        <v>243</v>
      </c>
      <c r="C103" s="51" t="s">
        <v>49</v>
      </c>
      <c r="D103" s="41" t="s">
        <v>41</v>
      </c>
      <c r="E103" s="98">
        <v>-1.0800000000000001E-2</v>
      </c>
      <c r="F103" s="53">
        <v>530616.43000000005</v>
      </c>
      <c r="G103" s="66">
        <f>ROUND((F103*E103),2)</f>
        <v>-5730.66</v>
      </c>
      <c r="H103" s="50"/>
      <c r="K103" s="99" t="s">
        <v>250</v>
      </c>
    </row>
    <row r="104" spans="1:11" s="34" customFormat="1" ht="37.5">
      <c r="A104" s="82">
        <v>73</v>
      </c>
      <c r="B104" s="46" t="s">
        <v>244</v>
      </c>
      <c r="C104" s="51" t="s">
        <v>102</v>
      </c>
      <c r="D104" s="41" t="s">
        <v>41</v>
      </c>
      <c r="E104" s="98">
        <v>-1.6899999999999998E-2</v>
      </c>
      <c r="F104" s="53">
        <v>444771.28</v>
      </c>
      <c r="G104" s="66">
        <f>ROUND((F104*E104),2)</f>
        <v>-7516.63</v>
      </c>
      <c r="H104" s="50"/>
      <c r="K104" s="99" t="s">
        <v>250</v>
      </c>
    </row>
    <row r="105" spans="1:11" s="34" customFormat="1" ht="18.75">
      <c r="A105" s="58">
        <v>74</v>
      </c>
      <c r="B105" s="14"/>
      <c r="C105" s="23" t="s">
        <v>237</v>
      </c>
      <c r="D105" s="15"/>
      <c r="E105" s="16"/>
      <c r="F105" s="17"/>
      <c r="G105" s="18">
        <f>SUM(G99:G104)</f>
        <v>-2570668.2700000005</v>
      </c>
      <c r="H105" s="12"/>
    </row>
    <row r="106" spans="1:11" s="34" customFormat="1" ht="56.25">
      <c r="A106" s="58">
        <v>75</v>
      </c>
      <c r="B106" s="14"/>
      <c r="C106" s="23" t="s">
        <v>50</v>
      </c>
      <c r="D106" s="15"/>
      <c r="E106" s="16"/>
      <c r="F106" s="17"/>
      <c r="G106" s="18"/>
      <c r="H106" s="12"/>
    </row>
    <row r="107" spans="1:11" s="34" customFormat="1" ht="75">
      <c r="A107" s="63">
        <v>76</v>
      </c>
      <c r="B107" s="46" t="s">
        <v>51</v>
      </c>
      <c r="C107" s="39" t="s">
        <v>52</v>
      </c>
      <c r="D107" s="41" t="s">
        <v>47</v>
      </c>
      <c r="E107" s="95">
        <v>6.3</v>
      </c>
      <c r="F107" s="42">
        <v>23273.6433862433</v>
      </c>
      <c r="G107" s="42">
        <f t="shared" ref="G107:G134" si="13">ROUND((F107*E107),2)</f>
        <v>146623.95000000001</v>
      </c>
      <c r="H107" s="62"/>
    </row>
    <row r="108" spans="1:11" s="34" customFormat="1" ht="56.25">
      <c r="A108" s="63">
        <v>77</v>
      </c>
      <c r="B108" s="46" t="s">
        <v>53</v>
      </c>
      <c r="C108" s="39" t="s">
        <v>54</v>
      </c>
      <c r="D108" s="41" t="s">
        <v>40</v>
      </c>
      <c r="E108" s="104">
        <v>0.13272999999999999</v>
      </c>
      <c r="F108" s="42">
        <v>365932.13</v>
      </c>
      <c r="G108" s="42">
        <f t="shared" si="13"/>
        <v>48570.17</v>
      </c>
      <c r="H108" s="62"/>
    </row>
    <row r="109" spans="1:11" s="34" customFormat="1" ht="56.25">
      <c r="A109" s="63">
        <v>78</v>
      </c>
      <c r="B109" s="46" t="s">
        <v>55</v>
      </c>
      <c r="C109" s="39" t="s">
        <v>56</v>
      </c>
      <c r="D109" s="41" t="s">
        <v>41</v>
      </c>
      <c r="E109" s="96">
        <v>5.9200000000000003E-2</v>
      </c>
      <c r="F109" s="42">
        <v>571152.51</v>
      </c>
      <c r="G109" s="42">
        <f t="shared" si="13"/>
        <v>33812.230000000003</v>
      </c>
      <c r="H109" s="62"/>
    </row>
    <row r="110" spans="1:11" s="34" customFormat="1" ht="75">
      <c r="A110" s="63">
        <v>79</v>
      </c>
      <c r="B110" s="46" t="s">
        <v>57</v>
      </c>
      <c r="C110" s="39" t="s">
        <v>58</v>
      </c>
      <c r="D110" s="41" t="s">
        <v>47</v>
      </c>
      <c r="E110" s="95">
        <v>7.28</v>
      </c>
      <c r="F110" s="42">
        <v>29008.110610610602</v>
      </c>
      <c r="G110" s="42">
        <f t="shared" si="13"/>
        <v>211179.05</v>
      </c>
      <c r="H110" s="62"/>
    </row>
    <row r="111" spans="1:11" s="34" customFormat="1" ht="18.75">
      <c r="A111" s="63">
        <v>80</v>
      </c>
      <c r="B111" s="46" t="s">
        <v>59</v>
      </c>
      <c r="C111" s="39" t="s">
        <v>60</v>
      </c>
      <c r="D111" s="41" t="s">
        <v>61</v>
      </c>
      <c r="E111" s="95">
        <v>17.5</v>
      </c>
      <c r="F111" s="42">
        <v>8397.14</v>
      </c>
      <c r="G111" s="42">
        <f t="shared" si="13"/>
        <v>146949.95000000001</v>
      </c>
      <c r="H111" s="62"/>
    </row>
    <row r="112" spans="1:11" s="34" customFormat="1" ht="56.25">
      <c r="A112" s="63">
        <v>81</v>
      </c>
      <c r="B112" s="46" t="s">
        <v>62</v>
      </c>
      <c r="C112" s="39" t="s">
        <v>63</v>
      </c>
      <c r="D112" s="41" t="s">
        <v>47</v>
      </c>
      <c r="E112" s="95">
        <v>2.64</v>
      </c>
      <c r="F112" s="42">
        <v>5928.9457070707003</v>
      </c>
      <c r="G112" s="42">
        <f t="shared" si="13"/>
        <v>15652.42</v>
      </c>
      <c r="H112" s="62"/>
    </row>
    <row r="113" spans="1:11" s="34" customFormat="1" ht="18.75">
      <c r="A113" s="63">
        <v>82</v>
      </c>
      <c r="B113" s="46" t="s">
        <v>64</v>
      </c>
      <c r="C113" s="39" t="s">
        <v>65</v>
      </c>
      <c r="D113" s="41" t="s">
        <v>45</v>
      </c>
      <c r="E113" s="95">
        <v>6</v>
      </c>
      <c r="F113" s="42">
        <v>15021.55</v>
      </c>
      <c r="G113" s="42">
        <f t="shared" si="13"/>
        <v>90129.3</v>
      </c>
      <c r="H113" s="62"/>
    </row>
    <row r="114" spans="1:11" s="34" customFormat="1" ht="56.25">
      <c r="A114" s="63">
        <v>83</v>
      </c>
      <c r="B114" s="46" t="s">
        <v>66</v>
      </c>
      <c r="C114" s="39" t="s">
        <v>67</v>
      </c>
      <c r="D114" s="41" t="s">
        <v>47</v>
      </c>
      <c r="E114" s="95">
        <v>0.74</v>
      </c>
      <c r="F114" s="42">
        <v>6112.0855855855798</v>
      </c>
      <c r="G114" s="42">
        <f t="shared" si="13"/>
        <v>4522.9399999999996</v>
      </c>
      <c r="H114" s="62"/>
    </row>
    <row r="115" spans="1:11" s="34" customFormat="1" ht="56.25">
      <c r="A115" s="63">
        <v>84</v>
      </c>
      <c r="B115" s="46" t="s">
        <v>68</v>
      </c>
      <c r="C115" s="39" t="s">
        <v>71</v>
      </c>
      <c r="D115" s="41" t="s">
        <v>47</v>
      </c>
      <c r="E115" s="95">
        <v>6.5</v>
      </c>
      <c r="F115" s="42">
        <v>7768.9497435897401</v>
      </c>
      <c r="G115" s="42">
        <f t="shared" si="13"/>
        <v>50498.17</v>
      </c>
      <c r="H115" s="62"/>
    </row>
    <row r="116" spans="1:11" s="34" customFormat="1" ht="18.75">
      <c r="A116" s="63">
        <v>85</v>
      </c>
      <c r="B116" s="46" t="s">
        <v>72</v>
      </c>
      <c r="C116" s="39" t="s">
        <v>73</v>
      </c>
      <c r="D116" s="41" t="s">
        <v>45</v>
      </c>
      <c r="E116" s="95">
        <v>2</v>
      </c>
      <c r="F116" s="42">
        <v>31087.439999999999</v>
      </c>
      <c r="G116" s="42">
        <f t="shared" si="13"/>
        <v>62174.879999999997</v>
      </c>
      <c r="H116" s="62"/>
    </row>
    <row r="117" spans="1:11" s="34" customFormat="1" ht="18.75">
      <c r="A117" s="63">
        <v>86</v>
      </c>
      <c r="B117" s="46" t="s">
        <v>74</v>
      </c>
      <c r="C117" s="39" t="s">
        <v>75</v>
      </c>
      <c r="D117" s="41" t="s">
        <v>45</v>
      </c>
      <c r="E117" s="95">
        <v>4</v>
      </c>
      <c r="F117" s="42">
        <v>19593.400000000001</v>
      </c>
      <c r="G117" s="42">
        <f t="shared" si="13"/>
        <v>78373.600000000006</v>
      </c>
      <c r="H117" s="62"/>
    </row>
    <row r="118" spans="1:11" s="34" customFormat="1" ht="75">
      <c r="A118" s="63">
        <v>87</v>
      </c>
      <c r="B118" s="46" t="s">
        <v>76</v>
      </c>
      <c r="C118" s="39" t="s">
        <v>77</v>
      </c>
      <c r="D118" s="41" t="s">
        <v>37</v>
      </c>
      <c r="E118" s="96">
        <v>1.1894</v>
      </c>
      <c r="F118" s="42">
        <v>138579.73207779799</v>
      </c>
      <c r="G118" s="42">
        <f t="shared" si="13"/>
        <v>164826.73000000001</v>
      </c>
      <c r="H118" s="62"/>
    </row>
    <row r="119" spans="1:11" s="34" customFormat="1" ht="75">
      <c r="A119" s="63">
        <v>88</v>
      </c>
      <c r="B119" s="46" t="s">
        <v>78</v>
      </c>
      <c r="C119" s="39" t="s">
        <v>79</v>
      </c>
      <c r="D119" s="41" t="s">
        <v>37</v>
      </c>
      <c r="E119" s="96">
        <v>0.49719999999999998</v>
      </c>
      <c r="F119" s="42">
        <v>200645.7</v>
      </c>
      <c r="G119" s="42">
        <f t="shared" si="13"/>
        <v>99761.04</v>
      </c>
      <c r="H119" s="62"/>
    </row>
    <row r="120" spans="1:11" s="34" customFormat="1" ht="56.25">
      <c r="A120" s="63">
        <v>89</v>
      </c>
      <c r="B120" s="46" t="s">
        <v>80</v>
      </c>
      <c r="C120" s="39" t="s">
        <v>81</v>
      </c>
      <c r="D120" s="41" t="s">
        <v>40</v>
      </c>
      <c r="E120" s="104">
        <v>0.13272999999999999</v>
      </c>
      <c r="F120" s="42">
        <v>897842.25</v>
      </c>
      <c r="G120" s="42">
        <f t="shared" si="13"/>
        <v>119170.6</v>
      </c>
      <c r="H120" s="62"/>
    </row>
    <row r="121" spans="1:11" s="34" customFormat="1" ht="75">
      <c r="A121" s="63">
        <v>90</v>
      </c>
      <c r="B121" s="46" t="s">
        <v>82</v>
      </c>
      <c r="C121" s="39" t="s">
        <v>83</v>
      </c>
      <c r="D121" s="41" t="s">
        <v>38</v>
      </c>
      <c r="E121" s="104">
        <v>4.0149999999999998E-2</v>
      </c>
      <c r="F121" s="42">
        <v>1055883.58</v>
      </c>
      <c r="G121" s="42">
        <f t="shared" si="13"/>
        <v>42393.73</v>
      </c>
      <c r="H121" s="62"/>
    </row>
    <row r="122" spans="1:11" s="34" customFormat="1" ht="56.25">
      <c r="A122" s="63">
        <v>91</v>
      </c>
      <c r="B122" s="46" t="s">
        <v>84</v>
      </c>
      <c r="C122" s="39" t="s">
        <v>85</v>
      </c>
      <c r="D122" s="41" t="s">
        <v>37</v>
      </c>
      <c r="E122" s="96">
        <v>8.5500000000000007E-2</v>
      </c>
      <c r="F122" s="42">
        <v>185393.46</v>
      </c>
      <c r="G122" s="42">
        <f t="shared" si="13"/>
        <v>15851.14</v>
      </c>
      <c r="H122" s="62"/>
    </row>
    <row r="123" spans="1:11" s="34" customFormat="1" ht="18.75">
      <c r="A123" s="63">
        <v>92</v>
      </c>
      <c r="B123" s="46" t="s">
        <v>86</v>
      </c>
      <c r="C123" s="39" t="s">
        <v>87</v>
      </c>
      <c r="D123" s="41" t="s">
        <v>46</v>
      </c>
      <c r="E123" s="104">
        <v>1.881E-2</v>
      </c>
      <c r="F123" s="42">
        <v>74069.7</v>
      </c>
      <c r="G123" s="42">
        <f t="shared" si="13"/>
        <v>1393.25</v>
      </c>
      <c r="H123" s="62"/>
    </row>
    <row r="124" spans="1:11" s="34" customFormat="1" ht="56.25">
      <c r="A124" s="63">
        <v>93</v>
      </c>
      <c r="B124" s="46" t="s">
        <v>88</v>
      </c>
      <c r="C124" s="39" t="s">
        <v>89</v>
      </c>
      <c r="D124" s="41" t="s">
        <v>37</v>
      </c>
      <c r="E124" s="96">
        <v>2.6200000000000001E-2</v>
      </c>
      <c r="F124" s="42">
        <v>185393.45</v>
      </c>
      <c r="G124" s="42">
        <f t="shared" si="13"/>
        <v>4857.3100000000004</v>
      </c>
      <c r="H124" s="62"/>
    </row>
    <row r="125" spans="1:11" s="34" customFormat="1" ht="18.75">
      <c r="A125" s="63">
        <v>94</v>
      </c>
      <c r="B125" s="46" t="s">
        <v>90</v>
      </c>
      <c r="C125" s="39" t="s">
        <v>87</v>
      </c>
      <c r="D125" s="41" t="s">
        <v>46</v>
      </c>
      <c r="E125" s="96">
        <v>5.7999999999999996E-3</v>
      </c>
      <c r="F125" s="42">
        <v>74069.7</v>
      </c>
      <c r="G125" s="42">
        <f t="shared" si="13"/>
        <v>429.6</v>
      </c>
      <c r="H125" s="62"/>
    </row>
    <row r="126" spans="1:11" s="34" customFormat="1" ht="56.25">
      <c r="A126" s="63">
        <v>95</v>
      </c>
      <c r="B126" s="46" t="s">
        <v>70</v>
      </c>
      <c r="C126" s="39" t="s">
        <v>91</v>
      </c>
      <c r="D126" s="41" t="s">
        <v>37</v>
      </c>
      <c r="E126" s="96">
        <v>0.1799</v>
      </c>
      <c r="F126" s="105">
        <v>175935.893155258</v>
      </c>
      <c r="G126" s="40">
        <f>ROUND((F126*E126),2)-0.01</f>
        <v>31650.86</v>
      </c>
      <c r="H126" s="62"/>
      <c r="K126" s="99" t="s">
        <v>251</v>
      </c>
    </row>
    <row r="127" spans="1:11" s="34" customFormat="1" ht="18.75">
      <c r="A127" s="63">
        <v>96</v>
      </c>
      <c r="B127" s="46" t="s">
        <v>92</v>
      </c>
      <c r="C127" s="39" t="s">
        <v>87</v>
      </c>
      <c r="D127" s="41" t="s">
        <v>46</v>
      </c>
      <c r="E127" s="104">
        <v>3.9579999999999997E-2</v>
      </c>
      <c r="F127" s="42">
        <v>74069.740000000005</v>
      </c>
      <c r="G127" s="42">
        <f t="shared" si="13"/>
        <v>2931.68</v>
      </c>
      <c r="H127" s="62"/>
    </row>
    <row r="128" spans="1:11" s="34" customFormat="1" ht="37.5">
      <c r="A128" s="63">
        <v>97</v>
      </c>
      <c r="B128" s="48" t="s">
        <v>69</v>
      </c>
      <c r="C128" s="39" t="s">
        <v>93</v>
      </c>
      <c r="D128" s="41" t="s">
        <v>42</v>
      </c>
      <c r="E128" s="104">
        <v>2.4500000000000001E-2</v>
      </c>
      <c r="F128" s="42">
        <v>384833.63</v>
      </c>
      <c r="G128" s="42">
        <f t="shared" si="13"/>
        <v>9428.42</v>
      </c>
      <c r="H128" s="62"/>
    </row>
    <row r="129" spans="1:12" s="34" customFormat="1" ht="56.25">
      <c r="A129" s="63">
        <v>98</v>
      </c>
      <c r="B129" s="48" t="s">
        <v>94</v>
      </c>
      <c r="C129" s="39" t="s">
        <v>95</v>
      </c>
      <c r="D129" s="41" t="s">
        <v>37</v>
      </c>
      <c r="E129" s="96">
        <v>0.1099</v>
      </c>
      <c r="F129" s="42">
        <v>175935.93</v>
      </c>
      <c r="G129" s="42">
        <f t="shared" si="13"/>
        <v>19335.36</v>
      </c>
      <c r="H129" s="62"/>
    </row>
    <row r="130" spans="1:12" s="34" customFormat="1" ht="18.75">
      <c r="A130" s="63">
        <v>99</v>
      </c>
      <c r="B130" s="48" t="s">
        <v>96</v>
      </c>
      <c r="C130" s="39" t="s">
        <v>87</v>
      </c>
      <c r="D130" s="41" t="s">
        <v>46</v>
      </c>
      <c r="E130" s="104">
        <v>2.418E-2</v>
      </c>
      <c r="F130" s="42">
        <v>74069.47</v>
      </c>
      <c r="G130" s="42">
        <f t="shared" si="13"/>
        <v>1791</v>
      </c>
      <c r="H130" s="62"/>
    </row>
    <row r="131" spans="1:12" s="34" customFormat="1" ht="37.5">
      <c r="A131" s="63">
        <v>100</v>
      </c>
      <c r="B131" s="48" t="s">
        <v>97</v>
      </c>
      <c r="C131" s="39" t="s">
        <v>93</v>
      </c>
      <c r="D131" s="41" t="s">
        <v>42</v>
      </c>
      <c r="E131" s="97">
        <v>1.4E-2</v>
      </c>
      <c r="F131" s="42">
        <v>384833.81</v>
      </c>
      <c r="G131" s="42">
        <f t="shared" si="13"/>
        <v>5387.67</v>
      </c>
      <c r="H131" s="62"/>
    </row>
    <row r="132" spans="1:12" s="34" customFormat="1" ht="56.25">
      <c r="A132" s="63">
        <v>101</v>
      </c>
      <c r="B132" s="48" t="s">
        <v>98</v>
      </c>
      <c r="C132" s="39" t="s">
        <v>99</v>
      </c>
      <c r="D132" s="41" t="s">
        <v>40</v>
      </c>
      <c r="E132" s="96">
        <v>2.2000000000000001E-3</v>
      </c>
      <c r="F132" s="42">
        <v>365931.82</v>
      </c>
      <c r="G132" s="42">
        <f t="shared" si="13"/>
        <v>805.05</v>
      </c>
      <c r="H132" s="62"/>
    </row>
    <row r="133" spans="1:12" s="34" customFormat="1" ht="56.25">
      <c r="A133" s="63">
        <v>102</v>
      </c>
      <c r="B133" s="48" t="s">
        <v>100</v>
      </c>
      <c r="C133" s="39" t="s">
        <v>49</v>
      </c>
      <c r="D133" s="41" t="s">
        <v>41</v>
      </c>
      <c r="E133" s="96">
        <v>2.8E-3</v>
      </c>
      <c r="F133" s="42">
        <v>530614.29</v>
      </c>
      <c r="G133" s="42">
        <f t="shared" si="13"/>
        <v>1485.72</v>
      </c>
      <c r="H133" s="62"/>
    </row>
    <row r="134" spans="1:12" s="34" customFormat="1" ht="37.5">
      <c r="A134" s="63">
        <v>103</v>
      </c>
      <c r="B134" s="48" t="s">
        <v>101</v>
      </c>
      <c r="C134" s="39" t="s">
        <v>102</v>
      </c>
      <c r="D134" s="41" t="s">
        <v>41</v>
      </c>
      <c r="E134" s="96">
        <v>4.0000000000000001E-3</v>
      </c>
      <c r="F134" s="42">
        <v>7779957.5199999996</v>
      </c>
      <c r="G134" s="42">
        <f t="shared" si="13"/>
        <v>31119.83</v>
      </c>
      <c r="H134" s="62"/>
    </row>
    <row r="135" spans="1:12" s="34" customFormat="1" ht="18.75">
      <c r="A135" s="58">
        <v>104</v>
      </c>
      <c r="B135" s="14"/>
      <c r="C135" s="23" t="s">
        <v>103</v>
      </c>
      <c r="D135" s="15"/>
      <c r="E135" s="16"/>
      <c r="F135" s="17"/>
      <c r="G135" s="18">
        <f>SUM(G107:G134)</f>
        <v>1441105.6500000004</v>
      </c>
      <c r="H135" s="12"/>
    </row>
    <row r="136" spans="1:12" s="34" customFormat="1" ht="37.5">
      <c r="A136" s="58">
        <v>105</v>
      </c>
      <c r="B136" s="14"/>
      <c r="C136" s="23" t="s">
        <v>247</v>
      </c>
      <c r="D136" s="21"/>
      <c r="E136" s="22"/>
      <c r="F136" s="22"/>
      <c r="G136" s="18">
        <f>G135+G29+G91+G34+G105+G97+G80+G69+G66+G62+G58+G54+G46+G39</f>
        <v>8424072.7899999991</v>
      </c>
      <c r="H136" s="12"/>
    </row>
    <row r="137" spans="1:12" s="34" customFormat="1" ht="37.5">
      <c r="A137" s="58">
        <v>106</v>
      </c>
      <c r="B137" s="14"/>
      <c r="C137" s="23" t="s">
        <v>33</v>
      </c>
      <c r="D137" s="21"/>
      <c r="E137" s="22"/>
      <c r="F137" s="24"/>
      <c r="G137" s="18">
        <f>ROUND(G136*1.04050001367,2)</f>
        <v>8765247.8499999996</v>
      </c>
      <c r="H137" s="12"/>
    </row>
    <row r="138" spans="1:12" s="34" customFormat="1" ht="37.5">
      <c r="A138" s="58">
        <v>107</v>
      </c>
      <c r="B138" s="14"/>
      <c r="C138" s="23" t="s">
        <v>34</v>
      </c>
      <c r="D138" s="21"/>
      <c r="E138" s="22"/>
      <c r="F138" s="24"/>
      <c r="G138" s="18">
        <f>ROUND(G137*0.899997628394978,2)</f>
        <v>7888702.2800000003</v>
      </c>
      <c r="H138" s="12"/>
    </row>
    <row r="139" spans="1:12" s="34" customFormat="1" ht="37.5">
      <c r="A139" s="58">
        <v>108</v>
      </c>
      <c r="B139" s="14"/>
      <c r="C139" s="23" t="s">
        <v>130</v>
      </c>
      <c r="D139" s="21"/>
      <c r="E139" s="22"/>
      <c r="F139" s="24"/>
      <c r="G139" s="87">
        <f>ROUND((G138*0.9836065571535),2)-0.02</f>
        <v>7759379.2700000005</v>
      </c>
      <c r="H139" s="12"/>
    </row>
    <row r="140" spans="1:12" s="34" customFormat="1" ht="18.75">
      <c r="A140" s="58">
        <v>109</v>
      </c>
      <c r="B140" s="14"/>
      <c r="C140" s="23" t="s">
        <v>131</v>
      </c>
      <c r="D140" s="11"/>
      <c r="E140" s="19"/>
      <c r="F140" s="20"/>
      <c r="G140" s="18">
        <f>ROUND((G139*0.22),2)</f>
        <v>1707063.44</v>
      </c>
      <c r="H140" s="12"/>
    </row>
    <row r="141" spans="1:12" s="34" customFormat="1" ht="18.75">
      <c r="A141" s="58">
        <v>110</v>
      </c>
      <c r="B141" s="14"/>
      <c r="C141" s="23" t="s">
        <v>133</v>
      </c>
      <c r="D141" s="21"/>
      <c r="E141" s="22"/>
      <c r="F141" s="24"/>
      <c r="G141" s="18">
        <f>G140+G139</f>
        <v>9466442.7100000009</v>
      </c>
      <c r="H141" s="12"/>
    </row>
    <row r="142" spans="1:12" s="34" customFormat="1" ht="18.75">
      <c r="A142" s="4"/>
      <c r="B142" s="3"/>
      <c r="C142" s="10"/>
      <c r="D142" s="4"/>
      <c r="E142" s="4"/>
      <c r="F142" s="5"/>
      <c r="K142" s="57"/>
      <c r="L142" s="57"/>
    </row>
    <row r="143" spans="1:12" ht="20.25">
      <c r="A143" s="116" t="s">
        <v>4</v>
      </c>
      <c r="B143" s="116"/>
      <c r="C143" s="30"/>
      <c r="D143" s="2"/>
      <c r="E143" s="2"/>
      <c r="F143" s="2"/>
      <c r="G143" s="2"/>
      <c r="H143" s="35"/>
    </row>
    <row r="144" spans="1:12" ht="20.25">
      <c r="B144" s="120" t="s">
        <v>26</v>
      </c>
      <c r="C144" s="121"/>
      <c r="D144" s="28"/>
      <c r="E144" s="119" t="s">
        <v>27</v>
      </c>
      <c r="F144" s="119"/>
      <c r="G144" s="119"/>
      <c r="H144" s="119"/>
    </row>
    <row r="145" spans="1:8">
      <c r="B145" s="117" t="s">
        <v>2</v>
      </c>
      <c r="C145" s="117"/>
      <c r="D145" s="29"/>
      <c r="E145" s="117" t="s">
        <v>3</v>
      </c>
      <c r="F145" s="117"/>
      <c r="G145" s="117"/>
      <c r="H145" s="117"/>
    </row>
    <row r="146" spans="1:8">
      <c r="A146" s="118" t="s">
        <v>9</v>
      </c>
      <c r="B146" s="118"/>
      <c r="C146" s="118"/>
      <c r="D146" s="28"/>
      <c r="E146" s="28"/>
      <c r="F146" s="28"/>
      <c r="G146" s="28"/>
      <c r="H146" s="28"/>
    </row>
    <row r="147" spans="1:8">
      <c r="A147" s="31"/>
      <c r="B147" s="61"/>
      <c r="C147" s="61"/>
      <c r="D147" s="28"/>
      <c r="E147" s="28"/>
      <c r="F147" s="28"/>
      <c r="G147" s="28"/>
      <c r="H147" s="28"/>
    </row>
    <row r="148" spans="1:8" ht="20.25">
      <c r="A148" s="116" t="s">
        <v>5</v>
      </c>
      <c r="B148" s="116"/>
      <c r="C148" s="28"/>
      <c r="D148" s="28"/>
      <c r="E148" s="28"/>
      <c r="F148" s="28"/>
      <c r="G148" s="28"/>
      <c r="H148" s="27"/>
    </row>
    <row r="149" spans="1:8">
      <c r="A149" s="31"/>
      <c r="B149" s="36"/>
      <c r="C149" s="28"/>
      <c r="D149" s="28"/>
      <c r="E149" s="28"/>
      <c r="F149" s="28"/>
      <c r="G149" s="28"/>
      <c r="H149" s="27"/>
    </row>
    <row r="150" spans="1:8" ht="41.25" customHeight="1">
      <c r="B150" s="120" t="s">
        <v>245</v>
      </c>
      <c r="C150" s="121"/>
      <c r="D150" s="28"/>
      <c r="E150" s="119" t="s">
        <v>246</v>
      </c>
      <c r="F150" s="119"/>
      <c r="G150" s="119"/>
      <c r="H150" s="119"/>
    </row>
    <row r="151" spans="1:8">
      <c r="B151" s="117" t="s">
        <v>2</v>
      </c>
      <c r="C151" s="117"/>
      <c r="D151" s="29"/>
      <c r="E151" s="117" t="s">
        <v>3</v>
      </c>
      <c r="F151" s="117"/>
      <c r="G151" s="117"/>
      <c r="H151" s="117"/>
    </row>
    <row r="152" spans="1:8">
      <c r="A152" s="118" t="s">
        <v>9</v>
      </c>
      <c r="B152" s="118"/>
      <c r="C152" s="118"/>
      <c r="D152" s="28"/>
      <c r="E152" s="28"/>
      <c r="F152" s="28"/>
      <c r="G152" s="28"/>
      <c r="H152" s="28"/>
    </row>
    <row r="153" spans="1:8" ht="15">
      <c r="A153" s="32"/>
      <c r="B153" s="6"/>
      <c r="C153" s="6"/>
      <c r="D153" s="6"/>
      <c r="E153" s="6"/>
      <c r="F153" s="6"/>
      <c r="G153" s="6"/>
      <c r="H153" s="6"/>
    </row>
  </sheetData>
  <mergeCells count="43">
    <mergeCell ref="A152:C152"/>
    <mergeCell ref="A143:B143"/>
    <mergeCell ref="B144:C144"/>
    <mergeCell ref="B150:C150"/>
    <mergeCell ref="A146:C146"/>
    <mergeCell ref="A148:B148"/>
    <mergeCell ref="A85:A86"/>
    <mergeCell ref="B85:B86"/>
    <mergeCell ref="C85:C86"/>
    <mergeCell ref="E150:H150"/>
    <mergeCell ref="B151:C151"/>
    <mergeCell ref="E151:H151"/>
    <mergeCell ref="A17:B17"/>
    <mergeCell ref="C17:C19"/>
    <mergeCell ref="D17:D19"/>
    <mergeCell ref="E17:G17"/>
    <mergeCell ref="H17:H19"/>
    <mergeCell ref="A18:A19"/>
    <mergeCell ref="B18:B19"/>
    <mergeCell ref="E18:E19"/>
    <mergeCell ref="F18:F19"/>
    <mergeCell ref="G18:G19"/>
    <mergeCell ref="E144:H144"/>
    <mergeCell ref="B145:C145"/>
    <mergeCell ref="E145:H145"/>
    <mergeCell ref="A13:B13"/>
    <mergeCell ref="C13:H13"/>
    <mergeCell ref="A15:H15"/>
    <mergeCell ref="A16:D16"/>
    <mergeCell ref="E16:F16"/>
    <mergeCell ref="G16:H16"/>
    <mergeCell ref="A7:B7"/>
    <mergeCell ref="C7:H7"/>
    <mergeCell ref="A9:B9"/>
    <mergeCell ref="C9:H9"/>
    <mergeCell ref="A11:B11"/>
    <mergeCell ref="C11:H11"/>
    <mergeCell ref="A1:H1"/>
    <mergeCell ref="A2:H2"/>
    <mergeCell ref="A3:B3"/>
    <mergeCell ref="C3:H3"/>
    <mergeCell ref="A5:B5"/>
    <mergeCell ref="C5:H5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доп на 2025</vt:lpstr>
      <vt:lpstr>остаток на 2026</vt:lpstr>
    </vt:vector>
  </TitlesOfParts>
  <Company>Tycoon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lebedeva</dc:creator>
  <cp:lastModifiedBy>Собянин Евгений Андреевич (new)</cp:lastModifiedBy>
  <cp:lastPrinted>2026-09-24T12:16:37Z</cp:lastPrinted>
  <dcterms:created xsi:type="dcterms:W3CDTF">2011-02-15T08:48:27Z</dcterms:created>
  <dcterms:modified xsi:type="dcterms:W3CDTF">2026-09-25T06:16:22Z</dcterms:modified>
</cp:coreProperties>
</file>