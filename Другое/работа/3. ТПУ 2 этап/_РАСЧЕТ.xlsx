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980"/>
  </bookViews>
  <sheets>
    <sheet name="Лист1" sheetId="1" r:id="rId1"/>
    <sheet name="Приложение к служебной записке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<sst xmlns="http://schemas.openxmlformats.org/spreadsheetml/2006/main" count="124" uniqueCount="94">
  <si>
    <t>Показатель</t>
  </si>
  <si>
    <t>Значение</t>
  </si>
  <si>
    <t>Стоимость рабочей документации 1 этап по ГК</t>
  </si>
  <si>
    <t>ССРСС</t>
  </si>
  <si>
    <t>Смета контракта</t>
  </si>
  <si>
    <t xml:space="preserve">Пересчет </t>
  </si>
  <si>
    <t>Смета № 7 - Переустройство сетей связи</t>
  </si>
  <si>
    <t>Смета № 8 - Переустройство линий электроснабжения</t>
  </si>
  <si>
    <t>Смета № 9 - Переустрйство сетей газоснабжения</t>
  </si>
  <si>
    <t>Стоимость рабочей документации 1 этап по ССРСС</t>
  </si>
  <si>
    <t>1 этап</t>
  </si>
  <si>
    <t>СМР + Рабочка</t>
  </si>
  <si>
    <t>Том 1</t>
  </si>
  <si>
    <t>Стоимость рабочей документации по сметным расчетам</t>
  </si>
  <si>
    <t>Рабочая документация</t>
  </si>
  <si>
    <t>С дефлятором</t>
  </si>
  <si>
    <t>Том 2</t>
  </si>
  <si>
    <t>Дефлятор (по Пересчету цены ГК)</t>
  </si>
  <si>
    <t>КЭФ Дефлятор</t>
  </si>
  <si>
    <t>Том 5</t>
  </si>
  <si>
    <t>Всего</t>
  </si>
  <si>
    <t>Понижающий (по Пересчету цены ГК)</t>
  </si>
  <si>
    <t>Кэф пересчета</t>
  </si>
  <si>
    <t>кэф текущих цен</t>
  </si>
  <si>
    <t>Общий кэф (по пересчету цены ГК)</t>
  </si>
  <si>
    <t>Стоимость всего (без ПИР)</t>
  </si>
  <si>
    <t>Том 6</t>
  </si>
  <si>
    <t>в текущих ценах (кэф 5,42)</t>
  </si>
  <si>
    <t>в текущих ценах</t>
  </si>
  <si>
    <t>Общий кэф (ГК на стоимость по ССРСС)</t>
  </si>
  <si>
    <t>С учетом понижающего</t>
  </si>
  <si>
    <t>Том 3</t>
  </si>
  <si>
    <t>в том числе стадия "Р"</t>
  </si>
  <si>
    <t>КЭФ понижающий</t>
  </si>
  <si>
    <t>с кэф пересчета</t>
  </si>
  <si>
    <t>Итоговый КЭФ</t>
  </si>
  <si>
    <t>Стоимость РД 2 этап по ГК</t>
  </si>
  <si>
    <t>Стоимость РД 2 этап по ССРСС</t>
  </si>
  <si>
    <t>Том 4</t>
  </si>
  <si>
    <t>Том 7</t>
  </si>
  <si>
    <t>в текущих ценах (кэф = 5,42)</t>
  </si>
  <si>
    <t>j</t>
  </si>
  <si>
    <t>общий кэф</t>
  </si>
  <si>
    <t>ИТОГО</t>
  </si>
  <si>
    <t>Пересчет стоимости рабочей документации (стадия Р) по объекту «Организация пассажирского сообщения от станции Москва — Октябрьская — Пассажирская до проектируемого ТПУ «Завидово» через остановочный пункт Путепроводная Октябрьской железной дороги». 1 Этап</t>
  </si>
  <si>
    <t xml:space="preserve">    После экспертизы стоимость контракта была скорректирована под выделенные лимиты бюджетных обязательств. Для этого использовался общий (комбинированный) коэффициент, который учитывает и инфляцию (индекс-дефлятор), и понижение цены до уровня финансирования. Так как этот коэффициент в документах напрямую не указан, он был выведен математически: сметная стоимость была разделена на итоговую цену государственного контракта (ГК).</t>
  </si>
  <si>
    <t xml:space="preserve">Комбинированный индекс К = </t>
  </si>
  <si>
    <t>Сметная стоимость / Стоимость по ГК</t>
  </si>
  <si>
    <r>
      <rPr>
        <i/>
        <sz val="12"/>
        <color theme="1"/>
        <rFont val="Times New Roman"/>
        <charset val="204"/>
      </rPr>
      <t xml:space="preserve">3 205 790,21 / 3 301 168,00 = </t>
    </r>
    <r>
      <rPr>
        <b/>
        <i/>
        <sz val="12"/>
        <color theme="1"/>
        <rFont val="Times New Roman"/>
        <charset val="204"/>
      </rPr>
      <t>1,02975172539441</t>
    </r>
  </si>
  <si>
    <t>№
п/п</t>
  </si>
  <si>
    <t>Шифр комплекта РД</t>
  </si>
  <si>
    <t>Наименование комплекта РД</t>
  </si>
  <si>
    <r>
      <rPr>
        <b/>
        <sz val="12"/>
        <color theme="1"/>
        <rFont val="Times New Roman"/>
        <charset val="204"/>
      </rPr>
      <t xml:space="preserve">Стоимость по Сметам </t>
    </r>
    <r>
      <rPr>
        <b/>
        <u/>
        <sz val="12"/>
        <color theme="1"/>
        <rFont val="Times New Roman"/>
        <charset val="204"/>
      </rPr>
      <t>без учета дефлятора</t>
    </r>
  </si>
  <si>
    <r>
      <rPr>
        <b/>
        <sz val="12"/>
        <color theme="1"/>
        <rFont val="Times New Roman"/>
        <charset val="204"/>
      </rPr>
      <t xml:space="preserve">Стоимость по сметам </t>
    </r>
    <r>
      <rPr>
        <b/>
        <u/>
        <sz val="12"/>
        <color theme="1"/>
        <rFont val="Times New Roman"/>
        <charset val="204"/>
      </rPr>
      <t>с учетом дефлятора</t>
    </r>
  </si>
  <si>
    <t>Стоимость по ведомости подрядчика, руб.
(без НДС)</t>
  </si>
  <si>
    <t>Отклонение, руб.</t>
  </si>
  <si>
    <t>Переустройство сетей связи</t>
  </si>
  <si>
    <t>002-ПСД/2026-НСС-1</t>
  </si>
  <si>
    <t>Переустройство кабелей связи ПАО "Ростелеком", ПАО "Вымпелком" на ПК111+17</t>
  </si>
  <si>
    <t>002-ПСД/2026-НСС-2</t>
  </si>
  <si>
    <t>Переустройство кабелей связи ПАО "Ростелеком, ПАО "Вымпелком" на ПК111+17</t>
  </si>
  <si>
    <t>002-ПСД/2026-НСС-3</t>
  </si>
  <si>
    <t>Переустройство кабелей связи АО "Воентелеком" на ПК 59+78,95</t>
  </si>
  <si>
    <t>002-ПСД/2026-НСС-4</t>
  </si>
  <si>
    <t>Защита кабелей связи ПАО "МТС" на ПК 58+35,44.</t>
  </si>
  <si>
    <t>002-ПСД/2026-НСС-5</t>
  </si>
  <si>
    <t>Переустройство и защита кабелей связи ООО "Связьсервис" на ПК 58+08,67 на ПК 59+00,00</t>
  </si>
  <si>
    <t>002-ПСД/2026-НСС-6</t>
  </si>
  <si>
    <t>Переустройство и защита кабелей связи ООО "Связьсервис" на ПК 108+85,90</t>
  </si>
  <si>
    <t>002-ПСД/2026-НСС-7</t>
  </si>
  <si>
    <t>Переустройство кабеля связи "Речьсвязьинформ" на ПК59+10,04</t>
  </si>
  <si>
    <t>Итого по переустройству сетей связи</t>
  </si>
  <si>
    <t>Переустройство линии электроснабжения</t>
  </si>
  <si>
    <t>002-ПСД/2026-ЭС-1</t>
  </si>
  <si>
    <t>Переустройство сетей наружного освещения на ПК 110+90.82.</t>
  </si>
  <si>
    <t>Определить данный параметр не представляется возможным, поскольку в сметных расчетах отсутствует привязка к пикетажу</t>
  </si>
  <si>
    <t>Переустройство КЛ-10кВ №18 ПС Мошково на ПК116+91,41</t>
  </si>
  <si>
    <t>002-ПСД/2026-ЭС-2</t>
  </si>
  <si>
    <t>Переустройство ВЛ-10кВ №18 ПС Энергетик на ПК108+12,74</t>
  </si>
  <si>
    <t>002-ПСД/2026-ЭС-3</t>
  </si>
  <si>
    <t>Переустройство ВЛ-10кВ на ПК110+58,12</t>
  </si>
  <si>
    <t>002-ПСД/2026-ЭС-4</t>
  </si>
  <si>
    <t>Переустройство ВЛ-10кВ на ПК100+35,9</t>
  </si>
  <si>
    <t>002-ПСД/2026-ЭС-5</t>
  </si>
  <si>
    <t>Переустройство ВЛ-10кВ на ПК87+94,24</t>
  </si>
  <si>
    <t>002-ПСД/2026-ЭС-6</t>
  </si>
  <si>
    <t>Переустройство ВЛ-10кВ на ПК78+75,6</t>
  </si>
  <si>
    <t>Итого по переустройству линий электроснабжения</t>
  </si>
  <si>
    <t>Переустройство (обустройство) сетей газоснабжения</t>
  </si>
  <si>
    <t>1-3-СГТ-Э1-ТКР3-1</t>
  </si>
  <si>
    <t>Наружные газопроводы d325</t>
  </si>
  <si>
    <t>№ 75-П-2026</t>
  </si>
  <si>
    <t>Наружные газопроводы d108</t>
  </si>
  <si>
    <t>Итого по переустройству сетей газоснабжения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</si>
</sst>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0000000000"/>
    <numFmt numFmtId="181" formatCode="#\ ##0.00\ &quot;₽&quot;"/>
    <numFmt numFmtId="182" formatCode="#\ ##0.00000000000000\ &quot;₽&quot;"/>
    <numFmt numFmtId="183" formatCode="#\ ##0.000000000000000\ &quot;₽&quot;"/>
    <numFmt numFmtId="184" formatCode="0.000000000000000"/>
  </numFmts>
  <fonts count="32">
    <font>
      <sz val="11"/>
      <color theme="1"/>
      <name val="Calibri"/>
      <charset val="204"/>
      <scheme val="minor"/>
    </font>
    <font>
      <b/>
      <sz val="11"/>
      <color theme="1"/>
      <name val="Times New Roman"/>
      <charset val="204"/>
    </font>
    <font>
      <b/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sz val="11"/>
      <color theme="0"/>
      <name val="Calibri"/>
      <charset val="204"/>
      <scheme val="minor"/>
    </font>
    <font>
      <sz val="11"/>
      <color theme="1"/>
      <name val="Times New Roman"/>
      <charset val="204"/>
    </font>
    <font>
      <sz val="12"/>
      <color theme="1"/>
      <name val="Times New Roman"/>
      <charset val="204"/>
    </font>
    <font>
      <sz val="10"/>
      <color theme="1"/>
      <name val="Times New Roman"/>
      <charset val="204"/>
    </font>
    <font>
      <b/>
      <sz val="11"/>
      <color theme="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Times New Roman"/>
      <charset val="204"/>
    </font>
    <font>
      <b/>
      <i/>
      <sz val="12"/>
      <color theme="1"/>
      <name val="Times New Roman"/>
      <charset val="204"/>
    </font>
  </fonts>
  <fills count="40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theme="1" tint="0.349986266670736"/>
      </left>
      <right/>
      <top style="thin">
        <color theme="1" tint="0.349986266670736"/>
      </top>
      <bottom style="thin">
        <color theme="1" tint="0.349986266670736"/>
      </bottom>
      <diagonal/>
    </border>
    <border>
      <left/>
      <right/>
      <top style="thin">
        <color theme="1" tint="0.349986266670736"/>
      </top>
      <bottom style="thin">
        <color theme="1" tint="0.349986266670736"/>
      </bottom>
      <diagonal/>
    </border>
    <border>
      <left/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/>
      <diagonal/>
    </border>
    <border>
      <left style="thin">
        <color theme="1" tint="0.349986266670736"/>
      </left>
      <right style="thin">
        <color theme="1" tint="0.349986266670736"/>
      </right>
      <top/>
      <bottom/>
      <diagonal/>
    </border>
    <border>
      <left style="thin">
        <color theme="1" tint="0.349986266670736"/>
      </left>
      <right style="thin">
        <color theme="1" tint="0.349986266670736"/>
      </right>
      <top/>
      <bottom style="thin">
        <color theme="1" tint="0.349986266670736"/>
      </bottom>
      <diagonal/>
    </border>
    <border>
      <left style="thin">
        <color theme="1" tint="0.349986266670736"/>
      </left>
      <right/>
      <top style="thin">
        <color theme="1" tint="0.349986266670736"/>
      </top>
      <bottom/>
      <diagonal/>
    </border>
    <border>
      <left/>
      <right style="thin">
        <color theme="1" tint="0.349986266670736"/>
      </right>
      <top style="thin">
        <color theme="1" tint="0.349986266670736"/>
      </top>
      <bottom/>
      <diagonal/>
    </border>
    <border>
      <left style="thin">
        <color theme="1" tint="0.349986266670736"/>
      </left>
      <right/>
      <top/>
      <bottom style="thin">
        <color theme="1" tint="0.349986266670736"/>
      </bottom>
      <diagonal/>
    </border>
    <border>
      <left/>
      <right style="thin">
        <color theme="1" tint="0.349986266670736"/>
      </right>
      <top/>
      <bottom style="thin">
        <color theme="1" tint="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wrapText="1"/>
    </xf>
    <xf numFmtId="0" fontId="0" fillId="3" borderId="0" xfId="0" applyFill="1"/>
    <xf numFmtId="0" fontId="2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wrapText="1"/>
    </xf>
    <xf numFmtId="180" fontId="4" fillId="3" borderId="0" xfId="0" applyNumberFormat="1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81" fontId="6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/>
    <xf numFmtId="181" fontId="9" fillId="0" borderId="0" xfId="0" applyNumberFormat="1" applyFont="1"/>
    <xf numFmtId="0" fontId="0" fillId="0" borderId="0" xfId="0" applyAlignment="1">
      <alignment horizontal="center"/>
    </xf>
    <xf numFmtId="181" fontId="0" fillId="0" borderId="0" xfId="0" applyNumberFormat="1"/>
    <xf numFmtId="0" fontId="0" fillId="0" borderId="0" xfId="0" applyAlignment="1">
      <alignment horizontal="center" vertical="center"/>
    </xf>
    <xf numFmtId="182" fontId="0" fillId="0" borderId="0" xfId="0" applyNumberFormat="1"/>
    <xf numFmtId="183" fontId="0" fillId="0" borderId="0" xfId="0" applyNumberFormat="1"/>
    <xf numFmtId="180" fontId="0" fillId="0" borderId="0" xfId="0" applyNumberFormat="1"/>
    <xf numFmtId="184" fontId="0" fillId="0" borderId="0" xfId="0" applyNumberFormat="1"/>
    <xf numFmtId="0" fontId="9" fillId="6" borderId="0" xfId="0" applyFont="1" applyFill="1"/>
    <xf numFmtId="2" fontId="0" fillId="0" borderId="0" xfId="0" applyNumberFormat="1"/>
    <xf numFmtId="180" fontId="9" fillId="0" borderId="0" xfId="0" applyNumberFormat="1" applyFont="1"/>
    <xf numFmtId="0" fontId="0" fillId="6" borderId="0" xfId="0" applyFill="1"/>
    <xf numFmtId="181" fontId="0" fillId="6" borderId="0" xfId="0" applyNumberFormat="1" applyFill="1"/>
    <xf numFmtId="0" fontId="9" fillId="7" borderId="0" xfId="0" applyFont="1" applyFill="1"/>
    <xf numFmtId="181" fontId="9" fillId="7" borderId="0" xfId="0" applyNumberFormat="1" applyFont="1" applyFill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0" borderId="8" xfId="0" applyBorder="1"/>
    <xf numFmtId="181" fontId="0" fillId="0" borderId="9" xfId="0" applyNumberFormat="1" applyBorder="1"/>
    <xf numFmtId="0" fontId="0" fillId="0" borderId="10" xfId="0" applyBorder="1"/>
    <xf numFmtId="181" fontId="9" fillId="0" borderId="11" xfId="0" applyNumberFormat="1" applyFont="1" applyBorder="1"/>
    <xf numFmtId="181" fontId="9" fillId="8" borderId="1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H53"/>
  <sheetViews>
    <sheetView tabSelected="1" workbookViewId="0">
      <selection activeCell="C18" sqref="C18"/>
    </sheetView>
  </sheetViews>
  <sheetFormatPr defaultColWidth="9" defaultRowHeight="14.25"/>
  <cols>
    <col min="2" max="2" width="57" customWidth="1"/>
    <col min="3" max="3" width="22.283185840708" customWidth="1"/>
    <col min="4" max="5" width="25.5663716814159" customWidth="1"/>
    <col min="6" max="6" width="34.4247787610619" customWidth="1"/>
    <col min="10" max="10" width="22.5663716814159" customWidth="1"/>
    <col min="11" max="11" width="17.7079646017699" customWidth="1"/>
    <col min="14" max="14" width="25.141592920354" customWidth="1"/>
    <col min="15" max="15" width="20" customWidth="1"/>
    <col min="18" max="18" width="28.7079646017699" customWidth="1"/>
    <col min="19" max="19" width="29.5663716814159" customWidth="1"/>
    <col min="23" max="23" width="28.5663716814159" customWidth="1"/>
    <col min="24" max="24" width="30" customWidth="1"/>
    <col min="25" max="25" width="25.141592920354" customWidth="1"/>
    <col min="26" max="26" width="20.283185840708" customWidth="1"/>
    <col min="27" max="27" width="26.283185840708" customWidth="1"/>
    <col min="28" max="28" width="21.858407079646" customWidth="1"/>
    <col min="29" max="29" width="22" customWidth="1"/>
    <col min="30" max="30" width="18.283185840708" customWidth="1"/>
    <col min="31" max="32" width="22.7079646017699" customWidth="1"/>
    <col min="33" max="33" width="19.858407079646" customWidth="1"/>
  </cols>
  <sheetData>
    <row r="3" spans="2:34">
      <c r="B3" s="30" t="s">
        <v>0</v>
      </c>
      <c r="C3" s="30" t="s">
        <v>1</v>
      </c>
    </row>
    <row r="4" spans="2:34">
      <c r="B4" s="31" t="s">
        <v>2</v>
      </c>
      <c r="C4" s="32">
        <v>3301168</v>
      </c>
      <c r="J4" s="33" t="s">
        <v>3</v>
      </c>
      <c r="K4" s="33"/>
      <c r="N4" s="33" t="s">
        <v>4</v>
      </c>
      <c r="O4" s="33"/>
      <c r="R4" s="33" t="s">
        <v>5</v>
      </c>
      <c r="S4" s="33"/>
      <c r="W4" s="33" t="s">
        <v>6</v>
      </c>
      <c r="X4" s="33"/>
      <c r="AA4" s="33" t="s">
        <v>7</v>
      </c>
      <c r="AB4" s="33"/>
      <c r="AC4" s="33"/>
      <c r="AE4" s="33" t="s">
        <v>8</v>
      </c>
      <c r="AF4" s="33"/>
      <c r="AG4" s="33"/>
    </row>
    <row r="5" spans="2:34">
      <c r="B5" s="31" t="s">
        <v>9</v>
      </c>
      <c r="C5" s="32">
        <f>3205790</f>
        <v>3205790</v>
      </c>
      <c r="D5" s="34"/>
      <c r="J5" t="s">
        <v>10</v>
      </c>
      <c r="N5" t="s">
        <v>10</v>
      </c>
      <c r="R5" t="s">
        <v>11</v>
      </c>
      <c r="S5" s="34">
        <v>88421721.5</v>
      </c>
      <c r="W5" s="35">
        <v>1</v>
      </c>
      <c r="X5" s="34">
        <f>(2000+148*164)*1.05</f>
        <v>27585.6</v>
      </c>
      <c r="Y5" t="s">
        <v>12</v>
      </c>
      <c r="AA5">
        <v>1</v>
      </c>
      <c r="AB5" s="34">
        <f>8265+620*41</f>
        <v>33685</v>
      </c>
      <c r="AE5" s="35">
        <v>1</v>
      </c>
      <c r="AF5" s="34">
        <f>5221+137561*0.25</f>
        <v>39611.25</v>
      </c>
    </row>
    <row r="6" spans="2:34">
      <c r="B6" t="s">
        <v>13</v>
      </c>
      <c r="C6" s="34">
        <f>X26+AF10+AB10</f>
        <v>3205790.2136</v>
      </c>
      <c r="D6" s="34"/>
      <c r="E6" s="36"/>
      <c r="F6" s="37"/>
      <c r="J6" t="s">
        <v>14</v>
      </c>
      <c r="K6" s="34">
        <v>3205790</v>
      </c>
      <c r="N6" t="s">
        <v>14</v>
      </c>
      <c r="O6" s="34">
        <v>3301186</v>
      </c>
      <c r="R6" t="s">
        <v>15</v>
      </c>
      <c r="S6" s="34">
        <v>106565292.86</v>
      </c>
      <c r="W6" s="35">
        <v>2</v>
      </c>
      <c r="X6" s="34">
        <f>14450*1.05</f>
        <v>15172.5</v>
      </c>
      <c r="Y6" t="s">
        <v>16</v>
      </c>
      <c r="AA6">
        <v>2</v>
      </c>
      <c r="AB6" s="34">
        <f>9090*5</f>
        <v>45450</v>
      </c>
      <c r="AE6" s="35">
        <v>2</v>
      </c>
      <c r="AF6" s="34">
        <f>5221+137561*0.13</f>
        <v>23103.93</v>
      </c>
    </row>
    <row r="7" spans="2:34">
      <c r="B7" t="s">
        <v>17</v>
      </c>
      <c r="C7" s="38">
        <f>S7</f>
        <v>1.20519360008163</v>
      </c>
      <c r="R7" t="s">
        <v>18</v>
      </c>
      <c r="S7" s="38">
        <f>S6/S5</f>
        <v>1.20519360008163</v>
      </c>
      <c r="W7" s="35">
        <v>3</v>
      </c>
      <c r="X7" s="34">
        <f>(750+137*157)*1.05</f>
        <v>23371.95</v>
      </c>
      <c r="Y7" t="s">
        <v>19</v>
      </c>
      <c r="AA7">
        <v>3</v>
      </c>
      <c r="AB7" s="34">
        <v>2132</v>
      </c>
      <c r="AE7" t="s">
        <v>20</v>
      </c>
      <c r="AF7" s="34">
        <f>SUM(AF5:AF6)</f>
        <v>62715.18</v>
      </c>
      <c r="AG7" s="34"/>
    </row>
    <row r="8" spans="2:34">
      <c r="B8" t="s">
        <v>21</v>
      </c>
      <c r="C8" s="39">
        <f>S11</f>
        <v>0.854428678158152</v>
      </c>
      <c r="N8" s="40" t="s">
        <v>22</v>
      </c>
      <c r="O8" s="40">
        <f>O6/K6</f>
        <v>1.02975740769046</v>
      </c>
      <c r="W8" s="35">
        <v>4</v>
      </c>
      <c r="X8" s="34">
        <f>15850*1.05</f>
        <v>16642.5</v>
      </c>
      <c r="Y8" t="s">
        <v>19</v>
      </c>
      <c r="AA8" t="s">
        <v>20</v>
      </c>
      <c r="AB8" s="34">
        <f>SUM(AB5:AB7)</f>
        <v>81267</v>
      </c>
      <c r="AE8" t="s">
        <v>23</v>
      </c>
      <c r="AF8" s="41">
        <f>339.92/62.72</f>
        <v>5.41964285714286</v>
      </c>
    </row>
    <row r="9" spans="2:34">
      <c r="B9" t="s">
        <v>24</v>
      </c>
      <c r="C9" s="38">
        <f>C7*C8</f>
        <v>1.02975197464241</v>
      </c>
      <c r="R9" t="s">
        <v>25</v>
      </c>
      <c r="S9" s="34">
        <v>6949970491.16</v>
      </c>
      <c r="W9" s="35">
        <v>5</v>
      </c>
      <c r="X9" s="34">
        <f>15850*1.1*1.05</f>
        <v>18306.75</v>
      </c>
      <c r="Y9" t="s">
        <v>26</v>
      </c>
      <c r="AA9" t="s">
        <v>27</v>
      </c>
      <c r="AB9" s="34">
        <f>ROUND(AB8*5.42,2)</f>
        <v>440467.14</v>
      </c>
      <c r="AE9" t="s">
        <v>28</v>
      </c>
      <c r="AF9" s="34">
        <f>ROUND(AF7*AF8,2)</f>
        <v>339893.88</v>
      </c>
    </row>
    <row r="10" spans="2:34">
      <c r="B10" s="31" t="s">
        <v>29</v>
      </c>
      <c r="C10" s="42">
        <f>C4/C6</f>
        <v>1.02975172423803</v>
      </c>
      <c r="R10" t="s">
        <v>30</v>
      </c>
      <c r="S10" s="34">
        <v>5938254100</v>
      </c>
      <c r="W10" s="35">
        <v>6</v>
      </c>
      <c r="X10" s="34">
        <f>15850*1.05</f>
        <v>16642.5</v>
      </c>
      <c r="Y10" t="s">
        <v>31</v>
      </c>
      <c r="AA10" s="43" t="s">
        <v>32</v>
      </c>
      <c r="AB10" s="44">
        <f>AB9*0.6</f>
        <v>264280.284</v>
      </c>
      <c r="AE10" s="43" t="s">
        <v>32</v>
      </c>
      <c r="AF10" s="44">
        <f>ROUND(AF9*0.6,2)</f>
        <v>203936.33</v>
      </c>
    </row>
    <row r="11" spans="2:34">
      <c r="R11" t="s">
        <v>33</v>
      </c>
      <c r="S11" s="39">
        <f>S10/S9</f>
        <v>0.854428678158152</v>
      </c>
      <c r="W11" s="35">
        <v>7</v>
      </c>
      <c r="X11" s="34">
        <f>(31000*1.05*1.2)+(31000*1.05*1.2*0.35)*2</f>
        <v>66402</v>
      </c>
      <c r="Y11" t="s">
        <v>12</v>
      </c>
      <c r="AA11" s="45" t="s">
        <v>34</v>
      </c>
      <c r="AB11" s="46">
        <f>ROUND(AB10*C10,2)</f>
        <v>272143.08</v>
      </c>
      <c r="AC11">
        <v>272143</v>
      </c>
      <c r="AD11" s="34">
        <f>AB11-AC11</f>
        <v>0.0800000000162981</v>
      </c>
      <c r="AE11" s="45" t="s">
        <v>34</v>
      </c>
      <c r="AF11" s="46">
        <f>ROUND(AF10*C10,2)</f>
        <v>210003.79</v>
      </c>
      <c r="AG11">
        <v>210017</v>
      </c>
      <c r="AH11" s="34">
        <f>AF11-AG11</f>
        <v>-13.2099999999919</v>
      </c>
    </row>
    <row r="12" spans="2:34">
      <c r="R12" s="31" t="s">
        <v>35</v>
      </c>
      <c r="S12" s="42">
        <f>S7*S11</f>
        <v>1.02975197464241</v>
      </c>
      <c r="W12" s="35">
        <v>8</v>
      </c>
      <c r="X12" s="34">
        <f>(31000*1.05*1.2*1.2)*3</f>
        <v>140616</v>
      </c>
      <c r="Y12" t="s">
        <v>12</v>
      </c>
    </row>
    <row r="13" spans="2:34">
      <c r="W13" s="35">
        <v>9</v>
      </c>
      <c r="X13" s="34">
        <f>(31000*1.05*1.2)</f>
        <v>39060</v>
      </c>
      <c r="Y13" t="s">
        <v>16</v>
      </c>
    </row>
    <row r="14" spans="2:34">
      <c r="W14" s="35">
        <v>10</v>
      </c>
      <c r="X14" s="34">
        <f>(31000*1.05*1.2)+(31000*1.05*1.2*0.35)*2</f>
        <v>66402</v>
      </c>
      <c r="Y14" t="s">
        <v>19</v>
      </c>
    </row>
    <row r="15" spans="2:34">
      <c r="B15" t="s">
        <v>36</v>
      </c>
      <c r="C15" s="32">
        <v>105908590.98</v>
      </c>
      <c r="W15" s="35">
        <v>11</v>
      </c>
      <c r="X15" s="34">
        <f>(33000*1.05)*2</f>
        <v>69300</v>
      </c>
      <c r="Y15" t="s">
        <v>19</v>
      </c>
    </row>
    <row r="16" spans="2:34">
      <c r="B16" s="31" t="s">
        <v>37</v>
      </c>
      <c r="C16" s="32">
        <f>105864.73*1000</f>
        <v>105864730</v>
      </c>
      <c r="W16" s="35">
        <v>12</v>
      </c>
      <c r="X16" s="34">
        <f>(31000*1.05*1.2)+(31000*1.05*1.2*0.35)*1</f>
        <v>52731</v>
      </c>
      <c r="Y16" t="s">
        <v>19</v>
      </c>
    </row>
    <row r="17" spans="3:30">
      <c r="C17">
        <f>C15/C16</f>
        <v>1.00041431154644</v>
      </c>
      <c r="W17" s="35">
        <v>13</v>
      </c>
      <c r="X17" s="34">
        <v>69300</v>
      </c>
      <c r="Y17" t="s">
        <v>19</v>
      </c>
    </row>
    <row r="18" spans="3:30">
      <c r="W18" s="35">
        <v>14</v>
      </c>
      <c r="X18" s="34">
        <v>52731</v>
      </c>
      <c r="Y18" t="s">
        <v>26</v>
      </c>
    </row>
    <row r="19" spans="3:30">
      <c r="W19" s="35">
        <v>15</v>
      </c>
      <c r="X19" s="34">
        <v>52731</v>
      </c>
      <c r="Y19" t="s">
        <v>31</v>
      </c>
    </row>
    <row r="20" spans="3:30">
      <c r="W20" s="35">
        <v>16</v>
      </c>
      <c r="X20" s="34">
        <f>(33000*1.05)*2</f>
        <v>69300</v>
      </c>
      <c r="Y20" t="s">
        <v>31</v>
      </c>
      <c r="AB20" s="34">
        <f>SUM(X53,AB11,AF11)</f>
        <v>3301168.01</v>
      </c>
      <c r="AC20" s="34">
        <f>SUM(Y53,AC11,AG11)</f>
        <v>3301168</v>
      </c>
      <c r="AD20" s="34">
        <f>AB20-AC20</f>
        <v>0.0100000002421439</v>
      </c>
    </row>
    <row r="21" spans="3:30">
      <c r="W21" s="35">
        <v>17</v>
      </c>
      <c r="X21" s="34">
        <f>(14450*1.05)</f>
        <v>15172.5</v>
      </c>
      <c r="Y21" t="s">
        <v>19</v>
      </c>
    </row>
    <row r="22" spans="3:30">
      <c r="W22" s="35">
        <v>18</v>
      </c>
      <c r="X22" s="34">
        <v>15172.5</v>
      </c>
      <c r="Y22" t="s">
        <v>38</v>
      </c>
    </row>
    <row r="23" spans="3:30">
      <c r="W23" s="35">
        <v>19</v>
      </c>
      <c r="X23" s="34">
        <v>15172.5</v>
      </c>
      <c r="Y23" t="s">
        <v>39</v>
      </c>
    </row>
    <row r="24" spans="3:30">
      <c r="W24" s="35" t="s">
        <v>20</v>
      </c>
      <c r="X24" s="34">
        <f>SUM(X5:X23)</f>
        <v>841812.3</v>
      </c>
    </row>
    <row r="25" spans="3:30">
      <c r="W25" s="47" t="s">
        <v>40</v>
      </c>
      <c r="X25" s="34">
        <f>X24*5.42</f>
        <v>4562622.666</v>
      </c>
    </row>
    <row r="26" spans="3:30">
      <c r="W26" s="48" t="s">
        <v>32</v>
      </c>
      <c r="X26" s="44">
        <f>X25*0.6</f>
        <v>2737573.5996</v>
      </c>
    </row>
    <row r="27" spans="3:30">
      <c r="W27" s="45" t="s">
        <v>34</v>
      </c>
      <c r="X27" s="46">
        <f>ROUND(X26*C10,2)</f>
        <v>2819021.13</v>
      </c>
    </row>
    <row r="28" spans="3:30">
      <c r="W28" s="31"/>
      <c r="X28" s="32"/>
    </row>
    <row r="29" spans="3:30">
      <c r="O29" t="s">
        <v>41</v>
      </c>
      <c r="W29" s="31" t="s">
        <v>42</v>
      </c>
      <c r="X29" s="42">
        <f>5.42*0.6*C10</f>
        <v>3.34875260722207</v>
      </c>
    </row>
    <row r="31" spans="3:30">
      <c r="W31" s="49" t="s">
        <v>12</v>
      </c>
      <c r="X31" s="50">
        <f>SUM(X5,X12,X11)</f>
        <v>234603.6</v>
      </c>
    </row>
    <row r="32" spans="3:30">
      <c r="W32" s="51"/>
      <c r="X32" s="52">
        <f>ROUND(X31*X29,2)</f>
        <v>785629.42</v>
      </c>
    </row>
    <row r="34" spans="23:24">
      <c r="W34" s="49" t="s">
        <v>16</v>
      </c>
      <c r="X34" s="50">
        <f>SUM(X6,X13)</f>
        <v>54232.5</v>
      </c>
    </row>
    <row r="35" spans="23:24">
      <c r="W35" s="51"/>
      <c r="X35" s="52">
        <f>ROUND(X34*X29,2)</f>
        <v>181611.23</v>
      </c>
    </row>
    <row r="37" spans="23:24">
      <c r="W37" s="49" t="s">
        <v>31</v>
      </c>
      <c r="X37" s="50">
        <f>SUM(X10,X19,X20)</f>
        <v>138673.5</v>
      </c>
    </row>
    <row r="38" spans="23:24">
      <c r="W38" s="51"/>
      <c r="X38" s="52">
        <f>ROUND(X37*X29,2)</f>
        <v>464383.24</v>
      </c>
    </row>
    <row r="40" spans="23:24">
      <c r="W40" s="49" t="s">
        <v>38</v>
      </c>
      <c r="X40" s="50">
        <f>SUM(X22)</f>
        <v>15172.5</v>
      </c>
    </row>
    <row r="41" spans="23:24">
      <c r="W41" s="51"/>
      <c r="X41" s="52">
        <f>ROUND(X40*X29,2)</f>
        <v>50808.95</v>
      </c>
    </row>
    <row r="43" spans="23:24">
      <c r="W43" s="49" t="s">
        <v>19</v>
      </c>
      <c r="X43" s="50">
        <f>SUM(X7,X8,X14,X15,X16,X17,X21)</f>
        <v>312919.95</v>
      </c>
    </row>
    <row r="44" spans="23:24">
      <c r="W44" s="51"/>
      <c r="X44" s="52">
        <f>ROUND(X43*X29,2)</f>
        <v>1047891.5</v>
      </c>
    </row>
    <row r="46" spans="23:24">
      <c r="W46" s="49" t="s">
        <v>26</v>
      </c>
      <c r="X46" s="50">
        <f>SUM(X9,X18)</f>
        <v>71037.75</v>
      </c>
    </row>
    <row r="47" spans="23:24">
      <c r="W47" s="51"/>
      <c r="X47" s="52">
        <f>ROUND(X46*X29,2)</f>
        <v>237887.85</v>
      </c>
    </row>
    <row r="49" spans="23:26">
      <c r="W49" s="49" t="s">
        <v>39</v>
      </c>
      <c r="X49" s="50">
        <f>SUM(X23)</f>
        <v>15172.5</v>
      </c>
    </row>
    <row r="50" spans="23:26">
      <c r="W50" s="51"/>
      <c r="X50" s="52">
        <f>ROUND(X49*X29,2)</f>
        <v>50808.95</v>
      </c>
    </row>
    <row r="52" spans="23:26">
      <c r="W52" s="49" t="s">
        <v>43</v>
      </c>
      <c r="X52" s="50">
        <f>SUM(X31,X34,X37,X40,X43,X46,X49)</f>
        <v>841812.3</v>
      </c>
    </row>
    <row r="53" spans="23:26">
      <c r="W53" s="51"/>
      <c r="X53" s="53">
        <f>SUM(X32,X35,X38,X41,X44,X47,X50)</f>
        <v>2819021.14</v>
      </c>
      <c r="Y53">
        <v>2819008</v>
      </c>
      <c r="Z53" s="34">
        <f>X53-Y53</f>
        <v>13.1400000001304</v>
      </c>
    </row>
  </sheetData>
  <mergeCells count="6">
    <mergeCell ref="J4:K4"/>
    <mergeCell ref="N4:O4"/>
    <mergeCell ref="R4:S4"/>
    <mergeCell ref="W4:X4"/>
    <mergeCell ref="AA4:AC4"/>
    <mergeCell ref="AE4:AG4"/>
  </mergeCells>
  <pageMargins left="0.7" right="0.7" top="0.75" bottom="0.75" header="0.3" footer="0.3"/>
  <pageSetup paperSize="9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opLeftCell="A17" workbookViewId="0">
      <selection activeCell="A1" sqref="A1:G32"/>
    </sheetView>
  </sheetViews>
  <sheetFormatPr defaultColWidth="9" defaultRowHeight="14.25" outlineLevelCol="6"/>
  <cols>
    <col min="1" max="1" width="4.85840707964602" style="1" customWidth="1"/>
    <col min="2" max="2" width="30.5663716814159" style="1" customWidth="1"/>
    <col min="3" max="3" width="47.7079646017699" style="1" customWidth="1"/>
    <col min="4" max="7" width="21.7079646017699" style="1" customWidth="1"/>
    <col min="8" max="16384" width="9.14159292035398" style="1"/>
  </cols>
  <sheetData>
    <row r="1" ht="44.25" customHeight="1" spans="1:7">
      <c r="A1" s="2" t="s">
        <v>44</v>
      </c>
      <c r="B1" s="2"/>
      <c r="C1" s="2"/>
      <c r="D1" s="2"/>
      <c r="E1" s="2"/>
      <c r="F1" s="2"/>
      <c r="G1" s="2"/>
    </row>
    <row r="2" ht="15" spans="1:7">
      <c r="A2" s="3"/>
      <c r="B2" s="3"/>
      <c r="C2" s="3"/>
      <c r="D2" s="4"/>
      <c r="E2" s="3"/>
      <c r="F2" s="3"/>
      <c r="G2" s="3"/>
    </row>
    <row r="3" ht="63.75" customHeight="1" spans="1:7">
      <c r="A3" s="3"/>
      <c r="B3" s="5" t="s">
        <v>45</v>
      </c>
      <c r="C3" s="5"/>
      <c r="D3" s="5"/>
      <c r="E3" s="5"/>
      <c r="F3" s="5"/>
      <c r="G3" s="6"/>
    </row>
    <row r="4" ht="26.25" customHeight="1" spans="1:7">
      <c r="A4" s="3"/>
      <c r="B4" s="5" t="s">
        <v>46</v>
      </c>
      <c r="C4" s="5" t="s">
        <v>47</v>
      </c>
      <c r="D4" s="5"/>
      <c r="E4" s="5"/>
      <c r="F4" s="5"/>
      <c r="G4" s="6"/>
    </row>
    <row r="5" ht="18" customHeight="1" spans="1:7">
      <c r="A5" s="3"/>
      <c r="B5" s="5" t="s">
        <v>48</v>
      </c>
      <c r="C5" s="5"/>
      <c r="D5" s="5"/>
      <c r="E5" s="5"/>
      <c r="F5" s="5"/>
      <c r="G5" s="6"/>
    </row>
    <row r="6" ht="18" customHeight="1" spans="1:7">
      <c r="A6" s="3"/>
      <c r="B6" s="3"/>
      <c r="C6" s="3"/>
      <c r="D6" s="3"/>
      <c r="E6" s="3"/>
      <c r="F6" s="3"/>
      <c r="G6" s="7">
        <f>Лист1!C4/D32</f>
        <v>1.02975172539441</v>
      </c>
    </row>
    <row r="7" ht="69.75" customHeight="1" spans="1:7">
      <c r="A7" s="8" t="s">
        <v>49</v>
      </c>
      <c r="B7" s="9" t="s">
        <v>50</v>
      </c>
      <c r="C7" s="9" t="s">
        <v>51</v>
      </c>
      <c r="D7" s="8" t="s">
        <v>52</v>
      </c>
      <c r="E7" s="8" t="s">
        <v>53</v>
      </c>
      <c r="F7" s="8" t="s">
        <v>54</v>
      </c>
      <c r="G7" s="8" t="s">
        <v>55</v>
      </c>
    </row>
    <row r="8" spans="1:7">
      <c r="A8" s="10">
        <v>1</v>
      </c>
      <c r="B8" s="10">
        <v>2</v>
      </c>
      <c r="C8" s="10">
        <v>3</v>
      </c>
      <c r="D8" s="10">
        <v>4</v>
      </c>
      <c r="E8" s="10"/>
      <c r="F8" s="10">
        <v>5</v>
      </c>
      <c r="G8" s="10">
        <v>6</v>
      </c>
    </row>
    <row r="9" ht="30" customHeight="1" spans="1:7">
      <c r="A9" s="11"/>
      <c r="B9" s="12" t="s">
        <v>56</v>
      </c>
      <c r="C9" s="13"/>
      <c r="D9" s="13"/>
      <c r="E9" s="13"/>
      <c r="F9" s="13"/>
      <c r="G9" s="14"/>
    </row>
    <row r="10" ht="30" customHeight="1" spans="1:7">
      <c r="A10" s="11">
        <v>1</v>
      </c>
      <c r="B10" s="11" t="s">
        <v>57</v>
      </c>
      <c r="C10" s="15" t="s">
        <v>58</v>
      </c>
      <c r="D10" s="16">
        <f>ROUND(Лист1!X31*5.42*0.6,2)</f>
        <v>762930.91</v>
      </c>
      <c r="E10" s="16">
        <f>ROUND(D10*$G$6,2)</f>
        <v>785629.42</v>
      </c>
      <c r="F10" s="16">
        <v>785628</v>
      </c>
      <c r="G10" s="16">
        <f>F10-E10</f>
        <v>-1.42000000004191</v>
      </c>
    </row>
    <row r="11" ht="30" customHeight="1" spans="1:7">
      <c r="A11" s="11">
        <v>2</v>
      </c>
      <c r="B11" s="11" t="s">
        <v>59</v>
      </c>
      <c r="C11" s="15" t="s">
        <v>60</v>
      </c>
      <c r="D11" s="16">
        <f>ROUND(Лист1!X34*5.42*0.6,2)</f>
        <v>176364.09</v>
      </c>
      <c r="E11" s="16">
        <f t="shared" ref="E11:E16" si="0">ROUND(D11*$G$6,2)</f>
        <v>181611.23</v>
      </c>
      <c r="F11" s="16">
        <v>181610</v>
      </c>
      <c r="G11" s="16">
        <f t="shared" ref="G11:G17" si="1">F11-E11</f>
        <v>-1.23000000001048</v>
      </c>
    </row>
    <row r="12" ht="30" customHeight="1" spans="1:7">
      <c r="A12" s="11">
        <v>3</v>
      </c>
      <c r="B12" s="11" t="s">
        <v>61</v>
      </c>
      <c r="C12" s="15" t="s">
        <v>62</v>
      </c>
      <c r="D12" s="16">
        <f>ROUND(Лист1!X37*5.42*0.6,2)</f>
        <v>450966.22</v>
      </c>
      <c r="E12" s="16">
        <f t="shared" si="0"/>
        <v>464383.24</v>
      </c>
      <c r="F12" s="16">
        <v>464382</v>
      </c>
      <c r="G12" s="16">
        <f t="shared" si="1"/>
        <v>-1.23999999999069</v>
      </c>
    </row>
    <row r="13" ht="30" customHeight="1" spans="1:7">
      <c r="A13" s="11">
        <v>4</v>
      </c>
      <c r="B13" s="11" t="s">
        <v>63</v>
      </c>
      <c r="C13" s="15" t="s">
        <v>64</v>
      </c>
      <c r="D13" s="16">
        <f>ROUND(Лист1!X40*5.42*0.6,2)</f>
        <v>49340.97</v>
      </c>
      <c r="E13" s="16">
        <f t="shared" si="0"/>
        <v>50808.95</v>
      </c>
      <c r="F13" s="16">
        <v>50805</v>
      </c>
      <c r="G13" s="16">
        <f t="shared" si="1"/>
        <v>-3.94999999999709</v>
      </c>
    </row>
    <row r="14" ht="30" customHeight="1" spans="1:7">
      <c r="A14" s="11">
        <v>5</v>
      </c>
      <c r="B14" s="11" t="s">
        <v>65</v>
      </c>
      <c r="C14" s="15" t="s">
        <v>66</v>
      </c>
      <c r="D14" s="16">
        <f>ROUND(Лист1!X43*5.42*0.6,2)</f>
        <v>1017615.68</v>
      </c>
      <c r="E14" s="16">
        <f t="shared" si="0"/>
        <v>1047891.5</v>
      </c>
      <c r="F14" s="16">
        <v>1047890</v>
      </c>
      <c r="G14" s="16">
        <f t="shared" si="1"/>
        <v>-1.5</v>
      </c>
    </row>
    <row r="15" ht="30" customHeight="1" spans="1:7">
      <c r="A15" s="11">
        <v>6</v>
      </c>
      <c r="B15" s="11" t="s">
        <v>67</v>
      </c>
      <c r="C15" s="15" t="s">
        <v>68</v>
      </c>
      <c r="D15" s="16">
        <f>ROUND(Лист1!X46*5.42*0.6,2)</f>
        <v>231014.76</v>
      </c>
      <c r="E15" s="16">
        <f t="shared" si="0"/>
        <v>237887.85</v>
      </c>
      <c r="F15" s="16">
        <v>237887</v>
      </c>
      <c r="G15" s="16">
        <f t="shared" si="1"/>
        <v>-0.850000000005821</v>
      </c>
    </row>
    <row r="16" ht="30" customHeight="1" spans="1:7">
      <c r="A16" s="11">
        <v>7</v>
      </c>
      <c r="B16" s="11" t="s">
        <v>69</v>
      </c>
      <c r="C16" s="15" t="s">
        <v>70</v>
      </c>
      <c r="D16" s="16">
        <f>ROUND(Лист1!X49*5.42*0.6,2)</f>
        <v>49340.97</v>
      </c>
      <c r="E16" s="16">
        <f t="shared" si="0"/>
        <v>50808.95</v>
      </c>
      <c r="F16" s="16">
        <v>50806</v>
      </c>
      <c r="G16" s="16">
        <f t="shared" si="1"/>
        <v>-2.94999999999709</v>
      </c>
    </row>
    <row r="17" ht="30" customHeight="1" spans="1:7">
      <c r="A17" s="11"/>
      <c r="B17" s="17" t="s">
        <v>71</v>
      </c>
      <c r="C17" s="18"/>
      <c r="D17" s="19">
        <f>SUM(D10:D16)</f>
        <v>2737573.6</v>
      </c>
      <c r="E17" s="19">
        <f>SUM(E10:E16)</f>
        <v>2819021.14</v>
      </c>
      <c r="F17" s="19">
        <f>SUM(F10:F16)</f>
        <v>2819008</v>
      </c>
      <c r="G17" s="19">
        <f t="shared" si="1"/>
        <v>-13.1400000001304</v>
      </c>
    </row>
    <row r="18" ht="30" customHeight="1" spans="1:7">
      <c r="A18" s="11"/>
      <c r="B18" s="12" t="s">
        <v>72</v>
      </c>
      <c r="C18" s="13"/>
      <c r="D18" s="13"/>
      <c r="E18" s="13"/>
      <c r="F18" s="13"/>
      <c r="G18" s="14"/>
    </row>
    <row r="19" ht="30" customHeight="1" spans="1:7">
      <c r="A19" s="11">
        <v>8</v>
      </c>
      <c r="B19" s="11" t="s">
        <v>73</v>
      </c>
      <c r="C19" s="15" t="s">
        <v>74</v>
      </c>
      <c r="D19" s="20" t="s">
        <v>75</v>
      </c>
      <c r="E19" s="20" t="s">
        <v>75</v>
      </c>
      <c r="F19" s="16">
        <v>7139</v>
      </c>
      <c r="G19" s="20" t="s">
        <v>75</v>
      </c>
    </row>
    <row r="20" ht="30" customHeight="1" spans="1:7">
      <c r="A20" s="11">
        <v>9</v>
      </c>
      <c r="B20" s="11" t="s">
        <v>73</v>
      </c>
      <c r="C20" s="15" t="s">
        <v>76</v>
      </c>
      <c r="D20" s="21"/>
      <c r="E20" s="21"/>
      <c r="F20" s="16">
        <v>36350</v>
      </c>
      <c r="G20" s="21"/>
    </row>
    <row r="21" ht="30" customHeight="1" spans="1:7">
      <c r="A21" s="11">
        <v>10</v>
      </c>
      <c r="B21" s="11" t="s">
        <v>77</v>
      </c>
      <c r="C21" s="15" t="s">
        <v>78</v>
      </c>
      <c r="D21" s="21"/>
      <c r="E21" s="21"/>
      <c r="F21" s="16">
        <v>53332</v>
      </c>
      <c r="G21" s="21"/>
    </row>
    <row r="22" ht="30" customHeight="1" spans="1:7">
      <c r="A22" s="11">
        <v>11</v>
      </c>
      <c r="B22" s="11" t="s">
        <v>79</v>
      </c>
      <c r="C22" s="15" t="s">
        <v>80</v>
      </c>
      <c r="D22" s="21"/>
      <c r="E22" s="21"/>
      <c r="F22" s="16">
        <v>37920</v>
      </c>
      <c r="G22" s="21"/>
    </row>
    <row r="23" ht="30" customHeight="1" spans="1:7">
      <c r="A23" s="11">
        <v>12</v>
      </c>
      <c r="B23" s="11" t="s">
        <v>81</v>
      </c>
      <c r="C23" s="15" t="s">
        <v>82</v>
      </c>
      <c r="D23" s="21"/>
      <c r="E23" s="21"/>
      <c r="F23" s="16">
        <v>45579</v>
      </c>
      <c r="G23" s="21"/>
    </row>
    <row r="24" ht="30" customHeight="1" spans="1:7">
      <c r="A24" s="11">
        <v>13</v>
      </c>
      <c r="B24" s="11" t="s">
        <v>83</v>
      </c>
      <c r="C24" s="15" t="s">
        <v>84</v>
      </c>
      <c r="D24" s="21"/>
      <c r="E24" s="21"/>
      <c r="F24" s="16">
        <v>47447</v>
      </c>
      <c r="G24" s="21"/>
    </row>
    <row r="25" ht="30" customHeight="1" spans="1:7">
      <c r="A25" s="11">
        <v>14</v>
      </c>
      <c r="B25" s="11" t="s">
        <v>85</v>
      </c>
      <c r="C25" s="15" t="s">
        <v>86</v>
      </c>
      <c r="D25" s="22"/>
      <c r="E25" s="22"/>
      <c r="F25" s="16">
        <v>44376</v>
      </c>
      <c r="G25" s="22"/>
    </row>
    <row r="26" ht="30" customHeight="1" spans="1:7">
      <c r="A26" s="11"/>
      <c r="B26" s="17" t="s">
        <v>87</v>
      </c>
      <c r="C26" s="18"/>
      <c r="D26" s="19">
        <f>ROUND(Лист1!AB10,2)</f>
        <v>264280.28</v>
      </c>
      <c r="E26" s="19">
        <f>ROUND(D26*G6,2)</f>
        <v>272143.07</v>
      </c>
      <c r="F26" s="19">
        <f>SUM(F19:F25)</f>
        <v>272143</v>
      </c>
      <c r="G26" s="19">
        <f>F26-E26</f>
        <v>-0.0700000000069849</v>
      </c>
    </row>
    <row r="27" ht="30" customHeight="1" spans="1:7">
      <c r="A27" s="11"/>
      <c r="B27" s="12" t="s">
        <v>88</v>
      </c>
      <c r="C27" s="13"/>
      <c r="D27" s="13"/>
      <c r="E27" s="13"/>
      <c r="F27" s="13"/>
      <c r="G27" s="14"/>
    </row>
    <row r="28" ht="30" customHeight="1" spans="1:7">
      <c r="A28" s="11">
        <v>15</v>
      </c>
      <c r="B28" s="11" t="s">
        <v>89</v>
      </c>
      <c r="C28" s="23" t="s">
        <v>90</v>
      </c>
      <c r="D28" s="16">
        <f>ROUND(Лист1!AF5*(339.92/62.72)*0.6,2)</f>
        <v>128807.3</v>
      </c>
      <c r="E28" s="16">
        <f>ROUND(D28*G6,2)</f>
        <v>132639.54</v>
      </c>
      <c r="F28" s="16">
        <v>132654</v>
      </c>
      <c r="G28" s="16">
        <f>F28-E28</f>
        <v>14.4599999999919</v>
      </c>
    </row>
    <row r="29" ht="30" customHeight="1" spans="1:7">
      <c r="A29" s="11">
        <v>16</v>
      </c>
      <c r="B29" s="11" t="s">
        <v>91</v>
      </c>
      <c r="C29" s="23" t="s">
        <v>92</v>
      </c>
      <c r="D29" s="16">
        <f>ROUND(Лист1!AF6*(339.92/62.72)*0.6,2)</f>
        <v>75129.03</v>
      </c>
      <c r="E29" s="16">
        <f>ROUND(D29*G6,2)</f>
        <v>77364.25</v>
      </c>
      <c r="F29" s="16">
        <v>77363</v>
      </c>
      <c r="G29" s="16">
        <f t="shared" ref="G29:G30" si="2">F29-E29</f>
        <v>-1.25</v>
      </c>
    </row>
    <row r="30" ht="30" customHeight="1" spans="1:7">
      <c r="A30" s="11"/>
      <c r="B30" s="17" t="s">
        <v>93</v>
      </c>
      <c r="C30" s="18"/>
      <c r="D30" s="19">
        <f>SUM(D28:D29)</f>
        <v>203936.33</v>
      </c>
      <c r="E30" s="19">
        <f>SUM(E28:E29)</f>
        <v>210003.79</v>
      </c>
      <c r="F30" s="19">
        <f>SUM(F28:F29)</f>
        <v>210017</v>
      </c>
      <c r="G30" s="19">
        <f t="shared" si="2"/>
        <v>13.2099999999919</v>
      </c>
    </row>
    <row r="31" ht="30" customHeight="1" spans="1:7">
      <c r="A31" s="11"/>
      <c r="B31" s="24"/>
      <c r="C31" s="25"/>
      <c r="D31" s="25"/>
      <c r="E31" s="25"/>
      <c r="F31" s="26"/>
      <c r="G31" s="27"/>
    </row>
    <row r="32" ht="30" customHeight="1" spans="1:7">
      <c r="A32" s="11"/>
      <c r="B32" s="11"/>
      <c r="C32" s="28"/>
      <c r="D32" s="19">
        <f>SUM(D17,D26,D30)</f>
        <v>3205790.21</v>
      </c>
      <c r="E32" s="19">
        <f>SUM(E17,E26,E30)</f>
        <v>3301168</v>
      </c>
      <c r="F32" s="19">
        <f>SUM(F17,F26,F30)</f>
        <v>3301168</v>
      </c>
      <c r="G32" s="19">
        <f>SUM(G17,G26,G30)</f>
        <v>-1.45519152283669e-10</v>
      </c>
    </row>
    <row r="33" ht="30" customHeight="1" spans="1:7">
      <c r="A33" s="29"/>
      <c r="B33" s="29"/>
      <c r="C33" s="29"/>
      <c r="D33" s="29"/>
      <c r="E33" s="29"/>
      <c r="F33" s="29"/>
      <c r="G33" s="29"/>
    </row>
    <row r="34" ht="30" customHeight="1" spans="1:7">
      <c r="A34" s="29"/>
      <c r="B34" s="29"/>
      <c r="C34" s="29"/>
      <c r="D34" s="29"/>
      <c r="E34" s="29"/>
      <c r="F34" s="29"/>
      <c r="G34" s="29"/>
    </row>
    <row r="35" ht="30" customHeight="1" spans="1:7">
      <c r="A35" s="29"/>
      <c r="B35" s="29"/>
      <c r="C35" s="29"/>
      <c r="D35" s="29"/>
      <c r="E35" s="29"/>
      <c r="F35" s="29"/>
      <c r="G35" s="29"/>
    </row>
    <row r="36" ht="30" customHeight="1" spans="1:7">
      <c r="A36" s="29"/>
      <c r="B36" s="29"/>
      <c r="C36" s="29"/>
      <c r="D36" s="29"/>
      <c r="E36" s="29"/>
      <c r="F36" s="29"/>
      <c r="G36" s="29"/>
    </row>
    <row r="37" ht="30" customHeight="1" spans="1:7">
      <c r="A37" s="29"/>
      <c r="B37" s="29"/>
      <c r="C37" s="29"/>
      <c r="D37" s="29"/>
      <c r="E37" s="29"/>
      <c r="F37" s="29"/>
      <c r="G37" s="29"/>
    </row>
    <row r="38" ht="30" customHeight="1" spans="1:7">
      <c r="A38" s="29"/>
      <c r="B38" s="29"/>
      <c r="C38" s="29"/>
      <c r="D38" s="29"/>
      <c r="E38" s="29"/>
      <c r="F38" s="29"/>
      <c r="G38" s="29"/>
    </row>
    <row r="39" ht="30" customHeight="1" spans="1:7">
      <c r="A39" s="29"/>
      <c r="B39" s="29"/>
      <c r="C39" s="29"/>
      <c r="D39" s="29"/>
      <c r="E39" s="29"/>
      <c r="F39" s="29"/>
      <c r="G39" s="29"/>
    </row>
    <row r="40" ht="30" customHeight="1" spans="1:7">
      <c r="A40" s="29"/>
      <c r="B40" s="29"/>
      <c r="C40" s="29"/>
      <c r="D40" s="29"/>
      <c r="E40" s="29"/>
      <c r="F40" s="29"/>
      <c r="G40" s="29"/>
    </row>
    <row r="41" ht="30" customHeight="1" spans="1:7">
      <c r="A41" s="29"/>
      <c r="B41" s="29"/>
      <c r="C41" s="29"/>
      <c r="D41" s="29"/>
      <c r="E41" s="29"/>
      <c r="F41" s="29"/>
      <c r="G41" s="29"/>
    </row>
    <row r="42" ht="30" customHeight="1" spans="1:7">
      <c r="A42" s="29"/>
      <c r="B42" s="29"/>
      <c r="C42" s="29"/>
      <c r="D42" s="29"/>
      <c r="E42" s="29"/>
      <c r="F42" s="29"/>
      <c r="G42" s="29"/>
    </row>
    <row r="43" ht="30" customHeight="1" spans="1:7">
      <c r="A43" s="29"/>
      <c r="B43" s="29"/>
      <c r="C43" s="29"/>
      <c r="D43" s="29"/>
      <c r="E43" s="29"/>
      <c r="F43" s="29"/>
      <c r="G43" s="29"/>
    </row>
    <row r="44" ht="30" customHeight="1" spans="1:7">
      <c r="A44" s="29"/>
      <c r="B44" s="29"/>
      <c r="C44" s="29"/>
      <c r="D44" s="29"/>
      <c r="E44" s="29"/>
      <c r="F44" s="29"/>
      <c r="G44" s="29"/>
    </row>
    <row r="45" spans="1:7">
      <c r="A45" s="29"/>
      <c r="B45" s="29"/>
      <c r="C45" s="29"/>
      <c r="D45" s="29"/>
      <c r="E45" s="29"/>
      <c r="F45" s="29"/>
      <c r="G45" s="29"/>
    </row>
    <row r="46" spans="1:7">
      <c r="A46" s="29"/>
      <c r="B46" s="29"/>
      <c r="C46" s="29"/>
      <c r="D46" s="29"/>
      <c r="E46" s="29"/>
      <c r="F46" s="29"/>
      <c r="G46" s="29"/>
    </row>
    <row r="47" spans="1:7">
      <c r="A47" s="29"/>
      <c r="B47" s="29"/>
      <c r="C47" s="29"/>
      <c r="D47" s="29"/>
      <c r="E47" s="29"/>
      <c r="F47" s="29"/>
      <c r="G47" s="29"/>
    </row>
    <row r="48" spans="1:7">
      <c r="A48" s="29"/>
      <c r="B48" s="29"/>
      <c r="C48" s="29"/>
      <c r="D48" s="29"/>
      <c r="E48" s="29"/>
      <c r="F48" s="29"/>
      <c r="G48" s="29"/>
    </row>
    <row r="49" spans="1:7">
      <c r="A49" s="29"/>
      <c r="B49" s="29"/>
      <c r="C49" s="29"/>
      <c r="D49" s="29"/>
      <c r="E49" s="29"/>
      <c r="F49" s="29"/>
      <c r="G49" s="29"/>
    </row>
    <row r="50" spans="1:7">
      <c r="A50" s="29"/>
      <c r="B50" s="29"/>
      <c r="C50" s="29"/>
      <c r="D50" s="29"/>
      <c r="E50" s="29"/>
      <c r="F50" s="29"/>
      <c r="G50" s="29"/>
    </row>
    <row r="51" spans="1:7">
      <c r="A51" s="29"/>
      <c r="B51" s="29"/>
      <c r="C51" s="29"/>
      <c r="D51" s="29"/>
      <c r="E51" s="29"/>
      <c r="F51" s="29"/>
      <c r="G51" s="29"/>
    </row>
    <row r="52" spans="1:7">
      <c r="A52" s="29"/>
      <c r="B52" s="29"/>
      <c r="C52" s="29"/>
      <c r="D52" s="29"/>
      <c r="E52" s="29"/>
      <c r="F52" s="29"/>
      <c r="G52" s="29"/>
    </row>
    <row r="53" spans="1:7">
      <c r="A53" s="29"/>
      <c r="B53" s="29"/>
      <c r="C53" s="29"/>
      <c r="D53" s="29"/>
      <c r="E53" s="29"/>
      <c r="F53" s="29"/>
      <c r="G53" s="29"/>
    </row>
    <row r="54" spans="1:7">
      <c r="A54" s="29"/>
      <c r="B54" s="29"/>
      <c r="C54" s="29"/>
      <c r="D54" s="29"/>
      <c r="E54" s="29"/>
      <c r="F54" s="29"/>
      <c r="G54" s="29"/>
    </row>
    <row r="55" spans="1:7">
      <c r="A55" s="29"/>
      <c r="B55" s="29"/>
      <c r="C55" s="29"/>
      <c r="D55" s="29"/>
      <c r="E55" s="29"/>
      <c r="F55" s="29"/>
      <c r="G55" s="29"/>
    </row>
    <row r="56" spans="1:7">
      <c r="A56" s="29"/>
      <c r="B56" s="29"/>
      <c r="C56" s="29"/>
      <c r="D56" s="29"/>
      <c r="E56" s="29"/>
      <c r="F56" s="29"/>
      <c r="G56" s="29"/>
    </row>
    <row r="57" spans="1:7">
      <c r="A57" s="29"/>
      <c r="B57" s="29"/>
      <c r="C57" s="29"/>
      <c r="D57" s="29"/>
      <c r="E57" s="29"/>
      <c r="F57" s="29"/>
      <c r="G57" s="29"/>
    </row>
    <row r="58" spans="1:7">
      <c r="A58" s="29"/>
      <c r="B58" s="29"/>
      <c r="C58" s="29"/>
      <c r="D58" s="29"/>
      <c r="E58" s="29"/>
      <c r="F58" s="29"/>
      <c r="G58" s="29"/>
    </row>
    <row r="59" spans="1:7">
      <c r="A59" s="29"/>
      <c r="B59" s="29"/>
      <c r="C59" s="29"/>
      <c r="D59" s="29"/>
      <c r="E59" s="29"/>
      <c r="F59" s="29"/>
      <c r="G59" s="29"/>
    </row>
    <row r="60" spans="1:7">
      <c r="A60" s="29"/>
      <c r="B60" s="29"/>
      <c r="C60" s="29"/>
      <c r="D60" s="29"/>
      <c r="E60" s="29"/>
      <c r="F60" s="29"/>
      <c r="G60" s="29"/>
    </row>
    <row r="61" spans="1:7">
      <c r="A61" s="29"/>
      <c r="B61" s="29"/>
      <c r="C61" s="29"/>
      <c r="D61" s="29"/>
      <c r="E61" s="29"/>
      <c r="F61" s="29"/>
      <c r="G61" s="29"/>
    </row>
    <row r="62" spans="1:7">
      <c r="A62" s="29"/>
      <c r="B62" s="29"/>
      <c r="C62" s="29"/>
      <c r="D62" s="29"/>
      <c r="E62" s="29"/>
      <c r="F62" s="29"/>
      <c r="G62" s="29"/>
    </row>
    <row r="63" spans="1:7">
      <c r="A63" s="29"/>
      <c r="B63" s="29"/>
      <c r="C63" s="29"/>
      <c r="D63" s="29"/>
      <c r="E63" s="29"/>
      <c r="F63" s="29"/>
      <c r="G63" s="29"/>
    </row>
    <row r="64" spans="1:7">
      <c r="A64" s="29"/>
      <c r="B64" s="29"/>
      <c r="C64" s="29"/>
      <c r="D64" s="29"/>
      <c r="E64" s="29"/>
      <c r="F64" s="29"/>
      <c r="G64" s="29"/>
    </row>
    <row r="65" spans="1:7">
      <c r="A65" s="29"/>
      <c r="B65" s="29"/>
      <c r="C65" s="29"/>
      <c r="D65" s="29"/>
      <c r="E65" s="29"/>
      <c r="F65" s="29"/>
      <c r="G65" s="29"/>
    </row>
    <row r="66" spans="1:7">
      <c r="A66" s="29"/>
      <c r="B66" s="29"/>
      <c r="C66" s="29"/>
      <c r="D66" s="29"/>
      <c r="E66" s="29"/>
      <c r="F66" s="29"/>
      <c r="G66" s="29"/>
    </row>
    <row r="67" spans="1:7">
      <c r="A67" s="29"/>
      <c r="B67" s="29"/>
      <c r="C67" s="29"/>
      <c r="D67" s="29"/>
      <c r="E67" s="29"/>
      <c r="F67" s="29"/>
      <c r="G67" s="29"/>
    </row>
    <row r="68" spans="1:7">
      <c r="A68" s="29"/>
      <c r="B68" s="29"/>
      <c r="C68" s="29"/>
      <c r="D68" s="29"/>
      <c r="E68" s="29"/>
      <c r="F68" s="29"/>
      <c r="G68" s="29"/>
    </row>
    <row r="69" spans="1:7">
      <c r="A69" s="29"/>
      <c r="B69" s="29"/>
      <c r="C69" s="29"/>
      <c r="D69" s="29"/>
      <c r="E69" s="29"/>
      <c r="F69" s="29"/>
      <c r="G69" s="29"/>
    </row>
    <row r="70" spans="1:7">
      <c r="A70" s="29"/>
      <c r="B70" s="29"/>
      <c r="C70" s="29"/>
      <c r="D70" s="29"/>
      <c r="E70" s="29"/>
      <c r="F70" s="29"/>
      <c r="G70" s="29"/>
    </row>
    <row r="71" spans="1:7">
      <c r="A71" s="29"/>
      <c r="B71" s="29"/>
      <c r="C71" s="29"/>
      <c r="D71" s="29"/>
      <c r="E71" s="29"/>
      <c r="F71" s="29"/>
      <c r="G71" s="29"/>
    </row>
    <row r="72" spans="1:7">
      <c r="A72" s="29"/>
      <c r="B72" s="29"/>
      <c r="C72" s="29"/>
      <c r="D72" s="29"/>
      <c r="E72" s="29"/>
      <c r="F72" s="29"/>
      <c r="G72" s="29"/>
    </row>
    <row r="73" spans="1:7">
      <c r="A73" s="29"/>
      <c r="B73" s="29"/>
      <c r="C73" s="29"/>
      <c r="D73" s="29"/>
      <c r="E73" s="29"/>
      <c r="F73" s="29"/>
      <c r="G73" s="29"/>
    </row>
    <row r="74" spans="1:7">
      <c r="A74" s="29"/>
      <c r="B74" s="29"/>
      <c r="C74" s="29"/>
      <c r="D74" s="29"/>
      <c r="E74" s="29"/>
      <c r="F74" s="29"/>
      <c r="G74" s="29"/>
    </row>
    <row r="75" spans="1:7">
      <c r="A75" s="29"/>
      <c r="B75" s="29"/>
      <c r="C75" s="29"/>
      <c r="D75" s="29"/>
      <c r="E75" s="29"/>
      <c r="F75" s="29"/>
      <c r="G75" s="29"/>
    </row>
    <row r="76" spans="1:7">
      <c r="A76" s="29"/>
      <c r="B76" s="29"/>
      <c r="C76" s="29"/>
      <c r="D76" s="29"/>
      <c r="E76" s="29"/>
      <c r="F76" s="29"/>
      <c r="G76" s="29"/>
    </row>
    <row r="77" spans="1:7">
      <c r="A77" s="29"/>
      <c r="B77" s="29"/>
      <c r="C77" s="29"/>
      <c r="D77" s="29"/>
      <c r="E77" s="29"/>
      <c r="F77" s="29"/>
      <c r="G77" s="29"/>
    </row>
    <row r="78" spans="1:7">
      <c r="A78" s="29"/>
      <c r="B78" s="29"/>
      <c r="C78" s="29"/>
      <c r="D78" s="29"/>
      <c r="E78" s="29"/>
      <c r="F78" s="29"/>
      <c r="G78" s="29"/>
    </row>
    <row r="79" spans="1:7">
      <c r="A79" s="29"/>
      <c r="B79" s="29"/>
      <c r="C79" s="29"/>
      <c r="D79" s="29"/>
      <c r="E79" s="29"/>
      <c r="F79" s="29"/>
      <c r="G79" s="29"/>
    </row>
    <row r="80" spans="1:7">
      <c r="A80" s="29"/>
      <c r="B80" s="29"/>
      <c r="C80" s="29"/>
      <c r="D80" s="29"/>
      <c r="E80" s="29"/>
      <c r="F80" s="29"/>
      <c r="G80" s="29"/>
    </row>
    <row r="81" spans="1:7">
      <c r="A81" s="29"/>
      <c r="B81" s="29"/>
      <c r="C81" s="29"/>
      <c r="D81" s="29"/>
      <c r="E81" s="29"/>
      <c r="F81" s="29"/>
      <c r="G81" s="29"/>
    </row>
    <row r="82" spans="1:7">
      <c r="A82" s="29"/>
      <c r="B82" s="29"/>
      <c r="C82" s="29"/>
      <c r="D82" s="29"/>
      <c r="E82" s="29"/>
      <c r="F82" s="29"/>
      <c r="G82" s="29"/>
    </row>
    <row r="83" spans="1:7">
      <c r="A83" s="29"/>
      <c r="B83" s="29"/>
      <c r="C83" s="29"/>
      <c r="D83" s="29"/>
      <c r="E83" s="29"/>
      <c r="F83" s="29"/>
      <c r="G83" s="29"/>
    </row>
    <row r="84" spans="1:7">
      <c r="A84" s="29"/>
      <c r="B84" s="29"/>
      <c r="C84" s="29"/>
      <c r="D84" s="29"/>
      <c r="E84" s="29"/>
      <c r="F84" s="29"/>
      <c r="G84" s="29"/>
    </row>
    <row r="85" spans="1:7">
      <c r="A85" s="29"/>
      <c r="B85" s="29"/>
      <c r="C85" s="29"/>
      <c r="D85" s="29"/>
      <c r="E85" s="29"/>
      <c r="F85" s="29"/>
      <c r="G85" s="29"/>
    </row>
    <row r="86" spans="1:7">
      <c r="A86" s="29"/>
      <c r="B86" s="29"/>
      <c r="C86" s="29"/>
      <c r="D86" s="29"/>
      <c r="E86" s="29"/>
      <c r="F86" s="29"/>
      <c r="G86" s="29"/>
    </row>
    <row r="87" spans="1:7">
      <c r="A87" s="29"/>
      <c r="B87" s="29"/>
      <c r="C87" s="29"/>
      <c r="D87" s="29"/>
      <c r="E87" s="29"/>
      <c r="F87" s="29"/>
      <c r="G87" s="29"/>
    </row>
    <row r="88" spans="1:7">
      <c r="A88" s="29"/>
      <c r="B88" s="29"/>
      <c r="C88" s="29"/>
      <c r="D88" s="29"/>
      <c r="E88" s="29"/>
      <c r="F88" s="29"/>
      <c r="G88" s="29"/>
    </row>
    <row r="89" spans="1:7">
      <c r="A89" s="29"/>
      <c r="B89" s="29"/>
      <c r="C89" s="29"/>
      <c r="D89" s="29"/>
      <c r="E89" s="29"/>
      <c r="F89" s="29"/>
      <c r="G89" s="29"/>
    </row>
    <row r="90" spans="1:7">
      <c r="A90" s="29"/>
      <c r="B90" s="29"/>
      <c r="C90" s="29"/>
      <c r="D90" s="29"/>
      <c r="E90" s="29"/>
      <c r="F90" s="29"/>
      <c r="G90" s="29"/>
    </row>
    <row r="91" spans="1:7">
      <c r="A91" s="29"/>
      <c r="B91" s="29"/>
      <c r="C91" s="29"/>
      <c r="D91" s="29"/>
      <c r="E91" s="29"/>
      <c r="F91" s="29"/>
      <c r="G91" s="29"/>
    </row>
    <row r="92" spans="1:7">
      <c r="A92" s="29"/>
      <c r="B92" s="29"/>
      <c r="C92" s="29"/>
      <c r="D92" s="29"/>
      <c r="E92" s="29"/>
      <c r="F92" s="29"/>
      <c r="G92" s="29"/>
    </row>
    <row r="93" spans="1:7">
      <c r="A93" s="29"/>
      <c r="B93" s="29"/>
      <c r="C93" s="29"/>
      <c r="D93" s="29"/>
      <c r="E93" s="29"/>
      <c r="F93" s="29"/>
      <c r="G93" s="29"/>
    </row>
    <row r="94" spans="1:7">
      <c r="A94" s="29"/>
      <c r="B94" s="29"/>
      <c r="C94" s="29"/>
      <c r="D94" s="29"/>
      <c r="E94" s="29"/>
      <c r="F94" s="29"/>
      <c r="G94" s="29"/>
    </row>
    <row r="95" spans="1:7">
      <c r="A95" s="29"/>
      <c r="B95" s="29"/>
      <c r="C95" s="29"/>
      <c r="D95" s="29"/>
      <c r="E95" s="29"/>
      <c r="F95" s="29"/>
      <c r="G95" s="29"/>
    </row>
    <row r="96" spans="1:7">
      <c r="A96" s="29"/>
      <c r="B96" s="29"/>
      <c r="C96" s="29"/>
      <c r="D96" s="29"/>
      <c r="E96" s="29"/>
      <c r="F96" s="29"/>
      <c r="G96" s="29"/>
    </row>
    <row r="97" spans="1:7">
      <c r="A97" s="29"/>
      <c r="B97" s="29"/>
      <c r="C97" s="29"/>
      <c r="D97" s="29"/>
      <c r="E97" s="29"/>
      <c r="F97" s="29"/>
      <c r="G97" s="29"/>
    </row>
    <row r="98" spans="1:7">
      <c r="A98" s="29"/>
      <c r="B98" s="29"/>
      <c r="C98" s="29"/>
      <c r="D98" s="29"/>
      <c r="E98" s="29"/>
      <c r="F98" s="29"/>
      <c r="G98" s="29"/>
    </row>
    <row r="99" spans="1:7">
      <c r="A99" s="29"/>
      <c r="B99" s="29"/>
      <c r="C99" s="29"/>
      <c r="D99" s="29"/>
      <c r="E99" s="29"/>
      <c r="F99" s="29"/>
      <c r="G99" s="29"/>
    </row>
    <row r="100" spans="1:7">
      <c r="A100" s="29"/>
      <c r="B100" s="29"/>
      <c r="C100" s="29"/>
      <c r="D100" s="29"/>
      <c r="E100" s="29"/>
      <c r="F100" s="29"/>
      <c r="G100" s="29"/>
    </row>
    <row r="101" spans="1:7">
      <c r="A101" s="29"/>
      <c r="B101" s="29"/>
      <c r="C101" s="29"/>
      <c r="D101" s="29"/>
      <c r="E101" s="29"/>
      <c r="F101" s="29"/>
      <c r="G101" s="29"/>
    </row>
    <row r="102" spans="1:7">
      <c r="A102" s="29"/>
      <c r="B102" s="29"/>
      <c r="C102" s="29"/>
      <c r="D102" s="29"/>
      <c r="E102" s="29"/>
      <c r="F102" s="29"/>
      <c r="G102" s="29"/>
    </row>
  </sheetData>
  <mergeCells count="13">
    <mergeCell ref="A1:G1"/>
    <mergeCell ref="B3:F3"/>
    <mergeCell ref="B5:C5"/>
    <mergeCell ref="B9:G9"/>
    <mergeCell ref="B17:C17"/>
    <mergeCell ref="B18:G18"/>
    <mergeCell ref="B26:C26"/>
    <mergeCell ref="B27:G27"/>
    <mergeCell ref="B30:C30"/>
    <mergeCell ref="B31:F31"/>
    <mergeCell ref="D19:D25"/>
    <mergeCell ref="E19:E25"/>
    <mergeCell ref="G19:G25"/>
  </mergeCells>
  <pageMargins left="0.708661417322835" right="0.708661417322835" top="0.748031496062992" bottom="0.748031496062992" header="0.31496062992126" footer="0.31496062992126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Приложение к служебной записке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easob</cp:lastModifiedBy>
  <dcterms:created xsi:type="dcterms:W3CDTF">2006-09-28T05:33:00Z</dcterms:created>
  <dcterms:modified xsi:type="dcterms:W3CDTF">2026-09-27T18:43:01Z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9B583C9DCB82441C876D9CE2C0765A9D_12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