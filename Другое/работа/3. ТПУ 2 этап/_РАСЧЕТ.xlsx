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0980"/>
  </bookViews>
  <sheets>
    <sheet name="Лист1" sheetId="1" r:id="rId1"/>
    <sheet name="Приложение к служебной записке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<sst xmlns="http://schemas.openxmlformats.org/spreadsheetml/2006/main" count="66" uniqueCount="63">
  <si>
    <t>Показатель</t>
  </si>
  <si>
    <t>Значение</t>
  </si>
  <si>
    <t>Стоимость РД 2 этап по ССРСС</t>
  </si>
  <si>
    <t>Дефлятор (по Пересчету цены ГК)</t>
  </si>
  <si>
    <t>Понижающий под лимиты (по Пересчету цены ГК)</t>
  </si>
  <si>
    <t>Стоимость РД 2 этап по ГК</t>
  </si>
  <si>
    <t>Том 2</t>
  </si>
  <si>
    <t>Том 3</t>
  </si>
  <si>
    <t>Том 4</t>
  </si>
  <si>
    <t>Том 5</t>
  </si>
  <si>
    <t>Том 6</t>
  </si>
  <si>
    <t>Том 7</t>
  </si>
  <si>
    <t>ИТОГО</t>
  </si>
  <si>
    <t>Пересчет стоимости рабочей документации (стадия Р) по объекту «Организация пассажирского сообщения от станции Москва — Октябрьская — Пассажирская до проектируемого ТПУ «Завидово» через остановочный пункт Путепроводная Октябрьской железной дороги». 1 Этап</t>
  </si>
  <si>
    <t xml:space="preserve">    После экспертизы стоимость контракта была скорректирована под выделенные лимиты бюджетных обязательств. Для этого использовался общий (комбинированный) коэффициент, который учитывает и инфляцию (индекс-дефлятор), и понижение цены до уровня финансирования. Так как этот коэффициент в документах напрямую не указан, он был выведен математически: сметная стоимость была разделена на итоговую цену государственного контракта (ГК).</t>
  </si>
  <si>
    <t xml:space="preserve">Комбинированный индекс К = </t>
  </si>
  <si>
    <t>Сметная стоимость / Стоимость по ГК</t>
  </si>
  <si>
    <r>
      <rPr>
        <i/>
        <sz val="12"/>
        <color theme="1"/>
        <rFont val="Times New Roman"/>
        <charset val="204"/>
      </rPr>
      <t xml:space="preserve">3 205 790,21 / 3 301 168,00 = </t>
    </r>
    <r>
      <rPr>
        <b/>
        <i/>
        <sz val="12"/>
        <color theme="1"/>
        <rFont val="Times New Roman"/>
        <charset val="204"/>
      </rPr>
      <t>1,02975172539441</t>
    </r>
  </si>
  <si>
    <t>№
п/п</t>
  </si>
  <si>
    <t>Шифр комплекта РД</t>
  </si>
  <si>
    <t>Наименование комплекта РД</t>
  </si>
  <si>
    <r>
      <rPr>
        <b/>
        <sz val="12"/>
        <color theme="1"/>
        <rFont val="Times New Roman"/>
        <charset val="204"/>
      </rPr>
      <t xml:space="preserve">Стоимость по Сметам </t>
    </r>
    <r>
      <rPr>
        <b/>
        <u/>
        <sz val="12"/>
        <color theme="1"/>
        <rFont val="Times New Roman"/>
        <charset val="204"/>
      </rPr>
      <t>без учета дефлятора</t>
    </r>
  </si>
  <si>
    <r>
      <rPr>
        <b/>
        <sz val="12"/>
        <color theme="1"/>
        <rFont val="Times New Roman"/>
        <charset val="204"/>
      </rPr>
      <t xml:space="preserve">Стоимость по сметам </t>
    </r>
    <r>
      <rPr>
        <b/>
        <u/>
        <sz val="12"/>
        <color theme="1"/>
        <rFont val="Times New Roman"/>
        <charset val="204"/>
      </rPr>
      <t>с учетом дефлятора</t>
    </r>
  </si>
  <si>
    <t>Стоимость по ведомости подрядчика, руб.
(без НДС)</t>
  </si>
  <si>
    <t>Отклонение, руб.</t>
  </si>
  <si>
    <t>Переустройство сетей связи</t>
  </si>
  <si>
    <t>002-ПСД/2026-НСС-1</t>
  </si>
  <si>
    <t>Переустройство кабелей связи ПАО "Ростелеком", ПАО "Вымпелком" на ПК111+17</t>
  </si>
  <si>
    <t>002-ПСД/2026-НСС-2</t>
  </si>
  <si>
    <t>Переустройство кабелей связи ПАО "Ростелеком, ПАО "Вымпелком" на ПК111+17</t>
  </si>
  <si>
    <t>002-ПСД/2026-НСС-3</t>
  </si>
  <si>
    <t>Переустройство кабелей связи АО "Воентелеком" на ПК 59+78,95</t>
  </si>
  <si>
    <t>002-ПСД/2026-НСС-4</t>
  </si>
  <si>
    <t>Защита кабелей связи ПАО "МТС" на ПК 58+35,44.</t>
  </si>
  <si>
    <t>002-ПСД/2026-НСС-5</t>
  </si>
  <si>
    <t>Переустройство и защита кабелей связи ООО "Связьсервис" на ПК 58+08,67 на ПК 59+00,00</t>
  </si>
  <si>
    <t>002-ПСД/2026-НСС-6</t>
  </si>
  <si>
    <t>Переустройство и защита кабелей связи ООО "Связьсервис" на ПК 108+85,90</t>
  </si>
  <si>
    <t>002-ПСД/2026-НСС-7</t>
  </si>
  <si>
    <t>Переустройство кабеля связи "Речьсвязьинформ" на ПК59+10,04</t>
  </si>
  <si>
    <t>Итого по переустройству сетей связи</t>
  </si>
  <si>
    <t>Переустройство линии электроснабжения</t>
  </si>
  <si>
    <t>002-ПСД/2026-ЭС-1</t>
  </si>
  <si>
    <t>Переустройство сетей наружного освещения на ПК 110+90.82.</t>
  </si>
  <si>
    <t>Определить данный параметр не представляется возможным, поскольку в сметных расчетах отсутствует привязка к пикетажу</t>
  </si>
  <si>
    <t>Переустройство КЛ-10кВ №18 ПС Мошково на ПК116+91,41</t>
  </si>
  <si>
    <t>002-ПСД/2026-ЭС-2</t>
  </si>
  <si>
    <t>Переустройство ВЛ-10кВ №18 ПС Энергетик на ПК108+12,74</t>
  </si>
  <si>
    <t>002-ПСД/2026-ЭС-3</t>
  </si>
  <si>
    <t>Переустройство ВЛ-10кВ на ПК110+58,12</t>
  </si>
  <si>
    <t>002-ПСД/2026-ЭС-4</t>
  </si>
  <si>
    <t>Переустройство ВЛ-10кВ на ПК100+35,9</t>
  </si>
  <si>
    <t>002-ПСД/2026-ЭС-5</t>
  </si>
  <si>
    <t>Переустройство ВЛ-10кВ на ПК87+94,24</t>
  </si>
  <si>
    <t>002-ПСД/2026-ЭС-6</t>
  </si>
  <si>
    <t>Переустройство ВЛ-10кВ на ПК78+75,6</t>
  </si>
  <si>
    <t>Итого по переустройству линий электроснабжения</t>
  </si>
  <si>
    <t>Переустройство (обустройство) сетей газоснабжения</t>
  </si>
  <si>
    <t>1-3-СГТ-Э1-ТКР3-1</t>
  </si>
  <si>
    <t>Наружные газопроводы d325</t>
  </si>
  <si>
    <t>№ 75-П-2026</t>
  </si>
  <si>
    <t>Наружные газопроводы d108</t>
  </si>
  <si>
    <t>Итого по переустройству сетей газоснабжения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</si>
</sst>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0.00000000000000"/>
    <numFmt numFmtId="181" formatCode="#\ ##0.00\ &quot;₽&quot;"/>
    <numFmt numFmtId="182" formatCode="0.000000000000000_ "/>
    <numFmt numFmtId="183" formatCode="0.00_ "/>
  </numFmts>
  <fonts count="32">
    <font>
      <sz val="11"/>
      <color theme="1"/>
      <name val="Calibri"/>
      <charset val="204"/>
      <scheme val="minor"/>
    </font>
    <font>
      <b/>
      <sz val="11"/>
      <color theme="1"/>
      <name val="Times New Roman"/>
      <charset val="204"/>
    </font>
    <font>
      <b/>
      <sz val="12"/>
      <color theme="1"/>
      <name val="Times New Roman"/>
      <charset val="204"/>
    </font>
    <font>
      <i/>
      <sz val="12"/>
      <color theme="1"/>
      <name val="Times New Roman"/>
      <charset val="204"/>
    </font>
    <font>
      <sz val="11"/>
      <color theme="0"/>
      <name val="Calibri"/>
      <charset val="204"/>
      <scheme val="minor"/>
    </font>
    <font>
      <sz val="11"/>
      <color theme="1"/>
      <name val="Times New Roman"/>
      <charset val="204"/>
    </font>
    <font>
      <sz val="12"/>
      <color theme="1"/>
      <name val="Times New Roman"/>
      <charset val="204"/>
    </font>
    <font>
      <sz val="10"/>
      <color theme="1"/>
      <name val="Times New Roman"/>
      <charset val="204"/>
    </font>
    <font>
      <b/>
      <sz val="11"/>
      <color theme="0"/>
      <name val="Calibri"/>
      <charset val="204"/>
      <scheme val="minor"/>
    </font>
    <font>
      <b/>
      <sz val="11"/>
      <color theme="1"/>
      <name val="Calibri"/>
      <charset val="20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u/>
      <sz val="12"/>
      <color theme="1"/>
      <name val="Times New Roman"/>
      <charset val="204"/>
    </font>
    <font>
      <b/>
      <i/>
      <sz val="12"/>
      <color theme="1"/>
      <name val="Times New Roman"/>
      <charset val="204"/>
    </font>
  </fonts>
  <fills count="39">
    <fill>
      <patternFill patternType="none"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/>
      <right/>
      <top style="thin">
        <color theme="1" tint="0.349986266670736"/>
      </top>
      <bottom style="thin">
        <color theme="1" tint="0.349986266670736"/>
      </bottom>
      <diagonal/>
    </border>
    <border>
      <left/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 style="thin">
        <color theme="1" tint="0.349986266670736"/>
      </right>
      <top/>
      <bottom/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/>
      <diagonal/>
    </border>
    <border>
      <left/>
      <right style="thin">
        <color theme="1" tint="0.349986266670736"/>
      </right>
      <top style="thin">
        <color theme="1" tint="0.349986266670736"/>
      </top>
      <bottom/>
      <diagonal/>
    </border>
    <border>
      <left style="thin">
        <color theme="1" tint="0.349986266670736"/>
      </left>
      <right/>
      <top/>
      <bottom style="thin">
        <color theme="1" tint="0.349986266670736"/>
      </bottom>
      <diagonal/>
    </border>
    <border>
      <left/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1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15" applyNumberFormat="0" applyAlignment="0" applyProtection="0">
      <alignment vertical="center"/>
    </xf>
    <xf numFmtId="0" fontId="20" fillId="11" borderId="16" applyNumberFormat="0" applyAlignment="0" applyProtection="0">
      <alignment vertical="center"/>
    </xf>
    <xf numFmtId="0" fontId="21" fillId="11" borderId="15" applyNumberFormat="0" applyAlignment="0" applyProtection="0">
      <alignment vertical="center"/>
    </xf>
    <xf numFmtId="0" fontId="22" fillId="12" borderId="17" applyNumberFormat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0" borderId="19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48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wrapText="1"/>
    </xf>
    <xf numFmtId="0" fontId="0" fillId="3" borderId="0" xfId="0" applyFill="1"/>
    <xf numFmtId="0" fontId="2" fillId="3" borderId="0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wrapText="1"/>
    </xf>
    <xf numFmtId="180" fontId="4" fillId="3" borderId="0" xfId="0" applyNumberFormat="1" applyFont="1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181" fontId="6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81" fontId="2" fillId="0" borderId="1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/>
    <xf numFmtId="181" fontId="9" fillId="0" borderId="0" xfId="0" applyNumberFormat="1" applyFont="1"/>
    <xf numFmtId="0" fontId="0" fillId="0" borderId="0" xfId="0" applyAlignment="1">
      <alignment horizontal="center" vertical="center"/>
    </xf>
    <xf numFmtId="181" fontId="0" fillId="0" borderId="0" xfId="0" applyNumberFormat="1"/>
    <xf numFmtId="182" fontId="0" fillId="0" borderId="0" xfId="0" applyNumberFormat="1"/>
    <xf numFmtId="183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181" fontId="0" fillId="6" borderId="0" xfId="0" applyNumberFormat="1" applyFill="1"/>
    <xf numFmtId="0" fontId="9" fillId="7" borderId="0" xfId="0" applyFont="1" applyFill="1"/>
    <xf numFmtId="181" fontId="9" fillId="7" borderId="0" xfId="0" applyNumberFormat="1" applyFont="1" applyFill="1"/>
    <xf numFmtId="180" fontId="9" fillId="0" borderId="0" xfId="0" applyNumberFormat="1" applyFont="1"/>
    <xf numFmtId="0" fontId="0" fillId="0" borderId="8" xfId="0" applyBorder="1"/>
    <xf numFmtId="181" fontId="0" fillId="0" borderId="9" xfId="0" applyNumberFormat="1" applyBorder="1"/>
    <xf numFmtId="0" fontId="0" fillId="0" borderId="10" xfId="0" applyBorder="1"/>
    <xf numFmtId="181" fontId="9" fillId="0" borderId="11" xfId="0" applyNumberFormat="1" applyFont="1" applyBorder="1"/>
    <xf numFmtId="181" fontId="9" fillId="8" borderId="11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D41"/>
  <sheetViews>
    <sheetView tabSelected="1" workbookViewId="0">
      <selection activeCell="F15" sqref="F15"/>
    </sheetView>
  </sheetViews>
  <sheetFormatPr defaultColWidth="9" defaultRowHeight="14.25"/>
  <cols>
    <col min="2" max="2" width="57" customWidth="1"/>
    <col min="3" max="3" width="22.283185840708" customWidth="1"/>
    <col min="4" max="5" width="25.5663716814159" customWidth="1"/>
    <col min="6" max="6" width="34.4247787610619" customWidth="1"/>
    <col min="10" max="10" width="22.5663716814159" customWidth="1"/>
    <col min="11" max="11" width="17.7079646017699" customWidth="1"/>
    <col min="14" max="14" width="25.141592920354" customWidth="1"/>
    <col min="15" max="15" width="20" customWidth="1"/>
    <col min="18" max="18" width="28.7079646017699" customWidth="1"/>
    <col min="19" max="19" width="29.5663716814159" customWidth="1"/>
    <col min="23" max="23" width="28.5663716814159" customWidth="1"/>
    <col min="24" max="24" width="30" customWidth="1"/>
    <col min="25" max="25" width="25.141592920354" customWidth="1"/>
    <col min="26" max="26" width="20.283185840708" customWidth="1"/>
    <col min="27" max="27" width="26.283185840708" customWidth="1"/>
    <col min="28" max="28" width="21.858407079646" customWidth="1"/>
    <col min="29" max="29" width="22" customWidth="1"/>
    <col min="30" max="30" width="18.283185840708" customWidth="1"/>
    <col min="31" max="32" width="22.7079646017699" customWidth="1"/>
    <col min="33" max="33" width="19.858407079646" customWidth="1"/>
  </cols>
  <sheetData>
    <row r="3" spans="2:30">
      <c r="B3" s="30" t="s">
        <v>0</v>
      </c>
      <c r="C3" s="30" t="s">
        <v>1</v>
      </c>
    </row>
    <row r="4" spans="2:30">
      <c r="B4" s="31" t="s">
        <v>2</v>
      </c>
      <c r="C4" s="32">
        <f>105864.73*1000</f>
        <v>105864730</v>
      </c>
      <c r="W4" s="33"/>
      <c r="X4" s="34"/>
    </row>
    <row r="5" spans="2:30">
      <c r="B5" t="s">
        <v>3</v>
      </c>
      <c r="C5">
        <v>1.1708576</v>
      </c>
      <c r="W5" s="33"/>
      <c r="X5" s="34"/>
    </row>
    <row r="6" spans="2:30">
      <c r="B6" t="s">
        <v>4</v>
      </c>
      <c r="C6" s="35">
        <f>0.854428678158163</f>
        <v>0.854428678158163</v>
      </c>
      <c r="W6" s="33"/>
      <c r="X6" s="34"/>
    </row>
    <row r="7" spans="2:30">
      <c r="C7" s="36">
        <f>ROUND(C4*C5*C6,2)</f>
        <v>105908590.97</v>
      </c>
      <c r="W7" s="33"/>
      <c r="X7" s="34"/>
    </row>
    <row r="8" spans="2:30">
      <c r="B8" t="s">
        <v>5</v>
      </c>
      <c r="C8" s="32">
        <v>105908590.98</v>
      </c>
      <c r="W8" s="33"/>
      <c r="X8" s="34"/>
      <c r="Y8"/>
      <c r="AB8" s="34"/>
      <c r="AC8" s="34"/>
      <c r="AD8" s="34"/>
    </row>
    <row r="9" spans="2:30">
      <c r="W9" s="33"/>
      <c r="X9" s="34"/>
    </row>
    <row r="10" spans="2:30">
      <c r="W10" s="33"/>
      <c r="X10" s="34"/>
    </row>
    <row r="11" spans="2:30">
      <c r="W11" s="33"/>
      <c r="X11" s="34"/>
    </row>
    <row r="12" spans="2:30">
      <c r="W12" s="33"/>
      <c r="X12" s="34"/>
    </row>
    <row r="13" spans="2:30">
      <c r="W13" s="37"/>
      <c r="X13" s="34"/>
    </row>
    <row r="14" spans="2:30">
      <c r="W14" s="38"/>
      <c r="X14" s="39"/>
    </row>
    <row r="15" spans="2:30">
      <c r="W15" s="40"/>
      <c r="X15" s="41"/>
    </row>
    <row r="16" spans="2:30">
      <c r="W16" s="31"/>
      <c r="X16" s="32"/>
    </row>
    <row r="17" spans="23:24">
      <c r="W17" s="31"/>
      <c r="X17" s="42"/>
    </row>
    <row r="19" spans="23:24">
      <c r="W19" s="43"/>
      <c r="X19" s="44"/>
    </row>
    <row r="20" spans="23:24">
      <c r="W20" s="45"/>
      <c r="X20" s="46">
        <f>ROUND(X19*X17,2)</f>
        <v>0</v>
      </c>
    </row>
    <row r="22" spans="23:24">
      <c r="W22" s="43" t="s">
        <v>6</v>
      </c>
      <c r="X22" s="44" t="e">
        <f>SUM(#REF!,#REF!)</f>
        <v>#REF!</v>
      </c>
    </row>
    <row r="23" spans="23:24">
      <c r="W23" s="45"/>
      <c r="X23" s="46" t="e">
        <f>ROUND(X22*X17,2)</f>
        <v>#REF!</v>
      </c>
    </row>
    <row r="25" spans="23:24">
      <c r="W25" s="43" t="s">
        <v>7</v>
      </c>
      <c r="X25" s="44" t="e">
        <f>SUM(#REF!,X7,X8)</f>
        <v>#REF!</v>
      </c>
    </row>
    <row r="26" spans="23:24">
      <c r="W26" s="45"/>
      <c r="X26" s="46" t="e">
        <f>ROUND(X25*X17,2)</f>
        <v>#REF!</v>
      </c>
    </row>
    <row r="28" spans="23:24">
      <c r="W28" s="43" t="s">
        <v>8</v>
      </c>
      <c r="X28" s="44">
        <f>SUM(X10)</f>
        <v>0</v>
      </c>
    </row>
    <row r="29" spans="23:24">
      <c r="W29" s="45"/>
      <c r="X29" s="46">
        <f>ROUND(X28*X17,2)</f>
        <v>0</v>
      </c>
    </row>
    <row r="31" spans="23:24">
      <c r="W31" s="43" t="s">
        <v>9</v>
      </c>
      <c r="X31" s="44" t="e">
        <f>SUM(#REF!,#REF!,#REF!,#REF!,X4,X5,X9)</f>
        <v>#REF!</v>
      </c>
    </row>
    <row r="32" spans="23:24">
      <c r="W32" s="45"/>
      <c r="X32" s="46" t="e">
        <f>ROUND(X31*X17,2)</f>
        <v>#REF!</v>
      </c>
    </row>
    <row r="34" spans="23:26">
      <c r="W34" s="43" t="s">
        <v>10</v>
      </c>
      <c r="X34" s="44" t="e">
        <f>SUM(#REF!,X6)</f>
        <v>#REF!</v>
      </c>
    </row>
    <row r="35" spans="23:26">
      <c r="W35" s="45"/>
      <c r="X35" s="46" t="e">
        <f>ROUND(X34*X17,2)</f>
        <v>#REF!</v>
      </c>
    </row>
    <row r="37" spans="23:26">
      <c r="W37" s="43" t="s">
        <v>11</v>
      </c>
      <c r="X37" s="44">
        <f>SUM(X11)</f>
        <v>0</v>
      </c>
    </row>
    <row r="38" spans="23:26">
      <c r="W38" s="45"/>
      <c r="X38" s="46">
        <f>ROUND(X37*X17,2)</f>
        <v>0</v>
      </c>
    </row>
    <row r="40" spans="23:26">
      <c r="W40" s="43" t="s">
        <v>12</v>
      </c>
      <c r="X40" s="44" t="e">
        <f>SUM(X19,X22,X25,X28,X31,X34,X37)</f>
        <v>#REF!</v>
      </c>
    </row>
    <row r="41" spans="23:26">
      <c r="W41" s="45"/>
      <c r="X41" s="47" t="e">
        <f>SUM(X20,X23,X26,X29,X32,X35,X38)</f>
        <v>#REF!</v>
      </c>
      <c r="Y41">
        <v>2819008</v>
      </c>
      <c r="Z41" s="34" t="e">
        <f>X41-Y41</f>
        <v>#REF!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2"/>
  <sheetViews>
    <sheetView topLeftCell="A17" workbookViewId="0">
      <selection activeCell="A1" sqref="A1:G32"/>
    </sheetView>
  </sheetViews>
  <sheetFormatPr defaultColWidth="9" defaultRowHeight="14.25" outlineLevelCol="6"/>
  <cols>
    <col min="1" max="1" width="4.85840707964602" style="1" customWidth="1"/>
    <col min="2" max="2" width="30.5663716814159" style="1" customWidth="1"/>
    <col min="3" max="3" width="47.7079646017699" style="1" customWidth="1"/>
    <col min="4" max="7" width="21.7079646017699" style="1" customWidth="1"/>
    <col min="8" max="16384" width="9.14159292035398" style="1"/>
  </cols>
  <sheetData>
    <row r="1" ht="44.25" customHeight="1" spans="1:7">
      <c r="A1" s="2" t="s">
        <v>13</v>
      </c>
      <c r="B1" s="2"/>
      <c r="C1" s="2"/>
      <c r="D1" s="2"/>
      <c r="E1" s="2"/>
      <c r="F1" s="2"/>
      <c r="G1" s="2"/>
    </row>
    <row r="2" ht="15" spans="1:7">
      <c r="A2" s="3"/>
      <c r="B2" s="3"/>
      <c r="C2" s="3"/>
      <c r="D2" s="4"/>
      <c r="E2" s="3"/>
      <c r="F2" s="3"/>
      <c r="G2" s="3"/>
    </row>
    <row r="3" ht="63.75" customHeight="1" spans="1:7">
      <c r="A3" s="3"/>
      <c r="B3" s="5" t="s">
        <v>14</v>
      </c>
      <c r="C3" s="5"/>
      <c r="D3" s="5"/>
      <c r="E3" s="5"/>
      <c r="F3" s="5"/>
      <c r="G3" s="6"/>
    </row>
    <row r="4" ht="26.25" customHeight="1" spans="1:7">
      <c r="A4" s="3"/>
      <c r="B4" s="5" t="s">
        <v>15</v>
      </c>
      <c r="C4" s="5" t="s">
        <v>16</v>
      </c>
      <c r="D4" s="5"/>
      <c r="E4" s="5"/>
      <c r="F4" s="5"/>
      <c r="G4" s="6"/>
    </row>
    <row r="5" ht="18" customHeight="1" spans="1:7">
      <c r="A5" s="3"/>
      <c r="B5" s="5" t="s">
        <v>17</v>
      </c>
      <c r="C5" s="5"/>
      <c r="D5" s="5"/>
      <c r="E5" s="5"/>
      <c r="F5" s="5"/>
      <c r="G5" s="6"/>
    </row>
    <row r="6" ht="18" customHeight="1" spans="1:7">
      <c r="A6" s="3"/>
      <c r="B6" s="3"/>
      <c r="C6" s="3"/>
      <c r="D6" s="3"/>
      <c r="E6" s="3"/>
      <c r="F6" s="3"/>
      <c r="G6" s="7" t="e">
        <f>Лист1!#REF!/D32</f>
        <v>#REF!</v>
      </c>
    </row>
    <row r="7" ht="69.75" customHeight="1" spans="1:7">
      <c r="A7" s="8" t="s">
        <v>18</v>
      </c>
      <c r="B7" s="9" t="s">
        <v>19</v>
      </c>
      <c r="C7" s="9" t="s">
        <v>20</v>
      </c>
      <c r="D7" s="8" t="s">
        <v>21</v>
      </c>
      <c r="E7" s="8" t="s">
        <v>22</v>
      </c>
      <c r="F7" s="8" t="s">
        <v>23</v>
      </c>
      <c r="G7" s="8" t="s">
        <v>24</v>
      </c>
    </row>
    <row r="8" spans="1:7">
      <c r="A8" s="10">
        <v>1</v>
      </c>
      <c r="B8" s="10">
        <v>2</v>
      </c>
      <c r="C8" s="10">
        <v>3</v>
      </c>
      <c r="D8" s="10">
        <v>4</v>
      </c>
      <c r="E8" s="10"/>
      <c r="F8" s="10">
        <v>5</v>
      </c>
      <c r="G8" s="10">
        <v>6</v>
      </c>
    </row>
    <row r="9" ht="30" customHeight="1" spans="1:7">
      <c r="A9" s="11"/>
      <c r="B9" s="12" t="s">
        <v>25</v>
      </c>
      <c r="C9" s="13"/>
      <c r="D9" s="13"/>
      <c r="E9" s="13"/>
      <c r="F9" s="13"/>
      <c r="G9" s="14"/>
    </row>
    <row r="10" ht="30" customHeight="1" spans="1:7">
      <c r="A10" s="11">
        <v>1</v>
      </c>
      <c r="B10" s="11" t="s">
        <v>26</v>
      </c>
      <c r="C10" s="15" t="s">
        <v>27</v>
      </c>
      <c r="D10" s="16">
        <f>ROUND(Лист1!X19*5.42*0.6,2)</f>
        <v>0</v>
      </c>
      <c r="E10" s="16" t="e">
        <f>ROUND(D10*$G$6,2)</f>
        <v>#REF!</v>
      </c>
      <c r="F10" s="16">
        <v>785628</v>
      </c>
      <c r="G10" s="16" t="e">
        <f>F10-E10</f>
        <v>#REF!</v>
      </c>
    </row>
    <row r="11" ht="30" customHeight="1" spans="1:7">
      <c r="A11" s="11">
        <v>2</v>
      </c>
      <c r="B11" s="11" t="s">
        <v>28</v>
      </c>
      <c r="C11" s="15" t="s">
        <v>29</v>
      </c>
      <c r="D11" s="16" t="e">
        <f>ROUND(Лист1!X22*5.42*0.6,2)</f>
        <v>#REF!</v>
      </c>
      <c r="E11" s="16" t="e">
        <f t="shared" ref="E11:E16" si="0">ROUND(D11*$G$6,2)</f>
        <v>#REF!</v>
      </c>
      <c r="F11" s="16">
        <v>181610</v>
      </c>
      <c r="G11" s="16" t="e">
        <f t="shared" ref="G11:G17" si="1">F11-E11</f>
        <v>#REF!</v>
      </c>
    </row>
    <row r="12" ht="30" customHeight="1" spans="1:7">
      <c r="A12" s="11">
        <v>3</v>
      </c>
      <c r="B12" s="11" t="s">
        <v>30</v>
      </c>
      <c r="C12" s="15" t="s">
        <v>31</v>
      </c>
      <c r="D12" s="16" t="e">
        <f>ROUND(Лист1!X25*5.42*0.6,2)</f>
        <v>#REF!</v>
      </c>
      <c r="E12" s="16" t="e">
        <f t="shared" si="0"/>
        <v>#REF!</v>
      </c>
      <c r="F12" s="16">
        <v>464382</v>
      </c>
      <c r="G12" s="16" t="e">
        <f t="shared" si="1"/>
        <v>#REF!</v>
      </c>
    </row>
    <row r="13" ht="30" customHeight="1" spans="1:7">
      <c r="A13" s="11">
        <v>4</v>
      </c>
      <c r="B13" s="11" t="s">
        <v>32</v>
      </c>
      <c r="C13" s="15" t="s">
        <v>33</v>
      </c>
      <c r="D13" s="16">
        <f>ROUND(Лист1!X28*5.42*0.6,2)</f>
        <v>0</v>
      </c>
      <c r="E13" s="16" t="e">
        <f t="shared" si="0"/>
        <v>#REF!</v>
      </c>
      <c r="F13" s="16">
        <v>50805</v>
      </c>
      <c r="G13" s="16" t="e">
        <f t="shared" si="1"/>
        <v>#REF!</v>
      </c>
    </row>
    <row r="14" ht="30" customHeight="1" spans="1:7">
      <c r="A14" s="11">
        <v>5</v>
      </c>
      <c r="B14" s="11" t="s">
        <v>34</v>
      </c>
      <c r="C14" s="15" t="s">
        <v>35</v>
      </c>
      <c r="D14" s="16" t="e">
        <f>ROUND(Лист1!X31*5.42*0.6,2)</f>
        <v>#REF!</v>
      </c>
      <c r="E14" s="16" t="e">
        <f t="shared" si="0"/>
        <v>#REF!</v>
      </c>
      <c r="F14" s="16">
        <v>1047890</v>
      </c>
      <c r="G14" s="16" t="e">
        <f t="shared" si="1"/>
        <v>#REF!</v>
      </c>
    </row>
    <row r="15" ht="30" customHeight="1" spans="1:7">
      <c r="A15" s="11">
        <v>6</v>
      </c>
      <c r="B15" s="11" t="s">
        <v>36</v>
      </c>
      <c r="C15" s="15" t="s">
        <v>37</v>
      </c>
      <c r="D15" s="16" t="e">
        <f>ROUND(Лист1!X34*5.42*0.6,2)</f>
        <v>#REF!</v>
      </c>
      <c r="E15" s="16" t="e">
        <f t="shared" si="0"/>
        <v>#REF!</v>
      </c>
      <c r="F15" s="16">
        <v>237887</v>
      </c>
      <c r="G15" s="16" t="e">
        <f t="shared" si="1"/>
        <v>#REF!</v>
      </c>
    </row>
    <row r="16" ht="30" customHeight="1" spans="1:7">
      <c r="A16" s="11">
        <v>7</v>
      </c>
      <c r="B16" s="11" t="s">
        <v>38</v>
      </c>
      <c r="C16" s="15" t="s">
        <v>39</v>
      </c>
      <c r="D16" s="16">
        <f>ROUND(Лист1!X37*5.42*0.6,2)</f>
        <v>0</v>
      </c>
      <c r="E16" s="16" t="e">
        <f t="shared" si="0"/>
        <v>#REF!</v>
      </c>
      <c r="F16" s="16">
        <v>50806</v>
      </c>
      <c r="G16" s="16" t="e">
        <f t="shared" si="1"/>
        <v>#REF!</v>
      </c>
    </row>
    <row r="17" ht="30" customHeight="1" spans="1:7">
      <c r="A17" s="11"/>
      <c r="B17" s="17" t="s">
        <v>40</v>
      </c>
      <c r="C17" s="18"/>
      <c r="D17" s="19" t="e">
        <f>SUM(D10:D16)</f>
        <v>#REF!</v>
      </c>
      <c r="E17" s="19" t="e">
        <f>SUM(E10:E16)</f>
        <v>#REF!</v>
      </c>
      <c r="F17" s="19">
        <f>SUM(F10:F16)</f>
        <v>2819008</v>
      </c>
      <c r="G17" s="19" t="e">
        <f t="shared" si="1"/>
        <v>#REF!</v>
      </c>
    </row>
    <row r="18" ht="30" customHeight="1" spans="1:7">
      <c r="A18" s="11"/>
      <c r="B18" s="12" t="s">
        <v>41</v>
      </c>
      <c r="C18" s="13"/>
      <c r="D18" s="13"/>
      <c r="E18" s="13"/>
      <c r="F18" s="13"/>
      <c r="G18" s="14"/>
    </row>
    <row r="19" ht="30" customHeight="1" spans="1:7">
      <c r="A19" s="11">
        <v>8</v>
      </c>
      <c r="B19" s="11" t="s">
        <v>42</v>
      </c>
      <c r="C19" s="15" t="s">
        <v>43</v>
      </c>
      <c r="D19" s="20" t="s">
        <v>44</v>
      </c>
      <c r="E19" s="20" t="s">
        <v>44</v>
      </c>
      <c r="F19" s="16">
        <v>7139</v>
      </c>
      <c r="G19" s="20" t="s">
        <v>44</v>
      </c>
    </row>
    <row r="20" ht="30" customHeight="1" spans="1:7">
      <c r="A20" s="11">
        <v>9</v>
      </c>
      <c r="B20" s="11" t="s">
        <v>42</v>
      </c>
      <c r="C20" s="15" t="s">
        <v>45</v>
      </c>
      <c r="D20" s="21"/>
      <c r="E20" s="21"/>
      <c r="F20" s="16">
        <v>36350</v>
      </c>
      <c r="G20" s="21"/>
    </row>
    <row r="21" ht="30" customHeight="1" spans="1:7">
      <c r="A21" s="11">
        <v>10</v>
      </c>
      <c r="B21" s="11" t="s">
        <v>46</v>
      </c>
      <c r="C21" s="15" t="s">
        <v>47</v>
      </c>
      <c r="D21" s="21"/>
      <c r="E21" s="21"/>
      <c r="F21" s="16">
        <v>53332</v>
      </c>
      <c r="G21" s="21"/>
    </row>
    <row r="22" ht="30" customHeight="1" spans="1:7">
      <c r="A22" s="11">
        <v>11</v>
      </c>
      <c r="B22" s="11" t="s">
        <v>48</v>
      </c>
      <c r="C22" s="15" t="s">
        <v>49</v>
      </c>
      <c r="D22" s="21"/>
      <c r="E22" s="21"/>
      <c r="F22" s="16">
        <v>37920</v>
      </c>
      <c r="G22" s="21"/>
    </row>
    <row r="23" ht="30" customHeight="1" spans="1:7">
      <c r="A23" s="11">
        <v>12</v>
      </c>
      <c r="B23" s="11" t="s">
        <v>50</v>
      </c>
      <c r="C23" s="15" t="s">
        <v>51</v>
      </c>
      <c r="D23" s="21"/>
      <c r="E23" s="21"/>
      <c r="F23" s="16">
        <v>45579</v>
      </c>
      <c r="G23" s="21"/>
    </row>
    <row r="24" ht="30" customHeight="1" spans="1:7">
      <c r="A24" s="11">
        <v>13</v>
      </c>
      <c r="B24" s="11" t="s">
        <v>52</v>
      </c>
      <c r="C24" s="15" t="s">
        <v>53</v>
      </c>
      <c r="D24" s="21"/>
      <c r="E24" s="21"/>
      <c r="F24" s="16">
        <v>47447</v>
      </c>
      <c r="G24" s="21"/>
    </row>
    <row r="25" ht="30" customHeight="1" spans="1:7">
      <c r="A25" s="11">
        <v>14</v>
      </c>
      <c r="B25" s="11" t="s">
        <v>54</v>
      </c>
      <c r="C25" s="15" t="s">
        <v>55</v>
      </c>
      <c r="D25" s="22"/>
      <c r="E25" s="22"/>
      <c r="F25" s="16">
        <v>44376</v>
      </c>
      <c r="G25" s="22"/>
    </row>
    <row r="26" ht="30" customHeight="1" spans="1:7">
      <c r="A26" s="11"/>
      <c r="B26" s="17" t="s">
        <v>56</v>
      </c>
      <c r="C26" s="18"/>
      <c r="D26" s="19" t="e">
        <f>ROUND(Лист1!#REF!,2)</f>
        <v>#REF!</v>
      </c>
      <c r="E26" s="19" t="e">
        <f>ROUND(D26*G6,2)</f>
        <v>#REF!</v>
      </c>
      <c r="F26" s="19">
        <f>SUM(F19:F25)</f>
        <v>272143</v>
      </c>
      <c r="G26" s="19" t="e">
        <f>F26-E26</f>
        <v>#REF!</v>
      </c>
    </row>
    <row r="27" ht="30" customHeight="1" spans="1:7">
      <c r="A27" s="11"/>
      <c r="B27" s="12" t="s">
        <v>57</v>
      </c>
      <c r="C27" s="13"/>
      <c r="D27" s="13"/>
      <c r="E27" s="13"/>
      <c r="F27" s="13"/>
      <c r="G27" s="14"/>
    </row>
    <row r="28" ht="30" customHeight="1" spans="1:7">
      <c r="A28" s="11">
        <v>15</v>
      </c>
      <c r="B28" s="11" t="s">
        <v>58</v>
      </c>
      <c r="C28" s="23" t="s">
        <v>59</v>
      </c>
      <c r="D28" s="16" t="e">
        <f>ROUND(Лист1!#REF!*(339.92/62.72)*0.6,2)</f>
        <v>#REF!</v>
      </c>
      <c r="E28" s="16" t="e">
        <f>ROUND(D28*G6,2)</f>
        <v>#REF!</v>
      </c>
      <c r="F28" s="16">
        <v>132654</v>
      </c>
      <c r="G28" s="16" t="e">
        <f>F28-E28</f>
        <v>#REF!</v>
      </c>
    </row>
    <row r="29" ht="30" customHeight="1" spans="1:7">
      <c r="A29" s="11">
        <v>16</v>
      </c>
      <c r="B29" s="11" t="s">
        <v>60</v>
      </c>
      <c r="C29" s="23" t="s">
        <v>61</v>
      </c>
      <c r="D29" s="16" t="e">
        <f>ROUND(Лист1!#REF!*(339.92/62.72)*0.6,2)</f>
        <v>#REF!</v>
      </c>
      <c r="E29" s="16" t="e">
        <f>ROUND(D29*G6,2)</f>
        <v>#REF!</v>
      </c>
      <c r="F29" s="16">
        <v>77363</v>
      </c>
      <c r="G29" s="16" t="e">
        <f t="shared" ref="G29:G30" si="2">F29-E29</f>
        <v>#REF!</v>
      </c>
    </row>
    <row r="30" ht="30" customHeight="1" spans="1:7">
      <c r="A30" s="11"/>
      <c r="B30" s="17" t="s">
        <v>62</v>
      </c>
      <c r="C30" s="18"/>
      <c r="D30" s="19" t="e">
        <f>SUM(D28:D29)</f>
        <v>#REF!</v>
      </c>
      <c r="E30" s="19" t="e">
        <f>SUM(E28:E29)</f>
        <v>#REF!</v>
      </c>
      <c r="F30" s="19">
        <f>SUM(F28:F29)</f>
        <v>210017</v>
      </c>
      <c r="G30" s="19" t="e">
        <f t="shared" si="2"/>
        <v>#REF!</v>
      </c>
    </row>
    <row r="31" ht="30" customHeight="1" spans="1:7">
      <c r="A31" s="11"/>
      <c r="B31" s="24"/>
      <c r="C31" s="25"/>
      <c r="D31" s="25"/>
      <c r="E31" s="25"/>
      <c r="F31" s="26"/>
      <c r="G31" s="27"/>
    </row>
    <row r="32" ht="30" customHeight="1" spans="1:7">
      <c r="A32" s="11"/>
      <c r="B32" s="11"/>
      <c r="C32" s="28"/>
      <c r="D32" s="19" t="e">
        <f>SUM(D17,D26,D30)</f>
        <v>#REF!</v>
      </c>
      <c r="E32" s="19" t="e">
        <f>SUM(E17,E26,E30)</f>
        <v>#REF!</v>
      </c>
      <c r="F32" s="19">
        <f>SUM(F17,F26,F30)</f>
        <v>3301168</v>
      </c>
      <c r="G32" s="19" t="e">
        <f>SUM(G17,G26,G30)</f>
        <v>#REF!</v>
      </c>
    </row>
    <row r="33" ht="30" customHeight="1" spans="1:7">
      <c r="A33" s="29"/>
      <c r="B33" s="29"/>
      <c r="C33" s="29"/>
      <c r="D33" s="29"/>
      <c r="E33" s="29"/>
      <c r="F33" s="29"/>
      <c r="G33" s="29"/>
    </row>
    <row r="34" ht="30" customHeight="1" spans="1:7">
      <c r="A34" s="29"/>
      <c r="B34" s="29"/>
      <c r="C34" s="29"/>
      <c r="D34" s="29"/>
      <c r="E34" s="29"/>
      <c r="F34" s="29"/>
      <c r="G34" s="29"/>
    </row>
    <row r="35" ht="30" customHeight="1" spans="1:7">
      <c r="A35" s="29"/>
      <c r="B35" s="29"/>
      <c r="C35" s="29"/>
      <c r="D35" s="29"/>
      <c r="E35" s="29"/>
      <c r="F35" s="29"/>
      <c r="G35" s="29"/>
    </row>
    <row r="36" ht="30" customHeight="1" spans="1:7">
      <c r="A36" s="29"/>
      <c r="B36" s="29"/>
      <c r="C36" s="29"/>
      <c r="D36" s="29"/>
      <c r="E36" s="29"/>
      <c r="F36" s="29"/>
      <c r="G36" s="29"/>
    </row>
    <row r="37" ht="30" customHeight="1" spans="1:7">
      <c r="A37" s="29"/>
      <c r="B37" s="29"/>
      <c r="C37" s="29"/>
      <c r="D37" s="29"/>
      <c r="E37" s="29"/>
      <c r="F37" s="29"/>
      <c r="G37" s="29"/>
    </row>
    <row r="38" ht="30" customHeight="1" spans="1:7">
      <c r="A38" s="29"/>
      <c r="B38" s="29"/>
      <c r="C38" s="29"/>
      <c r="D38" s="29"/>
      <c r="E38" s="29"/>
      <c r="F38" s="29"/>
      <c r="G38" s="29"/>
    </row>
    <row r="39" ht="30" customHeight="1" spans="1:7">
      <c r="A39" s="29"/>
      <c r="B39" s="29"/>
      <c r="C39" s="29"/>
      <c r="D39" s="29"/>
      <c r="E39" s="29"/>
      <c r="F39" s="29"/>
      <c r="G39" s="29"/>
    </row>
    <row r="40" ht="30" customHeight="1" spans="1:7">
      <c r="A40" s="29"/>
      <c r="B40" s="29"/>
      <c r="C40" s="29"/>
      <c r="D40" s="29"/>
      <c r="E40" s="29"/>
      <c r="F40" s="29"/>
      <c r="G40" s="29"/>
    </row>
    <row r="41" ht="30" customHeight="1" spans="1:7">
      <c r="A41" s="29"/>
      <c r="B41" s="29"/>
      <c r="C41" s="29"/>
      <c r="D41" s="29"/>
      <c r="E41" s="29"/>
      <c r="F41" s="29"/>
      <c r="G41" s="29"/>
    </row>
    <row r="42" ht="30" customHeight="1" spans="1:7">
      <c r="A42" s="29"/>
      <c r="B42" s="29"/>
      <c r="C42" s="29"/>
      <c r="D42" s="29"/>
      <c r="E42" s="29"/>
      <c r="F42" s="29"/>
      <c r="G42" s="29"/>
    </row>
    <row r="43" ht="30" customHeight="1" spans="1:7">
      <c r="A43" s="29"/>
      <c r="B43" s="29"/>
      <c r="C43" s="29"/>
      <c r="D43" s="29"/>
      <c r="E43" s="29"/>
      <c r="F43" s="29"/>
      <c r="G43" s="29"/>
    </row>
    <row r="44" ht="30" customHeight="1" spans="1:7">
      <c r="A44" s="29"/>
      <c r="B44" s="29"/>
      <c r="C44" s="29"/>
      <c r="D44" s="29"/>
      <c r="E44" s="29"/>
      <c r="F44" s="29"/>
      <c r="G44" s="29"/>
    </row>
    <row r="45" spans="1:7">
      <c r="A45" s="29"/>
      <c r="B45" s="29"/>
      <c r="C45" s="29"/>
      <c r="D45" s="29"/>
      <c r="E45" s="29"/>
      <c r="F45" s="29"/>
      <c r="G45" s="29"/>
    </row>
    <row r="46" spans="1:7">
      <c r="A46" s="29"/>
      <c r="B46" s="29"/>
      <c r="C46" s="29"/>
      <c r="D46" s="29"/>
      <c r="E46" s="29"/>
      <c r="F46" s="29"/>
      <c r="G46" s="29"/>
    </row>
    <row r="47" spans="1:7">
      <c r="A47" s="29"/>
      <c r="B47" s="29"/>
      <c r="C47" s="29"/>
      <c r="D47" s="29"/>
      <c r="E47" s="29"/>
      <c r="F47" s="29"/>
      <c r="G47" s="29"/>
    </row>
    <row r="48" spans="1:7">
      <c r="A48" s="29"/>
      <c r="B48" s="29"/>
      <c r="C48" s="29"/>
      <c r="D48" s="29"/>
      <c r="E48" s="29"/>
      <c r="F48" s="29"/>
      <c r="G48" s="29"/>
    </row>
    <row r="49" spans="1:7">
      <c r="A49" s="29"/>
      <c r="B49" s="29"/>
      <c r="C49" s="29"/>
      <c r="D49" s="29"/>
      <c r="E49" s="29"/>
      <c r="F49" s="29"/>
      <c r="G49" s="29"/>
    </row>
    <row r="50" spans="1:7">
      <c r="A50" s="29"/>
      <c r="B50" s="29"/>
      <c r="C50" s="29"/>
      <c r="D50" s="29"/>
      <c r="E50" s="29"/>
      <c r="F50" s="29"/>
      <c r="G50" s="29"/>
    </row>
    <row r="51" spans="1:7">
      <c r="A51" s="29"/>
      <c r="B51" s="29"/>
      <c r="C51" s="29"/>
      <c r="D51" s="29"/>
      <c r="E51" s="29"/>
      <c r="F51" s="29"/>
      <c r="G51" s="29"/>
    </row>
    <row r="52" spans="1:7">
      <c r="A52" s="29"/>
      <c r="B52" s="29"/>
      <c r="C52" s="29"/>
      <c r="D52" s="29"/>
      <c r="E52" s="29"/>
      <c r="F52" s="29"/>
      <c r="G52" s="29"/>
    </row>
    <row r="53" spans="1:7">
      <c r="A53" s="29"/>
      <c r="B53" s="29"/>
      <c r="C53" s="29"/>
      <c r="D53" s="29"/>
      <c r="E53" s="29"/>
      <c r="F53" s="29"/>
      <c r="G53" s="29"/>
    </row>
    <row r="54" spans="1:7">
      <c r="A54" s="29"/>
      <c r="B54" s="29"/>
      <c r="C54" s="29"/>
      <c r="D54" s="29"/>
      <c r="E54" s="29"/>
      <c r="F54" s="29"/>
      <c r="G54" s="29"/>
    </row>
    <row r="55" spans="1:7">
      <c r="A55" s="29"/>
      <c r="B55" s="29"/>
      <c r="C55" s="29"/>
      <c r="D55" s="29"/>
      <c r="E55" s="29"/>
      <c r="F55" s="29"/>
      <c r="G55" s="29"/>
    </row>
    <row r="56" spans="1:7">
      <c r="A56" s="29"/>
      <c r="B56" s="29"/>
      <c r="C56" s="29"/>
      <c r="D56" s="29"/>
      <c r="E56" s="29"/>
      <c r="F56" s="29"/>
      <c r="G56" s="29"/>
    </row>
    <row r="57" spans="1:7">
      <c r="A57" s="29"/>
      <c r="B57" s="29"/>
      <c r="C57" s="29"/>
      <c r="D57" s="29"/>
      <c r="E57" s="29"/>
      <c r="F57" s="29"/>
      <c r="G57" s="29"/>
    </row>
    <row r="58" spans="1:7">
      <c r="A58" s="29"/>
      <c r="B58" s="29"/>
      <c r="C58" s="29"/>
      <c r="D58" s="29"/>
      <c r="E58" s="29"/>
      <c r="F58" s="29"/>
      <c r="G58" s="29"/>
    </row>
    <row r="59" spans="1:7">
      <c r="A59" s="29"/>
      <c r="B59" s="29"/>
      <c r="C59" s="29"/>
      <c r="D59" s="29"/>
      <c r="E59" s="29"/>
      <c r="F59" s="29"/>
      <c r="G59" s="29"/>
    </row>
    <row r="60" spans="1:7">
      <c r="A60" s="29"/>
      <c r="B60" s="29"/>
      <c r="C60" s="29"/>
      <c r="D60" s="29"/>
      <c r="E60" s="29"/>
      <c r="F60" s="29"/>
      <c r="G60" s="29"/>
    </row>
    <row r="61" spans="1:7">
      <c r="A61" s="29"/>
      <c r="B61" s="29"/>
      <c r="C61" s="29"/>
      <c r="D61" s="29"/>
      <c r="E61" s="29"/>
      <c r="F61" s="29"/>
      <c r="G61" s="29"/>
    </row>
    <row r="62" spans="1:7">
      <c r="A62" s="29"/>
      <c r="B62" s="29"/>
      <c r="C62" s="29"/>
      <c r="D62" s="29"/>
      <c r="E62" s="29"/>
      <c r="F62" s="29"/>
      <c r="G62" s="29"/>
    </row>
    <row r="63" spans="1:7">
      <c r="A63" s="29"/>
      <c r="B63" s="29"/>
      <c r="C63" s="29"/>
      <c r="D63" s="29"/>
      <c r="E63" s="29"/>
      <c r="F63" s="29"/>
      <c r="G63" s="29"/>
    </row>
    <row r="64" spans="1:7">
      <c r="A64" s="29"/>
      <c r="B64" s="29"/>
      <c r="C64" s="29"/>
      <c r="D64" s="29"/>
      <c r="E64" s="29"/>
      <c r="F64" s="29"/>
      <c r="G64" s="29"/>
    </row>
    <row r="65" spans="1:7">
      <c r="A65" s="29"/>
      <c r="B65" s="29"/>
      <c r="C65" s="29"/>
      <c r="D65" s="29"/>
      <c r="E65" s="29"/>
      <c r="F65" s="29"/>
      <c r="G65" s="29"/>
    </row>
    <row r="66" spans="1:7">
      <c r="A66" s="29"/>
      <c r="B66" s="29"/>
      <c r="C66" s="29"/>
      <c r="D66" s="29"/>
      <c r="E66" s="29"/>
      <c r="F66" s="29"/>
      <c r="G66" s="29"/>
    </row>
    <row r="67" spans="1:7">
      <c r="A67" s="29"/>
      <c r="B67" s="29"/>
      <c r="C67" s="29"/>
      <c r="D67" s="29"/>
      <c r="E67" s="29"/>
      <c r="F67" s="29"/>
      <c r="G67" s="29"/>
    </row>
    <row r="68" spans="1:7">
      <c r="A68" s="29"/>
      <c r="B68" s="29"/>
      <c r="C68" s="29"/>
      <c r="D68" s="29"/>
      <c r="E68" s="29"/>
      <c r="F68" s="29"/>
      <c r="G68" s="29"/>
    </row>
    <row r="69" spans="1:7">
      <c r="A69" s="29"/>
      <c r="B69" s="29"/>
      <c r="C69" s="29"/>
      <c r="D69" s="29"/>
      <c r="E69" s="29"/>
      <c r="F69" s="29"/>
      <c r="G69" s="29"/>
    </row>
    <row r="70" spans="1:7">
      <c r="A70" s="29"/>
      <c r="B70" s="29"/>
      <c r="C70" s="29"/>
      <c r="D70" s="29"/>
      <c r="E70" s="29"/>
      <c r="F70" s="29"/>
      <c r="G70" s="29"/>
    </row>
    <row r="71" spans="1:7">
      <c r="A71" s="29"/>
      <c r="B71" s="29"/>
      <c r="C71" s="29"/>
      <c r="D71" s="29"/>
      <c r="E71" s="29"/>
      <c r="F71" s="29"/>
      <c r="G71" s="29"/>
    </row>
    <row r="72" spans="1:7">
      <c r="A72" s="29"/>
      <c r="B72" s="29"/>
      <c r="C72" s="29"/>
      <c r="D72" s="29"/>
      <c r="E72" s="29"/>
      <c r="F72" s="29"/>
      <c r="G72" s="29"/>
    </row>
    <row r="73" spans="1:7">
      <c r="A73" s="29"/>
      <c r="B73" s="29"/>
      <c r="C73" s="29"/>
      <c r="D73" s="29"/>
      <c r="E73" s="29"/>
      <c r="F73" s="29"/>
      <c r="G73" s="29"/>
    </row>
    <row r="74" spans="1:7">
      <c r="A74" s="29"/>
      <c r="B74" s="29"/>
      <c r="C74" s="29"/>
      <c r="D74" s="29"/>
      <c r="E74" s="29"/>
      <c r="F74" s="29"/>
      <c r="G74" s="29"/>
    </row>
    <row r="75" spans="1:7">
      <c r="A75" s="29"/>
      <c r="B75" s="29"/>
      <c r="C75" s="29"/>
      <c r="D75" s="29"/>
      <c r="E75" s="29"/>
      <c r="F75" s="29"/>
      <c r="G75" s="29"/>
    </row>
    <row r="76" spans="1:7">
      <c r="A76" s="29"/>
      <c r="B76" s="29"/>
      <c r="C76" s="29"/>
      <c r="D76" s="29"/>
      <c r="E76" s="29"/>
      <c r="F76" s="29"/>
      <c r="G76" s="29"/>
    </row>
    <row r="77" spans="1:7">
      <c r="A77" s="29"/>
      <c r="B77" s="29"/>
      <c r="C77" s="29"/>
      <c r="D77" s="29"/>
      <c r="E77" s="29"/>
      <c r="F77" s="29"/>
      <c r="G77" s="29"/>
    </row>
    <row r="78" spans="1:7">
      <c r="A78" s="29"/>
      <c r="B78" s="29"/>
      <c r="C78" s="29"/>
      <c r="D78" s="29"/>
      <c r="E78" s="29"/>
      <c r="F78" s="29"/>
      <c r="G78" s="29"/>
    </row>
    <row r="79" spans="1:7">
      <c r="A79" s="29"/>
      <c r="B79" s="29"/>
      <c r="C79" s="29"/>
      <c r="D79" s="29"/>
      <c r="E79" s="29"/>
      <c r="F79" s="29"/>
      <c r="G79" s="29"/>
    </row>
    <row r="80" spans="1:7">
      <c r="A80" s="29"/>
      <c r="B80" s="29"/>
      <c r="C80" s="29"/>
      <c r="D80" s="29"/>
      <c r="E80" s="29"/>
      <c r="F80" s="29"/>
      <c r="G80" s="29"/>
    </row>
    <row r="81" spans="1:7">
      <c r="A81" s="29"/>
      <c r="B81" s="29"/>
      <c r="C81" s="29"/>
      <c r="D81" s="29"/>
      <c r="E81" s="29"/>
      <c r="F81" s="29"/>
      <c r="G81" s="29"/>
    </row>
    <row r="82" spans="1:7">
      <c r="A82" s="29"/>
      <c r="B82" s="29"/>
      <c r="C82" s="29"/>
      <c r="D82" s="29"/>
      <c r="E82" s="29"/>
      <c r="F82" s="29"/>
      <c r="G82" s="29"/>
    </row>
    <row r="83" spans="1:7">
      <c r="A83" s="29"/>
      <c r="B83" s="29"/>
      <c r="C83" s="29"/>
      <c r="D83" s="29"/>
      <c r="E83" s="29"/>
      <c r="F83" s="29"/>
      <c r="G83" s="29"/>
    </row>
    <row r="84" spans="1:7">
      <c r="A84" s="29"/>
      <c r="B84" s="29"/>
      <c r="C84" s="29"/>
      <c r="D84" s="29"/>
      <c r="E84" s="29"/>
      <c r="F84" s="29"/>
      <c r="G84" s="29"/>
    </row>
    <row r="85" spans="1:7">
      <c r="A85" s="29"/>
      <c r="B85" s="29"/>
      <c r="C85" s="29"/>
      <c r="D85" s="29"/>
      <c r="E85" s="29"/>
      <c r="F85" s="29"/>
      <c r="G85" s="29"/>
    </row>
    <row r="86" spans="1:7">
      <c r="A86" s="29"/>
      <c r="B86" s="29"/>
      <c r="C86" s="29"/>
      <c r="D86" s="29"/>
      <c r="E86" s="29"/>
      <c r="F86" s="29"/>
      <c r="G86" s="29"/>
    </row>
    <row r="87" spans="1:7">
      <c r="A87" s="29"/>
      <c r="B87" s="29"/>
      <c r="C87" s="29"/>
      <c r="D87" s="29"/>
      <c r="E87" s="29"/>
      <c r="F87" s="29"/>
      <c r="G87" s="29"/>
    </row>
    <row r="88" spans="1:7">
      <c r="A88" s="29"/>
      <c r="B88" s="29"/>
      <c r="C88" s="29"/>
      <c r="D88" s="29"/>
      <c r="E88" s="29"/>
      <c r="F88" s="29"/>
      <c r="G88" s="29"/>
    </row>
    <row r="89" spans="1:7">
      <c r="A89" s="29"/>
      <c r="B89" s="29"/>
      <c r="C89" s="29"/>
      <c r="D89" s="29"/>
      <c r="E89" s="29"/>
      <c r="F89" s="29"/>
      <c r="G89" s="29"/>
    </row>
    <row r="90" spans="1:7">
      <c r="A90" s="29"/>
      <c r="B90" s="29"/>
      <c r="C90" s="29"/>
      <c r="D90" s="29"/>
      <c r="E90" s="29"/>
      <c r="F90" s="29"/>
      <c r="G90" s="29"/>
    </row>
    <row r="91" spans="1:7">
      <c r="A91" s="29"/>
      <c r="B91" s="29"/>
      <c r="C91" s="29"/>
      <c r="D91" s="29"/>
      <c r="E91" s="29"/>
      <c r="F91" s="29"/>
      <c r="G91" s="29"/>
    </row>
    <row r="92" spans="1:7">
      <c r="A92" s="29"/>
      <c r="B92" s="29"/>
      <c r="C92" s="29"/>
      <c r="D92" s="29"/>
      <c r="E92" s="29"/>
      <c r="F92" s="29"/>
      <c r="G92" s="29"/>
    </row>
    <row r="93" spans="1:7">
      <c r="A93" s="29"/>
      <c r="B93" s="29"/>
      <c r="C93" s="29"/>
      <c r="D93" s="29"/>
      <c r="E93" s="29"/>
      <c r="F93" s="29"/>
      <c r="G93" s="29"/>
    </row>
    <row r="94" spans="1:7">
      <c r="A94" s="29"/>
      <c r="B94" s="29"/>
      <c r="C94" s="29"/>
      <c r="D94" s="29"/>
      <c r="E94" s="29"/>
      <c r="F94" s="29"/>
      <c r="G94" s="29"/>
    </row>
    <row r="95" spans="1:7">
      <c r="A95" s="29"/>
      <c r="B95" s="29"/>
      <c r="C95" s="29"/>
      <c r="D95" s="29"/>
      <c r="E95" s="29"/>
      <c r="F95" s="29"/>
      <c r="G95" s="29"/>
    </row>
    <row r="96" spans="1:7">
      <c r="A96" s="29"/>
      <c r="B96" s="29"/>
      <c r="C96" s="29"/>
      <c r="D96" s="29"/>
      <c r="E96" s="29"/>
      <c r="F96" s="29"/>
      <c r="G96" s="29"/>
    </row>
    <row r="97" spans="1:7">
      <c r="A97" s="29"/>
      <c r="B97" s="29"/>
      <c r="C97" s="29"/>
      <c r="D97" s="29"/>
      <c r="E97" s="29"/>
      <c r="F97" s="29"/>
      <c r="G97" s="29"/>
    </row>
    <row r="98" spans="1:7">
      <c r="A98" s="29"/>
      <c r="B98" s="29"/>
      <c r="C98" s="29"/>
      <c r="D98" s="29"/>
      <c r="E98" s="29"/>
      <c r="F98" s="29"/>
      <c r="G98" s="29"/>
    </row>
    <row r="99" spans="1:7">
      <c r="A99" s="29"/>
      <c r="B99" s="29"/>
      <c r="C99" s="29"/>
      <c r="D99" s="29"/>
      <c r="E99" s="29"/>
      <c r="F99" s="29"/>
      <c r="G99" s="29"/>
    </row>
    <row r="100" spans="1:7">
      <c r="A100" s="29"/>
      <c r="B100" s="29"/>
      <c r="C100" s="29"/>
      <c r="D100" s="29"/>
      <c r="E100" s="29"/>
      <c r="F100" s="29"/>
      <c r="G100" s="29"/>
    </row>
    <row r="101" spans="1:7">
      <c r="A101" s="29"/>
      <c r="B101" s="29"/>
      <c r="C101" s="29"/>
      <c r="D101" s="29"/>
      <c r="E101" s="29"/>
      <c r="F101" s="29"/>
      <c r="G101" s="29"/>
    </row>
    <row r="102" spans="1:7">
      <c r="A102" s="29"/>
      <c r="B102" s="29"/>
      <c r="C102" s="29"/>
      <c r="D102" s="29"/>
      <c r="E102" s="29"/>
      <c r="F102" s="29"/>
      <c r="G102" s="29"/>
    </row>
  </sheetData>
  <mergeCells count="13">
    <mergeCell ref="A1:G1"/>
    <mergeCell ref="B3:F3"/>
    <mergeCell ref="B5:C5"/>
    <mergeCell ref="B9:G9"/>
    <mergeCell ref="B17:C17"/>
    <mergeCell ref="B18:G18"/>
    <mergeCell ref="B26:C26"/>
    <mergeCell ref="B27:G27"/>
    <mergeCell ref="B30:C30"/>
    <mergeCell ref="B31:F31"/>
    <mergeCell ref="D19:D25"/>
    <mergeCell ref="E19:E25"/>
    <mergeCell ref="G19:G25"/>
  </mergeCells>
  <pageMargins left="0.708661417322835" right="0.708661417322835" top="0.748031496062992" bottom="0.748031496062992" header="0.31496062992126" footer="0.31496062992126"/>
  <pageSetup paperSize="9" scale="75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Лист1</vt:lpstr>
      <vt:lpstr>Приложение к служебной записке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2006-09-28T05:33:00Z</dcterms:created>
  <dcterms:modified xsi:type="dcterms:W3CDTF">2026-09-27T18:53:43Z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9B583C9DCB82441C876D9CE2C0765A9D_12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