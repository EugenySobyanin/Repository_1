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3250" windowHeight="12450"/>
  </bookViews>
  <sheets>
    <sheet name="Лист2" sheetId="2" r:id="rId1"/>
  </sheets>
  <calcPr calcId="125725"/>
</workbook>
</file>

<file path=xl/calcChain.xml><?xml version="1.0" encoding="utf-8"?>
<calcChain xmlns="http://schemas.openxmlformats.org/spreadsheetml/2006/main">
  <c r="V45" i="2"/>
  <c r="V44"/>
  <c r="R45" l="1"/>
  <c r="R44"/>
  <c r="J43"/>
  <c r="J32"/>
  <c r="R38"/>
  <c r="R48"/>
  <c r="V37"/>
  <c r="V38" s="1"/>
  <c r="R37"/>
  <c r="J36" l="1"/>
  <c r="J51"/>
  <c r="J48"/>
  <c r="J39"/>
  <c r="J46" l="1"/>
  <c r="J50" l="1"/>
  <c r="J47" l="1"/>
  <c r="J53" s="1"/>
  <c r="J26"/>
  <c r="J16"/>
  <c r="M19"/>
  <c r="M29" l="1"/>
  <c r="J20"/>
  <c r="J31" l="1"/>
  <c r="J30"/>
</calcChain>
</file>

<file path=xl/comments1.xml><?xml version="1.0" encoding="utf-8"?>
<comments xmlns="http://schemas.openxmlformats.org/spreadsheetml/2006/main">
  <authors>
    <author>Собянин Евгений Андреевич (new)</author>
  </authors>
  <commentList>
    <comment ref="L3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Последний месяц квартала в ценах которого утверждена смета</t>
        </r>
      </text>
    </comment>
    <comment ref="J12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Срок по контракту</t>
        </r>
      </text>
    </comment>
    <comment ref="J14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Срок взят из экспертизы, дата заявления о проведении экспертизы</t>
        </r>
      </text>
    </comment>
    <comment ref="M17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Расчет индекса фактической инфляции нарастающим итогом от июля 2023 (когда сделали проект) 
до апреля 2024 (первый месяц квартала, когда получили заключение экспертизы)</t>
        </r>
      </text>
    </comment>
    <comment ref="M18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Индекс фактической инфляции, установленный нарастающим итогом 
на середину периодна выполнения работ по контракту.
Т.е. Берем месяц в котором начинаются работы по контракту - сентябрь 2022
и берем месяц который приходится на середину работ - май 2023
и умножаем индексы фактической инфляции по этим месяцом
</t>
        </r>
      </text>
    </comment>
    <comment ref="J22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Срок по контракту</t>
        </r>
      </text>
    </comment>
    <comment ref="J24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Срок взят из экспертизы, дата заявления о проведении экспертизы</t>
        </r>
      </text>
    </comment>
    <comment ref="M27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Множитель не учитывается т.к от месяца в котором были выполены работы по ПИР (март) до первого месяца квартала в котором получено заключение экспертизы меньше 3-ех месяцев</t>
        </r>
      </text>
    </comment>
    <comment ref="M28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Собянин Евгений Андреевич (new):
</t>
        </r>
        <r>
          <rPr>
            <sz val="9"/>
            <color indexed="81"/>
            <rFont val="Tahoma"/>
            <family val="2"/>
            <charset val="204"/>
          </rPr>
          <t xml:space="preserve">Индекс фактической инфляции, установленный нарастающим итогом 
на середину периодна выполнения работ по контракту.
Т.е. Берем месяц в котором начинаются работы по контракту - сентябрь 2022
и берем месяц который приходится на середину работ - май 2023
и умножаем индексы фактической инфляции по этим месяцом
</t>
        </r>
      </text>
    </comment>
    <comment ref="E33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Рабочая документация и СМР вместе потом что сроки одинаковые, подготовительные работы не выполнялись, по этому туда же добавляем
</t>
        </r>
      </text>
    </comment>
    <comment ref="J34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По контракту</t>
        </r>
      </text>
    </comment>
    <comment ref="J35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По контракту</t>
        </r>
      </text>
    </comment>
    <comment ref="M37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Нарастающим итогом от 3 квартала 2023 до августа 2025
</t>
        </r>
      </text>
    </comment>
    <comment ref="M44" authorId="0">
      <text>
        <r>
          <rPr>
            <b/>
            <sz val="9"/>
            <color indexed="81"/>
            <rFont val="Tahoma"/>
            <family val="2"/>
            <charset val="204"/>
          </rPr>
          <t>Собянин Евгений Андреевич (new):</t>
        </r>
        <r>
          <rPr>
            <sz val="9"/>
            <color indexed="81"/>
            <rFont val="Tahoma"/>
            <family val="2"/>
            <charset val="204"/>
          </rPr>
          <t xml:space="preserve">
Нарастающим итогом от 2 квартала 2024 (июль) до августа 2025.
</t>
        </r>
      </text>
    </comment>
    <comment ref="M45" authorId="0">
      <text>
        <r>
          <rPr>
            <b/>
            <sz val="9"/>
            <color indexed="81"/>
            <rFont val="Tahoma"/>
            <charset val="1"/>
          </rPr>
          <t>Собянин Евгений Андреевич (new):</t>
        </r>
        <r>
          <rPr>
            <sz val="9"/>
            <color indexed="81"/>
            <rFont val="Tahoma"/>
            <charset val="1"/>
          </rPr>
          <t xml:space="preserve">
Расчет в отдельном файле</t>
        </r>
      </text>
    </comment>
  </commentList>
</comments>
</file>

<file path=xl/sharedStrings.xml><?xml version="1.0" encoding="utf-8"?>
<sst xmlns="http://schemas.openxmlformats.org/spreadsheetml/2006/main" count="115" uniqueCount="77">
  <si>
    <t>Середина периода выполнения работ по подготовке проектной документации</t>
  </si>
  <si>
    <t>Дата передачи проектной документации по акту</t>
  </si>
  <si>
    <t>Дата и номер положительного заключение экспертизы</t>
  </si>
  <si>
    <t xml:space="preserve">        Расчет изменения цены контракта произведен в соответствии с Порядком определения начальной максимальной цены контракта, предметом которого может быть одновременно подготовка проектной документации и (или) выполнение инженерных изысканий, выполнение работ по строительству, реконструкции и (или) капитальному ремонту объекта капитального строительства, цены такого контракта, заключаемого с единственным Поставщиком (Подрядчиком, Исполнителем), утвержденного Приказом Минстроя № 604/пр от 21.08.2023 г., методики составления сметы такого контракта, порядка изменения цены такого контракта в случаях, предусмотренных подпунктом "а" пункта 1 части 62 статьи 112 федерального закона от 5 апреля 2013 г. n 44-фз "о контрактной системе в сфере закупок товаров, работ, услуг для обеспечения государственных и муниципальных нужд".</t>
  </si>
  <si>
    <t xml:space="preserve">        Годовые индексы прогнозной инфляции по письму Министерства экономического развития Российской Федерации № 35312-ПК/ДОЗи от 02.10.2024  по строке Инвестиции в основной капитал.</t>
  </si>
  <si>
    <t>Срок проектирования по контракту</t>
  </si>
  <si>
    <t>Формула расчета цены контракта:</t>
  </si>
  <si>
    <t>Расчет изменения цены контракта итоговый</t>
  </si>
  <si>
    <t>Дата утверждения проектной документации используемой для расчета цены контракта</t>
  </si>
  <si>
    <t>Дата расчета  цены контракта (Цк)</t>
  </si>
  <si>
    <t>в соответствии с с п. 2 ст. 72, п. 3 ст. 219, п. 5 ст. 161 Бюджетного кодекса Российской Федерации от 31.07.1998 № 145-ФЗ и, доведенными лимитами.</t>
  </si>
  <si>
    <t xml:space="preserve">Проверил: </t>
  </si>
  <si>
    <t>Собянин Е.А.</t>
  </si>
  <si>
    <t>Скрастынь Е.Г.</t>
  </si>
  <si>
    <t>Составил:</t>
  </si>
  <si>
    <t>апрель 2025</t>
  </si>
  <si>
    <t>Расчет изменения цены Контракта № 1-3 от 23.09.2022 г. на подготовку проектной документации, выполнение инженерных изысканий и выполнение работ по строительству объекта капитального строительства  "Организация пассажирского сообщения от станции Москва – Октябрьская – Пассажирская до проектируемого ТПУ «Завидово» через остановочный пункт Путепроводная Октябрьской железной дороги"</t>
  </si>
  <si>
    <t>№</t>
  </si>
  <si>
    <t>№ 69-1-1-3-017910-2024 от 16.04.2024</t>
  </si>
  <si>
    <t>июль 2025</t>
  </si>
  <si>
    <t>2 квартал 2023 (июнь)</t>
  </si>
  <si>
    <t>1 квартал 2024 (март)</t>
  </si>
  <si>
    <t>Расчет дефлятора для проектно изыскательских работ 1 этап</t>
  </si>
  <si>
    <t>апрель 2024</t>
  </si>
  <si>
    <t>23.09.2022 - 15.02.2024</t>
  </si>
  <si>
    <t>Дата получения положительного заключения экспертизы (первый месяц квартала)</t>
  </si>
  <si>
    <t>июль 2023</t>
  </si>
  <si>
    <t>май 2023</t>
  </si>
  <si>
    <t>№ 69-1-1-3-033782-2025 от 18.06.2025</t>
  </si>
  <si>
    <t>Расчет дефлятора для проектно изыскательских работ 2 этап</t>
  </si>
  <si>
    <t>23.09.2022 - 10.12.2023</t>
  </si>
  <si>
    <t>июнь 2023</t>
  </si>
  <si>
    <r>
      <t>Цк = ((С</t>
    </r>
    <r>
      <rPr>
        <vertAlign val="subscript"/>
        <sz val="12"/>
        <color theme="1"/>
        <rFont val="Times New Roman"/>
        <family val="1"/>
        <charset val="204"/>
      </rPr>
      <t>ПИР</t>
    </r>
    <r>
      <rPr>
        <sz val="12"/>
        <color theme="1"/>
        <rFont val="Times New Roman"/>
        <family val="1"/>
        <charset val="204"/>
      </rPr>
      <t xml:space="preserve"> / Кф</t>
    </r>
    <r>
      <rPr>
        <vertAlign val="subscript"/>
        <sz val="12"/>
        <color theme="1"/>
        <rFont val="Times New Roman"/>
        <family val="1"/>
        <charset val="204"/>
      </rPr>
      <t>ПИР</t>
    </r>
    <r>
      <rPr>
        <sz val="12"/>
        <color theme="1"/>
        <rFont val="Times New Roman"/>
        <family val="1"/>
        <charset val="204"/>
      </rPr>
      <t>)+(С</t>
    </r>
    <r>
      <rPr>
        <vertAlign val="subscript"/>
        <sz val="12"/>
        <color theme="1"/>
        <rFont val="Times New Roman"/>
        <family val="1"/>
        <charset val="204"/>
      </rPr>
      <t>РД</t>
    </r>
    <r>
      <rPr>
        <sz val="12"/>
        <color theme="1"/>
        <rFont val="Times New Roman"/>
        <family val="1"/>
        <charset val="204"/>
      </rPr>
      <t xml:space="preserve"> * К</t>
    </r>
    <r>
      <rPr>
        <vertAlign val="subscript"/>
        <sz val="12"/>
        <color theme="1"/>
        <rFont val="Times New Roman"/>
        <family val="1"/>
        <charset val="204"/>
      </rPr>
      <t>пРД</t>
    </r>
    <r>
      <rPr>
        <sz val="12"/>
        <color theme="1"/>
        <rFont val="Times New Roman"/>
        <family val="1"/>
        <charset val="204"/>
      </rPr>
      <t>) + (С</t>
    </r>
    <r>
      <rPr>
        <vertAlign val="subscript"/>
        <sz val="12"/>
        <color theme="1"/>
        <rFont val="Times New Roman"/>
        <family val="1"/>
        <charset val="204"/>
      </rPr>
      <t xml:space="preserve">СМР1 </t>
    </r>
    <r>
      <rPr>
        <sz val="12"/>
        <color theme="1"/>
        <rFont val="Times New Roman"/>
        <family val="1"/>
        <charset val="204"/>
      </rPr>
      <t>* К</t>
    </r>
    <r>
      <rPr>
        <vertAlign val="subscript"/>
        <sz val="12"/>
        <color theme="1"/>
        <rFont val="Times New Roman"/>
        <family val="1"/>
        <charset val="204"/>
      </rPr>
      <t>пСМР</t>
    </r>
    <r>
      <rPr>
        <sz val="12"/>
        <color theme="1"/>
        <rFont val="Times New Roman"/>
        <family val="1"/>
        <charset val="204"/>
      </rPr>
      <t>) + (С</t>
    </r>
    <r>
      <rPr>
        <vertAlign val="subscript"/>
        <sz val="12"/>
        <color theme="1"/>
        <rFont val="Times New Roman"/>
        <family val="1"/>
        <charset val="204"/>
      </rPr>
      <t>СМР2</t>
    </r>
    <r>
      <rPr>
        <sz val="12"/>
        <color theme="1"/>
        <rFont val="Times New Roman"/>
        <family val="1"/>
        <charset val="204"/>
      </rPr>
      <t xml:space="preserve"> / Кф</t>
    </r>
    <r>
      <rPr>
        <vertAlign val="subscript"/>
        <sz val="12"/>
        <color theme="1"/>
        <rFont val="Times New Roman"/>
        <family val="1"/>
        <charset val="204"/>
      </rPr>
      <t>СМР</t>
    </r>
    <r>
      <rPr>
        <sz val="12"/>
        <color theme="1"/>
        <rFont val="Times New Roman"/>
        <family val="1"/>
        <charset val="204"/>
      </rPr>
      <t>)) * К</t>
    </r>
    <r>
      <rPr>
        <vertAlign val="subscript"/>
        <sz val="12"/>
        <color theme="1"/>
        <rFont val="Times New Roman"/>
        <family val="1"/>
        <charset val="204"/>
      </rPr>
      <t>сниж</t>
    </r>
  </si>
  <si>
    <r>
      <t xml:space="preserve">Индекс фактической инфляции </t>
    </r>
    <r>
      <rPr>
        <sz val="11"/>
        <color rgb="FFFF0066"/>
        <rFont val="Times New Roman"/>
        <family val="1"/>
        <charset val="204"/>
      </rPr>
      <t>К</t>
    </r>
    <r>
      <rPr>
        <vertAlign val="subscript"/>
        <sz val="11"/>
        <color rgb="FFFF0066"/>
        <rFont val="Times New Roman"/>
        <family val="1"/>
        <charset val="204"/>
      </rPr>
      <t>ф</t>
    </r>
    <r>
      <rPr>
        <sz val="11"/>
        <color rgb="FFFF0066"/>
        <rFont val="Times New Roman"/>
        <family val="1"/>
        <charset val="204"/>
      </rPr>
      <t>.</t>
    </r>
  </si>
  <si>
    <r>
      <rPr>
        <sz val="11"/>
        <color rgb="FFFF0066"/>
        <rFont val="Times New Roman"/>
        <family val="1"/>
        <charset val="204"/>
      </rPr>
      <t>К</t>
    </r>
    <r>
      <rPr>
        <vertAlign val="subscript"/>
        <sz val="11"/>
        <color rgb="FFFF0066"/>
        <rFont val="Times New Roman"/>
        <family val="1"/>
        <charset val="204"/>
      </rPr>
      <t>ф</t>
    </r>
    <r>
      <rPr>
        <sz val="11"/>
        <color theme="1"/>
        <rFont val="Times New Roman"/>
        <family val="1"/>
        <charset val="204"/>
      </rPr>
      <t xml:space="preserve">. = </t>
    </r>
  </si>
  <si>
    <r>
      <rPr>
        <sz val="11"/>
        <color rgb="FF00B050"/>
        <rFont val="Times New Roman"/>
        <family val="1"/>
        <charset val="204"/>
      </rPr>
      <t>К</t>
    </r>
    <r>
      <rPr>
        <vertAlign val="subscript"/>
        <sz val="11"/>
        <color rgb="FF00B050"/>
        <rFont val="Times New Roman"/>
        <family val="1"/>
        <charset val="204"/>
      </rPr>
      <t>ф.сер</t>
    </r>
    <r>
      <rPr>
        <sz val="11"/>
        <color rgb="FF00B050"/>
        <rFont val="Times New Roman"/>
        <family val="1"/>
        <charset val="204"/>
      </rPr>
      <t>.</t>
    </r>
    <r>
      <rPr>
        <sz val="11"/>
        <color theme="1"/>
        <rFont val="Times New Roman"/>
        <family val="1"/>
        <charset val="204"/>
      </rPr>
      <t xml:space="preserve"> = </t>
    </r>
  </si>
  <si>
    <r>
      <rPr>
        <sz val="11"/>
        <color rgb="FF7030A0"/>
        <rFont val="Times New Roman"/>
        <family val="1"/>
        <charset val="204"/>
      </rPr>
      <t>К</t>
    </r>
    <r>
      <rPr>
        <vertAlign val="subscript"/>
        <sz val="11"/>
        <color rgb="FF7030A0"/>
        <rFont val="Times New Roman"/>
        <family val="1"/>
        <charset val="204"/>
      </rPr>
      <t>фПИР</t>
    </r>
    <r>
      <rPr>
        <sz val="11"/>
        <color rgb="FF7030A0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= </t>
    </r>
    <r>
      <rPr>
        <sz val="11"/>
        <color rgb="FFFF0066"/>
        <rFont val="Times New Roman"/>
        <family val="1"/>
        <charset val="204"/>
      </rPr>
      <t>К</t>
    </r>
    <r>
      <rPr>
        <vertAlign val="subscript"/>
        <sz val="11"/>
        <color rgb="FFFF0066"/>
        <rFont val="Times New Roman"/>
        <family val="1"/>
        <charset val="204"/>
      </rPr>
      <t>ф</t>
    </r>
    <r>
      <rPr>
        <sz val="11"/>
        <color rgb="FFFF0066"/>
        <rFont val="Times New Roman"/>
        <family val="1"/>
        <charset val="204"/>
      </rPr>
      <t>.</t>
    </r>
    <r>
      <rPr>
        <sz val="11"/>
        <color theme="1"/>
        <rFont val="Times New Roman"/>
        <family val="1"/>
        <charset val="204"/>
      </rPr>
      <t xml:space="preserve"> * </t>
    </r>
    <r>
      <rPr>
        <sz val="11"/>
        <color rgb="FF00B050"/>
        <rFont val="Times New Roman"/>
        <family val="1"/>
        <charset val="204"/>
      </rPr>
      <t>К</t>
    </r>
    <r>
      <rPr>
        <vertAlign val="subscript"/>
        <sz val="11"/>
        <color rgb="FF00B050"/>
        <rFont val="Times New Roman"/>
        <family val="1"/>
        <charset val="204"/>
      </rPr>
      <t>ф.сер.</t>
    </r>
  </si>
  <si>
    <r>
      <rPr>
        <sz val="11"/>
        <color rgb="FF7030A0"/>
        <rFont val="Times New Roman"/>
        <family val="1"/>
        <charset val="204"/>
      </rPr>
      <t>К</t>
    </r>
    <r>
      <rPr>
        <vertAlign val="subscript"/>
        <sz val="11"/>
        <color rgb="FF7030A0"/>
        <rFont val="Times New Roman"/>
        <family val="1"/>
        <charset val="204"/>
      </rPr>
      <t>фПИР</t>
    </r>
    <r>
      <rPr>
        <sz val="11"/>
        <color theme="1"/>
        <rFont val="Times New Roman"/>
        <family val="1"/>
        <charset val="204"/>
      </rPr>
      <t xml:space="preserve"> = </t>
    </r>
  </si>
  <si>
    <r>
      <t>Стоимость проектно-изыскательских работ (с учетом НДС) - С</t>
    </r>
    <r>
      <rPr>
        <vertAlign val="subscript"/>
        <sz val="11"/>
        <color theme="1"/>
        <rFont val="Times New Roman"/>
        <family val="1"/>
        <charset val="204"/>
      </rPr>
      <t>ПИР</t>
    </r>
  </si>
  <si>
    <t xml:space="preserve"> март 2025</t>
  </si>
  <si>
    <r>
      <t xml:space="preserve">Индекс фактической инфляции - </t>
    </r>
    <r>
      <rPr>
        <sz val="11"/>
        <color rgb="FFFF0066"/>
        <rFont val="Times New Roman"/>
        <family val="1"/>
        <charset val="204"/>
      </rPr>
      <t>К</t>
    </r>
    <r>
      <rPr>
        <vertAlign val="subscript"/>
        <sz val="11"/>
        <color rgb="FFFF0066"/>
        <rFont val="Times New Roman"/>
        <family val="1"/>
        <charset val="204"/>
      </rPr>
      <t>ф</t>
    </r>
    <r>
      <rPr>
        <sz val="11"/>
        <color rgb="FFFF0066"/>
        <rFont val="Times New Roman"/>
        <family val="1"/>
        <charset val="204"/>
      </rPr>
      <t>.</t>
    </r>
  </si>
  <si>
    <r>
      <t xml:space="preserve">Индекс фактической инфляции середина периода проектирования - </t>
    </r>
    <r>
      <rPr>
        <sz val="11"/>
        <color rgb="FF00B050"/>
        <rFont val="Times New Roman"/>
        <family val="1"/>
        <charset val="204"/>
      </rPr>
      <t>К</t>
    </r>
    <r>
      <rPr>
        <vertAlign val="subscript"/>
        <sz val="11"/>
        <color rgb="FF00B050"/>
        <rFont val="Times New Roman"/>
        <family val="1"/>
        <charset val="204"/>
      </rPr>
      <t>ф.сер.</t>
    </r>
  </si>
  <si>
    <r>
      <rPr>
        <b/>
        <sz val="11"/>
        <color theme="1"/>
        <rFont val="Times New Roman"/>
        <family val="1"/>
        <charset val="204"/>
      </rPr>
      <t>Стоимость проектно-изыскательских работ с учетом дефлятора  - С</t>
    </r>
    <r>
      <rPr>
        <b/>
        <vertAlign val="subscript"/>
        <sz val="11"/>
        <color theme="1"/>
        <rFont val="Times New Roman"/>
        <family val="1"/>
        <charset val="204"/>
      </rPr>
      <t>ПИР</t>
    </r>
    <r>
      <rPr>
        <b/>
        <sz val="11"/>
        <color theme="1"/>
        <rFont val="Times New Roman"/>
        <family val="1"/>
        <charset val="204"/>
      </rPr>
      <t xml:space="preserve"> / </t>
    </r>
    <r>
      <rPr>
        <b/>
        <sz val="11"/>
        <color rgb="FF7030A0"/>
        <rFont val="Times New Roman"/>
        <family val="1"/>
        <charset val="204"/>
      </rPr>
      <t>К</t>
    </r>
    <r>
      <rPr>
        <b/>
        <vertAlign val="subscript"/>
        <sz val="11"/>
        <color rgb="FF7030A0"/>
        <rFont val="Times New Roman"/>
        <family val="1"/>
        <charset val="204"/>
      </rPr>
      <t>ФПИР</t>
    </r>
  </si>
  <si>
    <t xml:space="preserve">        Для расчет индекса фактической инфляции использовались индексы цен Федеральной службы государственной статистики по состоянию на 24.07.2025</t>
  </si>
  <si>
    <t>ИТОГО стоимость проектно-изыскательских работ по этапам 1-2 (c учетом НДС)</t>
  </si>
  <si>
    <t>Расчет дефлятора для разработки рабочей документации, строительно монтажных работ, подготовительных работ  1 этап</t>
  </si>
  <si>
    <t>Расчет дефлятора для разработки рабочей документации, строительно монтажных работ, подготовительных работ  2 этап</t>
  </si>
  <si>
    <r>
      <t>Индекс фактической инфляции - К</t>
    </r>
    <r>
      <rPr>
        <vertAlign val="subscript"/>
        <sz val="11"/>
        <color theme="1"/>
        <rFont val="Times New Roman"/>
        <family val="1"/>
        <charset val="204"/>
      </rPr>
      <t>Ф.</t>
    </r>
  </si>
  <si>
    <r>
      <t>К</t>
    </r>
    <r>
      <rPr>
        <b/>
        <i/>
        <vertAlign val="subscript"/>
        <sz val="11"/>
        <color theme="1"/>
        <rFont val="Times New Roman"/>
        <family val="1"/>
        <charset val="204"/>
      </rPr>
      <t>Ф.</t>
    </r>
    <r>
      <rPr>
        <b/>
        <i/>
        <sz val="11"/>
        <color theme="1"/>
        <rFont val="Times New Roman"/>
        <family val="1"/>
        <charset val="204"/>
      </rPr>
      <t xml:space="preserve"> = </t>
    </r>
  </si>
  <si>
    <t>Стоимость проектно-изыскательских работ 1-2 этапы (с учетом НДС)</t>
  </si>
  <si>
    <t>Стоимость строительно монтажных работ, работ по разработке рабочей документации, подготовительных работ по 1-2 этапы с учетом дефлятора (с учетом НДС)</t>
  </si>
  <si>
    <t>Заедалина О.В.</t>
  </si>
  <si>
    <t>Коэффициент снижения (Ксниж)</t>
  </si>
  <si>
    <t>отсутствует</t>
  </si>
  <si>
    <t>ИТОГО по Контракту(с учетом НДС)</t>
  </si>
  <si>
    <t>ИТОГО стоимость строительно монтажных работ, работ по разработке рабочей документации, подготовительных  работ по этапам 1-2 (c учетом НДС)</t>
  </si>
  <si>
    <t>Итого СМР по 1 этапу</t>
  </si>
  <si>
    <t>Итого СМР по 2 этапу</t>
  </si>
  <si>
    <r>
      <t>Стоимость проектно-изыскательских работ с учетом дефлятора  - С</t>
    </r>
    <r>
      <rPr>
        <b/>
        <vertAlign val="subscript"/>
        <sz val="11"/>
        <color theme="1"/>
        <rFont val="Times New Roman"/>
        <family val="1"/>
        <charset val="204"/>
      </rPr>
      <t>ПИР</t>
    </r>
    <r>
      <rPr>
        <b/>
        <sz val="11"/>
        <color theme="1"/>
        <rFont val="Times New Roman"/>
        <family val="1"/>
        <charset val="204"/>
      </rPr>
      <t xml:space="preserve"> / </t>
    </r>
    <r>
      <rPr>
        <b/>
        <sz val="11"/>
        <color rgb="FF7030A0"/>
        <rFont val="Times New Roman"/>
        <family val="1"/>
        <charset val="204"/>
      </rPr>
      <t>К</t>
    </r>
    <r>
      <rPr>
        <b/>
        <vertAlign val="subscript"/>
        <sz val="11"/>
        <color rgb="FF7030A0"/>
        <rFont val="Times New Roman"/>
        <family val="1"/>
        <charset val="204"/>
      </rPr>
      <t>ФПИР (в соответствии с с п. 2 ст. 72, п. 3 ст. 219, п. 5 ст. 161 Бюджетного кодекса Российской Федерации от 31.07.1998 № 145-ФЗ и, доведенными лимитами.)</t>
    </r>
  </si>
  <si>
    <t>Дата начала СМР</t>
  </si>
  <si>
    <t>Дата окончания СМР</t>
  </si>
  <si>
    <r>
      <t>Стоимость СМР - С</t>
    </r>
    <r>
      <rPr>
        <vertAlign val="subscript"/>
        <sz val="11"/>
        <color theme="1"/>
        <rFont val="Times New Roman"/>
        <family val="1"/>
        <charset val="204"/>
      </rPr>
      <t>СМР</t>
    </r>
  </si>
  <si>
    <r>
      <t>Индекс прогнозной инфляции - К</t>
    </r>
    <r>
      <rPr>
        <vertAlign val="subscript"/>
        <sz val="11"/>
        <color theme="1"/>
        <rFont val="Times New Roman"/>
        <family val="1"/>
        <charset val="204"/>
      </rPr>
      <t>п.</t>
    </r>
  </si>
  <si>
    <t xml:space="preserve">Кп. = </t>
  </si>
  <si>
    <r>
      <t>Стоимость СМР (разработка рабочей документации, строительно монтажные работы, подготовительные работы) с учетом дефлятора  - С</t>
    </r>
    <r>
      <rPr>
        <b/>
        <vertAlign val="subscript"/>
        <sz val="11"/>
        <color theme="1"/>
        <rFont val="Times New Roman"/>
        <family val="1"/>
        <charset val="204"/>
      </rPr>
      <t>СМР *</t>
    </r>
    <r>
      <rPr>
        <b/>
        <sz val="11"/>
        <color theme="1"/>
        <rFont val="Times New Roman"/>
        <family val="1"/>
        <charset val="204"/>
      </rPr>
      <t xml:space="preserve"> </t>
    </r>
    <r>
      <rPr>
        <b/>
        <sz val="11"/>
        <color rgb="FF7030A0"/>
        <rFont val="Times New Roman"/>
        <family val="1"/>
        <charset val="204"/>
      </rPr>
      <t>К</t>
    </r>
    <r>
      <rPr>
        <b/>
        <vertAlign val="subscript"/>
        <sz val="11"/>
        <color rgb="FF7030A0"/>
        <rFont val="Times New Roman"/>
        <family val="1"/>
        <charset val="204"/>
      </rPr>
      <t>ФСМР (в соответствии с с п. 2 ст. 72, п. 3 ст. 219, п. 5 ст. 161 Бюджетного кодекса Российской Федерации от 31.07.1998 № 145-ФЗ и, доведенными лимитами.)</t>
    </r>
  </si>
  <si>
    <t xml:space="preserve">Цк = 152 283 826,00 + 5 938 254 100,00 = 6 090 537 926,00 руб. </t>
  </si>
  <si>
    <t>без НДС</t>
  </si>
  <si>
    <t>Рабочая документация по 1 этапу</t>
  </si>
  <si>
    <t>понижающий под лимиты</t>
  </si>
  <si>
    <t>по СВОР</t>
  </si>
  <si>
    <t>с дефлятором</t>
  </si>
  <si>
    <t>с понижающим под лимиты</t>
  </si>
  <si>
    <t>по расчету</t>
  </si>
  <si>
    <t>Все работы по 1 этапу (кроме ПИР)</t>
  </si>
  <si>
    <t>Все работы по 2 этапу (кроме ПИР)</t>
  </si>
  <si>
    <t>Рабочая документация по 2 этапу</t>
  </si>
  <si>
    <t>с понижющим под лимиты</t>
  </si>
</sst>
</file>

<file path=xl/styles.xml><?xml version="1.0" encoding="utf-8"?>
<styleSheet xmlns="http://schemas.openxmlformats.org/spreadsheetml/2006/main">
  <numFmts count="2">
    <numFmt numFmtId="164" formatCode="#,##0.00\ &quot;₽&quot;"/>
    <numFmt numFmtId="171" formatCode="0.000000000000000"/>
  </numFmts>
  <fonts count="27">
    <font>
      <sz val="11"/>
      <color theme="1"/>
      <name val="Calibri"/>
      <family val="2"/>
      <scheme val="minor"/>
    </font>
    <font>
      <b/>
      <i/>
      <u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b/>
      <vertAlign val="subscript"/>
      <sz val="11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theme="1"/>
      <name val="Times New Roman"/>
      <family val="1"/>
      <charset val="204"/>
    </font>
    <font>
      <sz val="11"/>
      <color rgb="FFFF0066"/>
      <name val="Times New Roman"/>
      <family val="1"/>
      <charset val="204"/>
    </font>
    <font>
      <vertAlign val="subscript"/>
      <sz val="11"/>
      <color rgb="FFFF0066"/>
      <name val="Times New Roman"/>
      <family val="1"/>
      <charset val="204"/>
    </font>
    <font>
      <sz val="11"/>
      <color rgb="FF00B050"/>
      <name val="Times New Roman"/>
      <family val="1"/>
      <charset val="204"/>
    </font>
    <font>
      <vertAlign val="subscript"/>
      <sz val="11"/>
      <color rgb="FF00B050"/>
      <name val="Times New Roman"/>
      <family val="1"/>
      <charset val="204"/>
    </font>
    <font>
      <sz val="11"/>
      <color rgb="FF7030A0"/>
      <name val="Times New Roman"/>
      <family val="1"/>
      <charset val="204"/>
    </font>
    <font>
      <vertAlign val="subscript"/>
      <sz val="11"/>
      <color rgb="FF7030A0"/>
      <name val="Times New Roman"/>
      <family val="1"/>
      <charset val="204"/>
    </font>
    <font>
      <b/>
      <sz val="11"/>
      <color rgb="FF7030A0"/>
      <name val="Times New Roman"/>
      <family val="1"/>
      <charset val="204"/>
    </font>
    <font>
      <b/>
      <vertAlign val="subscript"/>
      <sz val="11"/>
      <color rgb="FF7030A0"/>
      <name val="Times New Roman"/>
      <family val="1"/>
      <charset val="204"/>
    </font>
    <font>
      <b/>
      <i/>
      <vertAlign val="subscript"/>
      <sz val="11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D0D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Border="1"/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3" borderId="0" xfId="0" applyFill="1"/>
    <xf numFmtId="0" fontId="2" fillId="0" borderId="8" xfId="0" applyFont="1" applyBorder="1" applyAlignment="1">
      <alignment horizontal="right" vertical="center" wrapText="1"/>
    </xf>
    <xf numFmtId="17" fontId="0" fillId="3" borderId="0" xfId="0" applyNumberFormat="1" applyFill="1"/>
    <xf numFmtId="0" fontId="13" fillId="2" borderId="7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8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13" xfId="0" applyFont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right"/>
    </xf>
    <xf numFmtId="0" fontId="2" fillId="0" borderId="17" xfId="0" applyFont="1" applyBorder="1"/>
    <xf numFmtId="0" fontId="2" fillId="0" borderId="18" xfId="0" applyFont="1" applyBorder="1"/>
    <xf numFmtId="0" fontId="2" fillId="0" borderId="23" xfId="0" applyFont="1" applyBorder="1"/>
    <xf numFmtId="0" fontId="13" fillId="7" borderId="13" xfId="0" applyFont="1" applyFill="1" applyBorder="1" applyAlignment="1">
      <alignment horizontal="center" vertical="center"/>
    </xf>
    <xf numFmtId="164" fontId="0" fillId="3" borderId="0" xfId="0" applyNumberFormat="1" applyFill="1"/>
    <xf numFmtId="14" fontId="0" fillId="3" borderId="0" xfId="0" applyNumberFormat="1" applyFill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13" fillId="6" borderId="7" xfId="0" applyNumberFormat="1" applyFont="1" applyFill="1" applyBorder="1" applyAlignment="1">
      <alignment horizontal="center" vertical="center"/>
    </xf>
    <xf numFmtId="164" fontId="13" fillId="6" borderId="8" xfId="0" applyNumberFormat="1" applyFont="1" applyFill="1" applyBorder="1" applyAlignment="1">
      <alignment horizontal="center" vertical="center"/>
    </xf>
    <xf numFmtId="164" fontId="13" fillId="6" borderId="19" xfId="0" applyNumberFormat="1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3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0" fontId="2" fillId="0" borderId="17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2" fillId="2" borderId="17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164" fontId="3" fillId="5" borderId="2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3" fillId="0" borderId="1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3" fillId="6" borderId="7" xfId="0" applyNumberFormat="1" applyFont="1" applyFill="1" applyBorder="1" applyAlignment="1">
      <alignment horizontal="center" vertical="center" wrapText="1"/>
    </xf>
    <xf numFmtId="164" fontId="3" fillId="6" borderId="8" xfId="0" applyNumberFormat="1" applyFont="1" applyFill="1" applyBorder="1" applyAlignment="1">
      <alignment horizontal="center" vertical="center" wrapText="1"/>
    </xf>
    <xf numFmtId="164" fontId="3" fillId="6" borderId="19" xfId="0" applyNumberFormat="1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center"/>
    </xf>
    <xf numFmtId="0" fontId="13" fillId="2" borderId="19" xfId="0" applyFont="1" applyFill="1" applyBorder="1" applyAlignment="1">
      <alignment horizontal="left" vertical="center"/>
    </xf>
    <xf numFmtId="164" fontId="13" fillId="5" borderId="7" xfId="0" applyNumberFormat="1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164" fontId="3" fillId="7" borderId="4" xfId="0" applyNumberFormat="1" applyFont="1" applyFill="1" applyBorder="1" applyAlignment="1">
      <alignment horizontal="center" vertical="center" wrapText="1"/>
    </xf>
    <xf numFmtId="164" fontId="3" fillId="7" borderId="5" xfId="0" applyNumberFormat="1" applyFont="1" applyFill="1" applyBorder="1" applyAlignment="1">
      <alignment horizontal="center" vertical="center" wrapText="1"/>
    </xf>
    <xf numFmtId="164" fontId="3" fillId="7" borderId="20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14" fontId="25" fillId="8" borderId="25" xfId="0" applyNumberFormat="1" applyFont="1" applyFill="1" applyBorder="1" applyAlignment="1">
      <alignment horizontal="center" vertical="center"/>
    </xf>
    <xf numFmtId="0" fontId="25" fillId="8" borderId="25" xfId="0" applyFont="1" applyFill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164" fontId="0" fillId="3" borderId="25" xfId="0" applyNumberFormat="1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25" xfId="0" applyFill="1" applyBorder="1" applyAlignment="1">
      <alignment horizontal="left" vertical="center"/>
    </xf>
    <xf numFmtId="164" fontId="0" fillId="3" borderId="25" xfId="0" applyNumberFormat="1" applyFill="1" applyBorder="1" applyAlignment="1">
      <alignment horizontal="right" vertical="center"/>
    </xf>
    <xf numFmtId="0" fontId="26" fillId="3" borderId="25" xfId="0" applyFont="1" applyFill="1" applyBorder="1" applyAlignment="1">
      <alignment wrapText="1"/>
    </xf>
    <xf numFmtId="0" fontId="0" fillId="3" borderId="0" xfId="0" applyFill="1" applyBorder="1"/>
    <xf numFmtId="14" fontId="25" fillId="3" borderId="0" xfId="0" applyNumberFormat="1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171" fontId="26" fillId="3" borderId="25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CD0DD"/>
      <color rgb="FFF896B2"/>
      <color rgb="FFFF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X63"/>
  <sheetViews>
    <sheetView showGridLines="0" tabSelected="1" topLeftCell="A37" workbookViewId="0">
      <selection activeCell="U48" sqref="U48"/>
    </sheetView>
  </sheetViews>
  <sheetFormatPr defaultRowHeight="15"/>
  <cols>
    <col min="1" max="1" width="2.85546875" style="4" customWidth="1"/>
    <col min="2" max="2" width="3.85546875" style="4" customWidth="1"/>
    <col min="3" max="3" width="1.42578125" style="4" customWidth="1"/>
    <col min="4" max="4" width="2.28515625" style="4" customWidth="1"/>
    <col min="5" max="5" width="8.7109375" style="4" customWidth="1"/>
    <col min="6" max="6" width="9.5703125" style="4" customWidth="1"/>
    <col min="7" max="7" width="13.28515625" style="4" customWidth="1"/>
    <col min="8" max="8" width="13.140625" style="4" customWidth="1"/>
    <col min="9" max="9" width="20.42578125" style="4" customWidth="1"/>
    <col min="10" max="10" width="5.140625" style="4" customWidth="1"/>
    <col min="11" max="11" width="4.28515625" style="4" customWidth="1"/>
    <col min="12" max="12" width="8.42578125" style="4" customWidth="1"/>
    <col min="13" max="13" width="5.85546875" style="4" customWidth="1"/>
    <col min="14" max="14" width="3.28515625" style="4" customWidth="1"/>
    <col min="15" max="15" width="6.140625" style="4" customWidth="1"/>
    <col min="16" max="16" width="5.7109375" style="4" customWidth="1"/>
    <col min="17" max="17" width="5.140625" style="4" customWidth="1"/>
    <col min="18" max="18" width="29.42578125" style="4" customWidth="1"/>
    <col min="19" max="19" width="17.7109375" style="4" customWidth="1"/>
    <col min="20" max="20" width="27.5703125" style="4" customWidth="1"/>
    <col min="21" max="21" width="10.7109375" style="4" customWidth="1"/>
    <col min="22" max="22" width="17.85546875" style="4" customWidth="1"/>
    <col min="23" max="23" width="15.28515625" style="4" customWidth="1"/>
    <col min="24" max="24" width="27.140625" style="4" customWidth="1"/>
    <col min="25" max="16384" width="9.140625" style="4"/>
  </cols>
  <sheetData>
    <row r="1" spans="5:17" ht="81.75" customHeight="1">
      <c r="E1" s="56" t="s">
        <v>16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8"/>
    </row>
    <row r="2" spans="5:17" ht="46.5" customHeight="1">
      <c r="E2" s="14" t="s">
        <v>17</v>
      </c>
      <c r="F2" s="59" t="s">
        <v>2</v>
      </c>
      <c r="G2" s="59"/>
      <c r="H2" s="59"/>
      <c r="I2" s="59" t="s">
        <v>9</v>
      </c>
      <c r="J2" s="59"/>
      <c r="K2" s="59"/>
      <c r="L2" s="59" t="s">
        <v>8</v>
      </c>
      <c r="M2" s="59"/>
      <c r="N2" s="59"/>
      <c r="O2" s="59"/>
      <c r="P2" s="59"/>
      <c r="Q2" s="60"/>
    </row>
    <row r="3" spans="5:17" ht="34.5" customHeight="1">
      <c r="E3" s="15">
        <v>1</v>
      </c>
      <c r="F3" s="87" t="s">
        <v>18</v>
      </c>
      <c r="G3" s="87"/>
      <c r="H3" s="87"/>
      <c r="I3" s="61" t="s">
        <v>19</v>
      </c>
      <c r="J3" s="61"/>
      <c r="K3" s="61"/>
      <c r="L3" s="61" t="s">
        <v>20</v>
      </c>
      <c r="M3" s="61"/>
      <c r="N3" s="61"/>
      <c r="O3" s="61"/>
      <c r="P3" s="61"/>
      <c r="Q3" s="62"/>
    </row>
    <row r="4" spans="5:17" ht="34.5" customHeight="1">
      <c r="E4" s="15">
        <v>2</v>
      </c>
      <c r="F4" s="87" t="s">
        <v>28</v>
      </c>
      <c r="G4" s="87"/>
      <c r="H4" s="87"/>
      <c r="I4" s="61" t="s">
        <v>19</v>
      </c>
      <c r="J4" s="61"/>
      <c r="K4" s="61"/>
      <c r="L4" s="61" t="s">
        <v>21</v>
      </c>
      <c r="M4" s="61"/>
      <c r="N4" s="61"/>
      <c r="O4" s="61"/>
      <c r="P4" s="61"/>
      <c r="Q4" s="62"/>
    </row>
    <row r="5" spans="5:17" ht="126" customHeight="1">
      <c r="E5" s="91" t="s">
        <v>3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3"/>
    </row>
    <row r="6" spans="5:17" ht="31.5" customHeight="1">
      <c r="E6" s="94" t="s">
        <v>43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6"/>
    </row>
    <row r="7" spans="5:17" ht="32.25" customHeight="1">
      <c r="E7" s="94" t="s">
        <v>4</v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6"/>
    </row>
    <row r="8" spans="5:17" ht="21.75" customHeight="1">
      <c r="E8" s="97" t="s">
        <v>6</v>
      </c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9"/>
    </row>
    <row r="9" spans="5:17" ht="29.25" customHeight="1">
      <c r="E9" s="65" t="s">
        <v>32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</row>
    <row r="10" spans="5:17" ht="15" customHeight="1">
      <c r="E10" s="1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7"/>
    </row>
    <row r="11" spans="5:17" ht="31.5" customHeight="1">
      <c r="E11" s="68" t="s">
        <v>22</v>
      </c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70"/>
    </row>
    <row r="12" spans="5:17" ht="30.75" customHeight="1">
      <c r="E12" s="18">
        <v>1</v>
      </c>
      <c r="F12" s="59" t="s">
        <v>5</v>
      </c>
      <c r="G12" s="59"/>
      <c r="H12" s="59"/>
      <c r="I12" s="59"/>
      <c r="J12" s="88" t="s">
        <v>30</v>
      </c>
      <c r="K12" s="89"/>
      <c r="L12" s="89"/>
      <c r="M12" s="89"/>
      <c r="N12" s="89"/>
      <c r="O12" s="89"/>
      <c r="P12" s="89"/>
      <c r="Q12" s="90"/>
    </row>
    <row r="13" spans="5:17" ht="45" customHeight="1">
      <c r="E13" s="18">
        <v>2</v>
      </c>
      <c r="F13" s="59" t="s">
        <v>0</v>
      </c>
      <c r="G13" s="59"/>
      <c r="H13" s="59"/>
      <c r="I13" s="59"/>
      <c r="J13" s="81" t="s">
        <v>27</v>
      </c>
      <c r="K13" s="82"/>
      <c r="L13" s="82"/>
      <c r="M13" s="82"/>
      <c r="N13" s="82"/>
      <c r="O13" s="82"/>
      <c r="P13" s="82"/>
      <c r="Q13" s="83"/>
    </row>
    <row r="14" spans="5:17" ht="31.5" customHeight="1">
      <c r="E14" s="18">
        <v>3</v>
      </c>
      <c r="F14" s="59" t="s">
        <v>1</v>
      </c>
      <c r="G14" s="59"/>
      <c r="H14" s="59"/>
      <c r="I14" s="59"/>
      <c r="J14" s="81" t="s">
        <v>26</v>
      </c>
      <c r="K14" s="82"/>
      <c r="L14" s="82"/>
      <c r="M14" s="82"/>
      <c r="N14" s="82"/>
      <c r="O14" s="82"/>
      <c r="P14" s="82"/>
      <c r="Q14" s="83"/>
    </row>
    <row r="15" spans="5:17" ht="49.5" customHeight="1">
      <c r="E15" s="18">
        <v>4</v>
      </c>
      <c r="F15" s="59" t="s">
        <v>25</v>
      </c>
      <c r="G15" s="59"/>
      <c r="H15" s="59"/>
      <c r="I15" s="59"/>
      <c r="J15" s="81" t="s">
        <v>23</v>
      </c>
      <c r="K15" s="82"/>
      <c r="L15" s="82"/>
      <c r="M15" s="82"/>
      <c r="N15" s="82"/>
      <c r="O15" s="82"/>
      <c r="P15" s="82"/>
      <c r="Q15" s="83"/>
    </row>
    <row r="16" spans="5:17" ht="33.75" customHeight="1">
      <c r="E16" s="18">
        <v>5</v>
      </c>
      <c r="F16" s="59" t="s">
        <v>38</v>
      </c>
      <c r="G16" s="59"/>
      <c r="H16" s="59"/>
      <c r="I16" s="59"/>
      <c r="J16" s="84">
        <f>36199820*1.2</f>
        <v>43439784</v>
      </c>
      <c r="K16" s="85"/>
      <c r="L16" s="85"/>
      <c r="M16" s="85"/>
      <c r="N16" s="85"/>
      <c r="O16" s="85"/>
      <c r="P16" s="85"/>
      <c r="Q16" s="86"/>
    </row>
    <row r="17" spans="5:21" ht="30" customHeight="1">
      <c r="E17" s="18">
        <v>6</v>
      </c>
      <c r="F17" s="59" t="s">
        <v>40</v>
      </c>
      <c r="G17" s="59"/>
      <c r="H17" s="59"/>
      <c r="I17" s="73"/>
      <c r="J17" s="2"/>
      <c r="K17" s="3"/>
      <c r="L17" s="5" t="s">
        <v>34</v>
      </c>
      <c r="M17" s="71">
        <v>1.0392999999999999</v>
      </c>
      <c r="N17" s="71"/>
      <c r="O17" s="71"/>
      <c r="P17" s="71"/>
      <c r="Q17" s="72"/>
    </row>
    <row r="18" spans="5:21" ht="31.5" customHeight="1">
      <c r="E18" s="18">
        <v>7</v>
      </c>
      <c r="F18" s="59" t="s">
        <v>41</v>
      </c>
      <c r="G18" s="59"/>
      <c r="H18" s="59"/>
      <c r="I18" s="73"/>
      <c r="J18" s="2"/>
      <c r="K18" s="3"/>
      <c r="L18" s="5" t="s">
        <v>35</v>
      </c>
      <c r="M18" s="71">
        <v>1.0299</v>
      </c>
      <c r="N18" s="71"/>
      <c r="O18" s="71"/>
      <c r="P18" s="71"/>
      <c r="Q18" s="72"/>
    </row>
    <row r="19" spans="5:21" ht="29.25" customHeight="1">
      <c r="E19" s="18">
        <v>8</v>
      </c>
      <c r="F19" s="59" t="s">
        <v>36</v>
      </c>
      <c r="G19" s="59"/>
      <c r="H19" s="59"/>
      <c r="I19" s="73"/>
      <c r="J19" s="2"/>
      <c r="K19" s="3"/>
      <c r="L19" s="5" t="s">
        <v>37</v>
      </c>
      <c r="M19" s="71">
        <f>ROUND(M17*M18,4)</f>
        <v>1.0704</v>
      </c>
      <c r="N19" s="71"/>
      <c r="O19" s="71"/>
      <c r="P19" s="71"/>
      <c r="Q19" s="72"/>
    </row>
    <row r="20" spans="5:21" ht="43.5" customHeight="1">
      <c r="E20" s="19">
        <v>9</v>
      </c>
      <c r="F20" s="63" t="s">
        <v>42</v>
      </c>
      <c r="G20" s="64"/>
      <c r="H20" s="64"/>
      <c r="I20" s="64"/>
      <c r="J20" s="77">
        <f>J16/M19</f>
        <v>40582757.847533628</v>
      </c>
      <c r="K20" s="78"/>
      <c r="L20" s="78"/>
      <c r="M20" s="78"/>
      <c r="N20" s="78"/>
      <c r="O20" s="78"/>
      <c r="P20" s="78"/>
      <c r="Q20" s="79"/>
    </row>
    <row r="21" spans="5:21" ht="24" customHeight="1">
      <c r="E21" s="68" t="s">
        <v>29</v>
      </c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</row>
    <row r="22" spans="5:21" ht="30" customHeight="1">
      <c r="E22" s="18">
        <v>1</v>
      </c>
      <c r="F22" s="59" t="s">
        <v>5</v>
      </c>
      <c r="G22" s="59"/>
      <c r="H22" s="59"/>
      <c r="I22" s="59"/>
      <c r="J22" s="88" t="s">
        <v>24</v>
      </c>
      <c r="K22" s="89"/>
      <c r="L22" s="89"/>
      <c r="M22" s="89"/>
      <c r="N22" s="89"/>
      <c r="O22" s="89"/>
      <c r="P22" s="89"/>
      <c r="Q22" s="90"/>
      <c r="R22" s="6"/>
    </row>
    <row r="23" spans="5:21" ht="35.25" customHeight="1">
      <c r="E23" s="18">
        <v>2</v>
      </c>
      <c r="F23" s="59" t="s">
        <v>0</v>
      </c>
      <c r="G23" s="59"/>
      <c r="H23" s="59"/>
      <c r="I23" s="59"/>
      <c r="J23" s="81" t="s">
        <v>31</v>
      </c>
      <c r="K23" s="82"/>
      <c r="L23" s="82"/>
      <c r="M23" s="82"/>
      <c r="N23" s="82"/>
      <c r="O23" s="82"/>
      <c r="P23" s="82"/>
      <c r="Q23" s="83"/>
    </row>
    <row r="24" spans="5:21" ht="32.25" customHeight="1">
      <c r="E24" s="18">
        <v>3</v>
      </c>
      <c r="F24" s="59" t="s">
        <v>1</v>
      </c>
      <c r="G24" s="59"/>
      <c r="H24" s="59"/>
      <c r="I24" s="59"/>
      <c r="J24" s="81" t="s">
        <v>39</v>
      </c>
      <c r="K24" s="82"/>
      <c r="L24" s="82"/>
      <c r="M24" s="82"/>
      <c r="N24" s="82"/>
      <c r="O24" s="82"/>
      <c r="P24" s="82"/>
      <c r="Q24" s="83"/>
    </row>
    <row r="25" spans="5:21" ht="36.75" customHeight="1">
      <c r="E25" s="18">
        <v>4</v>
      </c>
      <c r="F25" s="59" t="s">
        <v>25</v>
      </c>
      <c r="G25" s="59"/>
      <c r="H25" s="59"/>
      <c r="I25" s="59"/>
      <c r="J25" s="81" t="s">
        <v>15</v>
      </c>
      <c r="K25" s="82"/>
      <c r="L25" s="82"/>
      <c r="M25" s="82"/>
      <c r="N25" s="82"/>
      <c r="O25" s="82"/>
      <c r="P25" s="82"/>
      <c r="Q25" s="83"/>
    </row>
    <row r="26" spans="5:21" ht="36.75" customHeight="1">
      <c r="E26" s="18">
        <v>5</v>
      </c>
      <c r="F26" s="59" t="s">
        <v>38</v>
      </c>
      <c r="G26" s="59"/>
      <c r="H26" s="59"/>
      <c r="I26" s="59"/>
      <c r="J26" s="84">
        <f>95907930*1.2</f>
        <v>115089516</v>
      </c>
      <c r="K26" s="85"/>
      <c r="L26" s="85"/>
      <c r="M26" s="85"/>
      <c r="N26" s="85"/>
      <c r="O26" s="85"/>
      <c r="P26" s="85"/>
      <c r="Q26" s="86"/>
    </row>
    <row r="27" spans="5:21" ht="33" customHeight="1">
      <c r="E27" s="18">
        <v>6</v>
      </c>
      <c r="F27" s="59" t="s">
        <v>33</v>
      </c>
      <c r="G27" s="59"/>
      <c r="H27" s="59"/>
      <c r="I27" s="73"/>
      <c r="J27" s="2"/>
      <c r="K27" s="3"/>
      <c r="L27" s="5" t="s">
        <v>34</v>
      </c>
      <c r="M27" s="71">
        <v>1</v>
      </c>
      <c r="N27" s="71"/>
      <c r="O27" s="71"/>
      <c r="P27" s="71"/>
      <c r="Q27" s="72"/>
    </row>
    <row r="28" spans="5:21" ht="38.25" customHeight="1">
      <c r="E28" s="18">
        <v>7</v>
      </c>
      <c r="F28" s="59" t="s">
        <v>41</v>
      </c>
      <c r="G28" s="59"/>
      <c r="H28" s="59"/>
      <c r="I28" s="73"/>
      <c r="J28" s="2"/>
      <c r="K28" s="3"/>
      <c r="L28" s="5" t="s">
        <v>35</v>
      </c>
      <c r="M28" s="71">
        <v>1.0271999999999999</v>
      </c>
      <c r="N28" s="71"/>
      <c r="O28" s="71"/>
      <c r="P28" s="71"/>
      <c r="Q28" s="72"/>
    </row>
    <row r="29" spans="5:21" ht="27.75" customHeight="1">
      <c r="E29" s="18">
        <v>8</v>
      </c>
      <c r="F29" s="59" t="s">
        <v>36</v>
      </c>
      <c r="G29" s="59"/>
      <c r="H29" s="59"/>
      <c r="I29" s="73"/>
      <c r="J29" s="2"/>
      <c r="K29" s="3"/>
      <c r="L29" s="5" t="s">
        <v>37</v>
      </c>
      <c r="M29" s="71">
        <f>ROUND(M27*M28,4)</f>
        <v>1.0271999999999999</v>
      </c>
      <c r="N29" s="71"/>
      <c r="O29" s="71"/>
      <c r="P29" s="71"/>
      <c r="Q29" s="72"/>
    </row>
    <row r="30" spans="5:21" ht="45.75" customHeight="1">
      <c r="E30" s="19">
        <v>9</v>
      </c>
      <c r="F30" s="63" t="s">
        <v>42</v>
      </c>
      <c r="G30" s="64"/>
      <c r="H30" s="64"/>
      <c r="I30" s="64"/>
      <c r="J30" s="77">
        <f>J26/M29</f>
        <v>112041974.29906543</v>
      </c>
      <c r="K30" s="78"/>
      <c r="L30" s="78"/>
      <c r="M30" s="78"/>
      <c r="N30" s="78"/>
      <c r="O30" s="78"/>
      <c r="P30" s="78"/>
      <c r="Q30" s="79"/>
    </row>
    <row r="31" spans="5:21" ht="72.75" customHeight="1">
      <c r="E31" s="27">
        <v>10</v>
      </c>
      <c r="F31" s="112" t="s">
        <v>58</v>
      </c>
      <c r="G31" s="113"/>
      <c r="H31" s="113"/>
      <c r="I31" s="113"/>
      <c r="J31" s="114">
        <f>J50-J20</f>
        <v>111701068.15246637</v>
      </c>
      <c r="K31" s="115"/>
      <c r="L31" s="115"/>
      <c r="M31" s="115"/>
      <c r="N31" s="115"/>
      <c r="O31" s="115"/>
      <c r="P31" s="115"/>
      <c r="Q31" s="116"/>
      <c r="S31" s="28"/>
      <c r="T31" s="28"/>
      <c r="U31" s="28"/>
    </row>
    <row r="32" spans="5:21" ht="45.75" customHeight="1">
      <c r="E32" s="39" t="s">
        <v>44</v>
      </c>
      <c r="F32" s="40"/>
      <c r="G32" s="40"/>
      <c r="H32" s="40"/>
      <c r="I32" s="41"/>
      <c r="J32" s="100">
        <f>J20+J31</f>
        <v>152283826</v>
      </c>
      <c r="K32" s="101"/>
      <c r="L32" s="101"/>
      <c r="M32" s="101"/>
      <c r="N32" s="101"/>
      <c r="O32" s="101"/>
      <c r="P32" s="101"/>
      <c r="Q32" s="102"/>
    </row>
    <row r="33" spans="5:24" ht="30" customHeight="1">
      <c r="E33" s="74" t="s">
        <v>45</v>
      </c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6"/>
    </row>
    <row r="34" spans="5:24" ht="30.75" customHeight="1">
      <c r="E34" s="18">
        <v>1</v>
      </c>
      <c r="F34" s="80" t="s">
        <v>59</v>
      </c>
      <c r="G34" s="80"/>
      <c r="H34" s="80"/>
      <c r="I34" s="80"/>
      <c r="J34" s="103">
        <v>45962</v>
      </c>
      <c r="K34" s="104"/>
      <c r="L34" s="104"/>
      <c r="M34" s="104"/>
      <c r="N34" s="104"/>
      <c r="O34" s="104"/>
      <c r="P34" s="104"/>
      <c r="Q34" s="105"/>
      <c r="R34" s="29"/>
    </row>
    <row r="35" spans="5:24" ht="30.75" customHeight="1">
      <c r="E35" s="18">
        <v>2</v>
      </c>
      <c r="F35" s="80" t="s">
        <v>60</v>
      </c>
      <c r="G35" s="80"/>
      <c r="H35" s="80"/>
      <c r="I35" s="80"/>
      <c r="J35" s="103">
        <v>46736</v>
      </c>
      <c r="K35" s="104"/>
      <c r="L35" s="104"/>
      <c r="M35" s="104"/>
      <c r="N35" s="104"/>
      <c r="O35" s="104"/>
      <c r="P35" s="104"/>
      <c r="Q35" s="104"/>
      <c r="R35" s="120" t="s">
        <v>73</v>
      </c>
      <c r="S35" s="120"/>
      <c r="T35" s="120"/>
      <c r="U35" s="122"/>
      <c r="V35" s="121" t="s">
        <v>67</v>
      </c>
      <c r="W35" s="121"/>
      <c r="X35" s="121"/>
    </row>
    <row r="36" spans="5:24" ht="30.75" customHeight="1">
      <c r="E36" s="18">
        <v>3</v>
      </c>
      <c r="F36" s="80" t="s">
        <v>61</v>
      </c>
      <c r="G36" s="80"/>
      <c r="H36" s="80"/>
      <c r="I36" s="80"/>
      <c r="J36" s="53">
        <f>73684767.92*1.2</f>
        <v>88421721.503999993</v>
      </c>
      <c r="K36" s="54"/>
      <c r="L36" s="54"/>
      <c r="M36" s="54"/>
      <c r="N36" s="54"/>
      <c r="O36" s="54"/>
      <c r="P36" s="54"/>
      <c r="Q36" s="54"/>
      <c r="R36" s="123">
        <v>73684767.920000002</v>
      </c>
      <c r="S36" s="124" t="s">
        <v>66</v>
      </c>
      <c r="T36" s="124" t="s">
        <v>72</v>
      </c>
      <c r="V36" s="126">
        <v>3205790</v>
      </c>
      <c r="W36" s="125" t="s">
        <v>66</v>
      </c>
      <c r="X36" s="125" t="s">
        <v>69</v>
      </c>
    </row>
    <row r="37" spans="5:24" ht="30.75" customHeight="1">
      <c r="E37" s="18">
        <v>4</v>
      </c>
      <c r="F37" s="80" t="s">
        <v>47</v>
      </c>
      <c r="G37" s="80"/>
      <c r="H37" s="80"/>
      <c r="I37" s="80"/>
      <c r="J37" s="7"/>
      <c r="K37" s="8"/>
      <c r="L37" s="9" t="s">
        <v>48</v>
      </c>
      <c r="M37" s="107">
        <v>1.1232</v>
      </c>
      <c r="N37" s="107"/>
      <c r="O37" s="107"/>
      <c r="P37" s="107"/>
      <c r="Q37" s="107"/>
      <c r="R37" s="123">
        <f>R36*M37*M38</f>
        <v>88804410.714669317</v>
      </c>
      <c r="S37" s="124" t="s">
        <v>66</v>
      </c>
      <c r="T37" s="124" t="s">
        <v>70</v>
      </c>
      <c r="V37" s="126">
        <f>ROUND(PRODUCT(V36,M37,M38),2)</f>
        <v>3863597.59</v>
      </c>
      <c r="W37" s="125" t="s">
        <v>66</v>
      </c>
      <c r="X37" s="125" t="s">
        <v>70</v>
      </c>
    </row>
    <row r="38" spans="5:24" ht="30.75" customHeight="1">
      <c r="E38" s="18">
        <v>5</v>
      </c>
      <c r="F38" s="117" t="s">
        <v>62</v>
      </c>
      <c r="G38" s="104"/>
      <c r="H38" s="104"/>
      <c r="I38" s="118"/>
      <c r="J38" s="7"/>
      <c r="K38" s="8"/>
      <c r="L38" s="9" t="s">
        <v>63</v>
      </c>
      <c r="M38" s="107">
        <v>1.073</v>
      </c>
      <c r="N38" s="107"/>
      <c r="O38" s="107"/>
      <c r="P38" s="107"/>
      <c r="Q38" s="107"/>
      <c r="R38" s="123">
        <f>ROUND(R37*R48,2)</f>
        <v>75877035.260000005</v>
      </c>
      <c r="S38" s="124" t="s">
        <v>66</v>
      </c>
      <c r="T38" s="124" t="s">
        <v>71</v>
      </c>
      <c r="V38" s="126">
        <f>ROUND(PRODUCT(V37,R48),2)</f>
        <v>3301168.58</v>
      </c>
      <c r="W38" s="125" t="s">
        <v>66</v>
      </c>
      <c r="X38" s="125" t="s">
        <v>71</v>
      </c>
    </row>
    <row r="39" spans="5:24" ht="30.75" customHeight="1">
      <c r="E39" s="19">
        <v>6</v>
      </c>
      <c r="F39" s="106" t="s">
        <v>56</v>
      </c>
      <c r="G39" s="106"/>
      <c r="H39" s="106"/>
      <c r="I39" s="106"/>
      <c r="J39" s="109">
        <f>J36*M37*M38</f>
        <v>106565292.85760316</v>
      </c>
      <c r="K39" s="110"/>
      <c r="L39" s="110"/>
      <c r="M39" s="110"/>
      <c r="N39" s="110"/>
      <c r="O39" s="110"/>
      <c r="P39" s="110"/>
      <c r="Q39" s="111"/>
      <c r="R39" s="123"/>
      <c r="S39" s="124"/>
      <c r="T39" s="124"/>
      <c r="V39" s="123"/>
      <c r="W39" s="124"/>
      <c r="X39" s="124"/>
    </row>
    <row r="40" spans="5:24" ht="30.75" customHeight="1">
      <c r="E40" s="74" t="s">
        <v>46</v>
      </c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129"/>
      <c r="S40" s="129"/>
      <c r="T40" s="129"/>
      <c r="U40" s="128"/>
      <c r="V40" s="130"/>
      <c r="W40" s="130"/>
      <c r="X40" s="130"/>
    </row>
    <row r="41" spans="5:24" ht="30.75" customHeight="1">
      <c r="E41" s="18">
        <v>1</v>
      </c>
      <c r="F41" s="80" t="s">
        <v>59</v>
      </c>
      <c r="G41" s="80"/>
      <c r="H41" s="80"/>
      <c r="I41" s="80"/>
      <c r="J41" s="103">
        <v>45962</v>
      </c>
      <c r="K41" s="104"/>
      <c r="L41" s="104"/>
      <c r="M41" s="104"/>
      <c r="N41" s="104"/>
      <c r="O41" s="104"/>
      <c r="P41" s="104"/>
      <c r="Q41" s="105"/>
    </row>
    <row r="42" spans="5:24" ht="30.75" customHeight="1">
      <c r="E42" s="18">
        <v>2</v>
      </c>
      <c r="F42" s="80" t="s">
        <v>60</v>
      </c>
      <c r="G42" s="80"/>
      <c r="H42" s="80"/>
      <c r="I42" s="80"/>
      <c r="J42" s="103">
        <v>46736</v>
      </c>
      <c r="K42" s="104"/>
      <c r="L42" s="104"/>
      <c r="M42" s="104"/>
      <c r="N42" s="104"/>
      <c r="O42" s="104"/>
      <c r="P42" s="104"/>
      <c r="Q42" s="105"/>
      <c r="R42" s="120" t="s">
        <v>74</v>
      </c>
      <c r="S42" s="120"/>
      <c r="T42" s="120"/>
      <c r="V42" s="121" t="s">
        <v>75</v>
      </c>
      <c r="W42" s="121"/>
      <c r="X42" s="121"/>
    </row>
    <row r="43" spans="5:24" ht="30.75" customHeight="1">
      <c r="E43" s="18">
        <v>3</v>
      </c>
      <c r="F43" s="80" t="s">
        <v>61</v>
      </c>
      <c r="G43" s="80"/>
      <c r="H43" s="80"/>
      <c r="I43" s="80"/>
      <c r="J43" s="53">
        <f>4870650081.83*1.2</f>
        <v>5844780098.1960001</v>
      </c>
      <c r="K43" s="54"/>
      <c r="L43" s="54"/>
      <c r="M43" s="54"/>
      <c r="N43" s="54"/>
      <c r="O43" s="54"/>
      <c r="P43" s="54"/>
      <c r="Q43" s="55"/>
      <c r="R43" s="123">
        <v>4870650081.8299999</v>
      </c>
      <c r="S43" s="124" t="s">
        <v>66</v>
      </c>
      <c r="T43" s="124" t="s">
        <v>72</v>
      </c>
      <c r="V43" s="123">
        <v>105864730</v>
      </c>
      <c r="W43" s="124" t="s">
        <v>66</v>
      </c>
      <c r="X43" s="124" t="s">
        <v>69</v>
      </c>
    </row>
    <row r="44" spans="5:24" ht="30.75" customHeight="1">
      <c r="E44" s="18">
        <v>4</v>
      </c>
      <c r="F44" s="80" t="s">
        <v>47</v>
      </c>
      <c r="G44" s="80"/>
      <c r="H44" s="80"/>
      <c r="I44" s="80"/>
      <c r="J44" s="7"/>
      <c r="K44" s="8"/>
      <c r="L44" s="9" t="s">
        <v>48</v>
      </c>
      <c r="M44" s="107">
        <v>1.0911999999999999</v>
      </c>
      <c r="N44" s="107"/>
      <c r="O44" s="107"/>
      <c r="P44" s="107"/>
      <c r="Q44" s="108"/>
      <c r="R44" s="123">
        <f>ROUND(R43*M44*M45,2)</f>
        <v>5702837665.25</v>
      </c>
      <c r="S44" s="124" t="s">
        <v>66</v>
      </c>
      <c r="T44" s="124" t="s">
        <v>70</v>
      </c>
      <c r="V44" s="123">
        <f>ROUND(V43*M44*M45,2)</f>
        <v>123952523.69</v>
      </c>
      <c r="W44" s="124" t="s">
        <v>66</v>
      </c>
      <c r="X44" s="124" t="s">
        <v>70</v>
      </c>
    </row>
    <row r="45" spans="5:24" ht="30.75" customHeight="1">
      <c r="E45" s="18">
        <v>5</v>
      </c>
      <c r="F45" s="117" t="s">
        <v>62</v>
      </c>
      <c r="G45" s="104"/>
      <c r="H45" s="104"/>
      <c r="I45" s="118"/>
      <c r="J45" s="7"/>
      <c r="K45" s="8"/>
      <c r="L45" s="9" t="s">
        <v>63</v>
      </c>
      <c r="M45" s="107">
        <v>1.073</v>
      </c>
      <c r="N45" s="107"/>
      <c r="O45" s="107"/>
      <c r="P45" s="107"/>
      <c r="Q45" s="108"/>
      <c r="R45" s="123">
        <f>ROUND(R44*R48,2)</f>
        <v>4872668048.0699997</v>
      </c>
      <c r="S45" s="124" t="s">
        <v>66</v>
      </c>
      <c r="T45" s="124" t="s">
        <v>71</v>
      </c>
      <c r="V45" s="123">
        <f>ROUND(V44*R48,2)</f>
        <v>105908590.97</v>
      </c>
      <c r="W45" s="124" t="s">
        <v>66</v>
      </c>
      <c r="X45" s="124" t="s">
        <v>76</v>
      </c>
    </row>
    <row r="46" spans="5:24" ht="21.75" customHeight="1">
      <c r="E46" s="19">
        <v>6</v>
      </c>
      <c r="F46" s="106" t="s">
        <v>57</v>
      </c>
      <c r="G46" s="106"/>
      <c r="H46" s="106"/>
      <c r="I46" s="106"/>
      <c r="J46" s="109">
        <f>J43*M44*M45</f>
        <v>6843405198.3015327</v>
      </c>
      <c r="K46" s="110"/>
      <c r="L46" s="110"/>
      <c r="M46" s="110"/>
      <c r="N46" s="110"/>
      <c r="O46" s="110"/>
      <c r="P46" s="110"/>
      <c r="Q46" s="111"/>
      <c r="R46" s="123"/>
      <c r="S46" s="124"/>
      <c r="T46" s="124"/>
      <c r="V46" s="123"/>
      <c r="W46" s="124"/>
      <c r="X46" s="124"/>
    </row>
    <row r="47" spans="5:24" ht="47.25" customHeight="1">
      <c r="E47" s="39" t="s">
        <v>55</v>
      </c>
      <c r="F47" s="40"/>
      <c r="G47" s="40"/>
      <c r="H47" s="40"/>
      <c r="I47" s="41"/>
      <c r="J47" s="33">
        <f>J39+J46</f>
        <v>6949970491.1591358</v>
      </c>
      <c r="K47" s="34"/>
      <c r="L47" s="34"/>
      <c r="M47" s="34"/>
      <c r="N47" s="34"/>
      <c r="O47" s="34"/>
      <c r="P47" s="34"/>
      <c r="Q47" s="35"/>
    </row>
    <row r="48" spans="5:24" ht="81.75" customHeight="1">
      <c r="E48" s="27">
        <v>10</v>
      </c>
      <c r="F48" s="112" t="s">
        <v>64</v>
      </c>
      <c r="G48" s="113"/>
      <c r="H48" s="113"/>
      <c r="I48" s="113"/>
      <c r="J48" s="114">
        <f>5938254100</f>
        <v>5938254100</v>
      </c>
      <c r="K48" s="115"/>
      <c r="L48" s="115"/>
      <c r="M48" s="115"/>
      <c r="N48" s="115"/>
      <c r="O48" s="115"/>
      <c r="P48" s="115"/>
      <c r="Q48" s="115"/>
      <c r="R48" s="131">
        <f>J48/J47</f>
        <v>0.85442867815825807</v>
      </c>
      <c r="S48" s="127" t="s">
        <v>68</v>
      </c>
      <c r="T48" s="119"/>
      <c r="U48" s="119"/>
    </row>
    <row r="49" spans="5:17" ht="23.25" customHeight="1">
      <c r="E49" s="68" t="s">
        <v>7</v>
      </c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70"/>
    </row>
    <row r="50" spans="5:17" ht="30.75" customHeight="1">
      <c r="E50" s="18">
        <v>1</v>
      </c>
      <c r="F50" s="30" t="s">
        <v>49</v>
      </c>
      <c r="G50" s="31"/>
      <c r="H50" s="31"/>
      <c r="I50" s="32"/>
      <c r="J50" s="53">
        <f>152283826</f>
        <v>152283826</v>
      </c>
      <c r="K50" s="54"/>
      <c r="L50" s="54"/>
      <c r="M50" s="54"/>
      <c r="N50" s="54"/>
      <c r="O50" s="54"/>
      <c r="P50" s="54"/>
      <c r="Q50" s="55"/>
    </row>
    <row r="51" spans="5:17" ht="51" customHeight="1">
      <c r="E51" s="18">
        <v>2</v>
      </c>
      <c r="F51" s="30" t="s">
        <v>50</v>
      </c>
      <c r="G51" s="31"/>
      <c r="H51" s="31"/>
      <c r="I51" s="32"/>
      <c r="J51" s="53">
        <f>J48</f>
        <v>5938254100</v>
      </c>
      <c r="K51" s="54"/>
      <c r="L51" s="54"/>
      <c r="M51" s="54"/>
      <c r="N51" s="54"/>
      <c r="O51" s="54"/>
      <c r="P51" s="54"/>
      <c r="Q51" s="55"/>
    </row>
    <row r="52" spans="5:17" ht="24.75" customHeight="1">
      <c r="E52" s="18">
        <v>3</v>
      </c>
      <c r="F52" s="30" t="s">
        <v>52</v>
      </c>
      <c r="G52" s="31"/>
      <c r="H52" s="31"/>
      <c r="I52" s="32"/>
      <c r="J52" s="30" t="s">
        <v>53</v>
      </c>
      <c r="K52" s="31"/>
      <c r="L52" s="31"/>
      <c r="M52" s="31"/>
      <c r="N52" s="31"/>
      <c r="O52" s="31"/>
      <c r="P52" s="31"/>
      <c r="Q52" s="32"/>
    </row>
    <row r="53" spans="5:17" ht="30.75" customHeight="1">
      <c r="E53" s="39" t="s">
        <v>54</v>
      </c>
      <c r="F53" s="40"/>
      <c r="G53" s="40"/>
      <c r="H53" s="40"/>
      <c r="I53" s="41"/>
      <c r="J53" s="33">
        <f>J50+J51</f>
        <v>6090537926</v>
      </c>
      <c r="K53" s="34"/>
      <c r="L53" s="34"/>
      <c r="M53" s="34"/>
      <c r="N53" s="34"/>
      <c r="O53" s="34"/>
      <c r="P53" s="34"/>
      <c r="Q53" s="35"/>
    </row>
    <row r="54" spans="5:17">
      <c r="E54" s="2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1"/>
    </row>
    <row r="55" spans="5:17" ht="15.75">
      <c r="E55" s="36" t="s">
        <v>65</v>
      </c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8"/>
    </row>
    <row r="56" spans="5:17">
      <c r="E56" s="2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1"/>
    </row>
    <row r="57" spans="5:17" ht="30.75" customHeight="1">
      <c r="E57" s="50" t="s">
        <v>10</v>
      </c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2"/>
    </row>
    <row r="58" spans="5:17">
      <c r="E58" s="2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1"/>
    </row>
    <row r="59" spans="5:17">
      <c r="E59" s="46" t="s">
        <v>14</v>
      </c>
      <c r="F59" s="47"/>
      <c r="G59" s="11"/>
      <c r="H59" s="11"/>
      <c r="I59" s="48" t="s">
        <v>12</v>
      </c>
      <c r="J59" s="48"/>
      <c r="K59" s="48"/>
      <c r="L59" s="48"/>
      <c r="M59" s="48"/>
      <c r="N59" s="48"/>
      <c r="O59" s="48"/>
      <c r="P59" s="48"/>
      <c r="Q59" s="49"/>
    </row>
    <row r="60" spans="5:17">
      <c r="E60" s="22"/>
      <c r="F60" s="12"/>
      <c r="G60" s="11"/>
      <c r="H60" s="11"/>
      <c r="I60" s="13"/>
      <c r="J60" s="13"/>
      <c r="K60" s="13"/>
      <c r="L60" s="13"/>
      <c r="M60" s="13"/>
      <c r="N60" s="13"/>
      <c r="O60" s="13"/>
      <c r="P60" s="13"/>
      <c r="Q60" s="23"/>
    </row>
    <row r="61" spans="5:17">
      <c r="E61" s="46" t="s">
        <v>14</v>
      </c>
      <c r="F61" s="47"/>
      <c r="G61" s="11"/>
      <c r="H61" s="11"/>
      <c r="I61" s="48" t="s">
        <v>51</v>
      </c>
      <c r="J61" s="48"/>
      <c r="K61" s="48"/>
      <c r="L61" s="48"/>
      <c r="M61" s="48"/>
      <c r="N61" s="48"/>
      <c r="O61" s="48"/>
      <c r="P61" s="48"/>
      <c r="Q61" s="49"/>
    </row>
    <row r="62" spans="5:17">
      <c r="E62" s="24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5"/>
    </row>
    <row r="63" spans="5:17" ht="15.75" thickBot="1">
      <c r="E63" s="42" t="s">
        <v>11</v>
      </c>
      <c r="F63" s="43"/>
      <c r="G63" s="26"/>
      <c r="H63" s="26"/>
      <c r="I63" s="44" t="s">
        <v>13</v>
      </c>
      <c r="J63" s="44"/>
      <c r="K63" s="44"/>
      <c r="L63" s="44"/>
      <c r="M63" s="44"/>
      <c r="N63" s="44"/>
      <c r="O63" s="44"/>
      <c r="P63" s="44"/>
      <c r="Q63" s="45"/>
    </row>
  </sheetData>
  <mergeCells count="110">
    <mergeCell ref="V35:X35"/>
    <mergeCell ref="R35:T35"/>
    <mergeCell ref="R40:T40"/>
    <mergeCell ref="V40:X40"/>
    <mergeCell ref="R42:T42"/>
    <mergeCell ref="V42:X42"/>
    <mergeCell ref="F45:I45"/>
    <mergeCell ref="F48:I48"/>
    <mergeCell ref="J48:Q48"/>
    <mergeCell ref="E49:Q49"/>
    <mergeCell ref="F42:I42"/>
    <mergeCell ref="J42:Q42"/>
    <mergeCell ref="E47:I47"/>
    <mergeCell ref="M44:Q44"/>
    <mergeCell ref="J47:Q47"/>
    <mergeCell ref="J46:Q46"/>
    <mergeCell ref="F46:I46"/>
    <mergeCell ref="F43:I43"/>
    <mergeCell ref="F44:I44"/>
    <mergeCell ref="J43:Q43"/>
    <mergeCell ref="M45:Q45"/>
    <mergeCell ref="F30:I30"/>
    <mergeCell ref="J30:Q30"/>
    <mergeCell ref="J32:Q32"/>
    <mergeCell ref="E32:I32"/>
    <mergeCell ref="J41:Q41"/>
    <mergeCell ref="F41:I41"/>
    <mergeCell ref="F39:I39"/>
    <mergeCell ref="J34:Q34"/>
    <mergeCell ref="J35:Q35"/>
    <mergeCell ref="M37:Q37"/>
    <mergeCell ref="E40:Q40"/>
    <mergeCell ref="J39:Q39"/>
    <mergeCell ref="F37:I37"/>
    <mergeCell ref="F31:I31"/>
    <mergeCell ref="J31:Q31"/>
    <mergeCell ref="F35:I35"/>
    <mergeCell ref="F38:I38"/>
    <mergeCell ref="M38:Q38"/>
    <mergeCell ref="I2:K2"/>
    <mergeCell ref="I3:K3"/>
    <mergeCell ref="F2:H2"/>
    <mergeCell ref="F3:H3"/>
    <mergeCell ref="F4:H4"/>
    <mergeCell ref="I4:K4"/>
    <mergeCell ref="J16:Q16"/>
    <mergeCell ref="F22:I22"/>
    <mergeCell ref="J22:Q22"/>
    <mergeCell ref="L4:Q4"/>
    <mergeCell ref="J12:Q12"/>
    <mergeCell ref="J13:Q13"/>
    <mergeCell ref="J14:Q14"/>
    <mergeCell ref="J15:Q15"/>
    <mergeCell ref="E5:Q5"/>
    <mergeCell ref="E6:Q6"/>
    <mergeCell ref="E7:Q7"/>
    <mergeCell ref="E8:Q8"/>
    <mergeCell ref="J23:Q23"/>
    <mergeCell ref="F24:I24"/>
    <mergeCell ref="J24:Q24"/>
    <mergeCell ref="F28:I28"/>
    <mergeCell ref="M28:Q28"/>
    <mergeCell ref="F29:I29"/>
    <mergeCell ref="M29:Q29"/>
    <mergeCell ref="F25:I25"/>
    <mergeCell ref="J25:Q25"/>
    <mergeCell ref="F26:I26"/>
    <mergeCell ref="J26:Q26"/>
    <mergeCell ref="F27:I27"/>
    <mergeCell ref="M27:Q27"/>
    <mergeCell ref="E1:Q1"/>
    <mergeCell ref="L2:Q2"/>
    <mergeCell ref="L3:Q3"/>
    <mergeCell ref="J36:Q36"/>
    <mergeCell ref="F20:I20"/>
    <mergeCell ref="E9:Q9"/>
    <mergeCell ref="E11:Q11"/>
    <mergeCell ref="F12:I12"/>
    <mergeCell ref="F13:I13"/>
    <mergeCell ref="M17:Q17"/>
    <mergeCell ref="M18:Q18"/>
    <mergeCell ref="F14:I14"/>
    <mergeCell ref="F15:I15"/>
    <mergeCell ref="F16:I16"/>
    <mergeCell ref="F17:I17"/>
    <mergeCell ref="F18:I18"/>
    <mergeCell ref="F23:I23"/>
    <mergeCell ref="E33:Q33"/>
    <mergeCell ref="F19:I19"/>
    <mergeCell ref="M19:Q19"/>
    <mergeCell ref="J20:Q20"/>
    <mergeCell ref="E21:Q21"/>
    <mergeCell ref="F36:I36"/>
    <mergeCell ref="F34:I34"/>
    <mergeCell ref="J52:Q52"/>
    <mergeCell ref="J53:Q53"/>
    <mergeCell ref="E55:Q55"/>
    <mergeCell ref="F50:I50"/>
    <mergeCell ref="F51:I51"/>
    <mergeCell ref="F52:I52"/>
    <mergeCell ref="E53:I53"/>
    <mergeCell ref="E63:F63"/>
    <mergeCell ref="I63:Q63"/>
    <mergeCell ref="E61:F61"/>
    <mergeCell ref="I61:Q61"/>
    <mergeCell ref="E57:Q57"/>
    <mergeCell ref="E59:F59"/>
    <mergeCell ref="I59:Q59"/>
    <mergeCell ref="J50:Q50"/>
    <mergeCell ref="J51:Q5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Кулаковский</dc:creator>
  <cp:lastModifiedBy>Собянин Евгений Андреевич (new)</cp:lastModifiedBy>
  <cp:lastPrinted>2025-09-12T13:14:07Z</cp:lastPrinted>
  <dcterms:created xsi:type="dcterms:W3CDTF">2015-06-05T18:19:34Z</dcterms:created>
  <dcterms:modified xsi:type="dcterms:W3CDTF">2026-08-19T08:40:53Z</dcterms:modified>
</cp:coreProperties>
</file>