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08" windowWidth="14808" windowHeight="77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I65" i="1" l="1"/>
  <c r="Q65" i="1" s="1"/>
  <c r="R65" i="1" s="1"/>
  <c r="L65" i="1"/>
  <c r="R64" i="1"/>
  <c r="R63" i="1"/>
  <c r="Q64" i="1"/>
  <c r="Q63" i="1"/>
  <c r="L62" i="1"/>
  <c r="Z67" i="1"/>
  <c r="M39" i="1" l="1"/>
  <c r="L39" i="1"/>
  <c r="O39" i="1" s="1"/>
  <c r="E40" i="1"/>
  <c r="H40" i="1" s="1"/>
  <c r="I40" i="1" s="1"/>
  <c r="M40" i="1"/>
  <c r="Q40" i="1" s="1"/>
  <c r="N40" i="1"/>
  <c r="K40" i="1" l="1"/>
  <c r="L40" i="1" s="1"/>
  <c r="O40" i="1" s="1"/>
  <c r="R40" i="1" s="1"/>
  <c r="N21" i="1"/>
  <c r="M21" i="1"/>
  <c r="K21" i="1"/>
  <c r="L21" i="1" s="1"/>
  <c r="H21" i="1"/>
  <c r="I21" i="1" s="1"/>
  <c r="F21" i="1"/>
  <c r="N20" i="1"/>
  <c r="M20" i="1"/>
  <c r="K20" i="1"/>
  <c r="L20" i="1" s="1"/>
  <c r="H20" i="1"/>
  <c r="I20" i="1" s="1"/>
  <c r="F20" i="1"/>
  <c r="F12" i="1"/>
  <c r="F11" i="1"/>
  <c r="N11" i="1"/>
  <c r="M11" i="1"/>
  <c r="K11" i="1"/>
  <c r="L11" i="1" s="1"/>
  <c r="H11" i="1"/>
  <c r="I11" i="1" s="1"/>
  <c r="N12" i="1"/>
  <c r="M12" i="1"/>
  <c r="K12" i="1"/>
  <c r="L12" i="1" s="1"/>
  <c r="H12" i="1"/>
  <c r="I12" i="1" s="1"/>
  <c r="Q12" i="1" l="1"/>
  <c r="O21" i="1"/>
  <c r="Q21" i="1"/>
  <c r="Q11" i="1"/>
  <c r="O20" i="1"/>
  <c r="Q20" i="1"/>
  <c r="R21" i="1"/>
  <c r="O11" i="1"/>
  <c r="R11" i="1" s="1"/>
  <c r="O12" i="1"/>
  <c r="R12" i="1" s="1"/>
  <c r="N60" i="1"/>
  <c r="M60" i="1"/>
  <c r="K60" i="1"/>
  <c r="L60" i="1" s="1"/>
  <c r="H60" i="1"/>
  <c r="I60" i="1" s="1"/>
  <c r="N59" i="1"/>
  <c r="M59" i="1"/>
  <c r="K59" i="1"/>
  <c r="L59" i="1" s="1"/>
  <c r="H59" i="1"/>
  <c r="I59" i="1" s="1"/>
  <c r="O59" i="1" s="1"/>
  <c r="N58" i="1"/>
  <c r="M58" i="1"/>
  <c r="K58" i="1"/>
  <c r="L58" i="1" s="1"/>
  <c r="H58" i="1"/>
  <c r="I58" i="1" s="1"/>
  <c r="N57" i="1"/>
  <c r="M57" i="1"/>
  <c r="K57" i="1"/>
  <c r="L57" i="1" s="1"/>
  <c r="H57" i="1"/>
  <c r="I57" i="1" s="1"/>
  <c r="N56" i="1"/>
  <c r="M56" i="1"/>
  <c r="K56" i="1"/>
  <c r="L56" i="1" s="1"/>
  <c r="H56" i="1"/>
  <c r="I56" i="1" s="1"/>
  <c r="Q55" i="1"/>
  <c r="R55" i="1" s="1"/>
  <c r="F54" i="1"/>
  <c r="N53" i="1"/>
  <c r="M53" i="1"/>
  <c r="K53" i="1"/>
  <c r="L53" i="1" s="1"/>
  <c r="I53" i="1"/>
  <c r="H53" i="1"/>
  <c r="N52" i="1"/>
  <c r="M52" i="1"/>
  <c r="K52" i="1"/>
  <c r="L52" i="1" s="1"/>
  <c r="H52" i="1"/>
  <c r="I52" i="1" s="1"/>
  <c r="M51" i="1"/>
  <c r="E51" i="1"/>
  <c r="N51" i="1" s="1"/>
  <c r="M50" i="1"/>
  <c r="E50" i="1"/>
  <c r="N50" i="1" s="1"/>
  <c r="M49" i="1"/>
  <c r="E49" i="1"/>
  <c r="N49" i="1" s="1"/>
  <c r="M48" i="1"/>
  <c r="E48" i="1"/>
  <c r="N48" i="1" s="1"/>
  <c r="M47" i="1"/>
  <c r="E47" i="1"/>
  <c r="N47" i="1" s="1"/>
  <c r="M46" i="1"/>
  <c r="E46" i="1"/>
  <c r="N46" i="1" s="1"/>
  <c r="M45" i="1"/>
  <c r="E45" i="1"/>
  <c r="N45" i="1" s="1"/>
  <c r="Q44" i="1"/>
  <c r="R44" i="1" s="1"/>
  <c r="F43" i="1"/>
  <c r="M42" i="1"/>
  <c r="E42" i="1"/>
  <c r="N42" i="1" s="1"/>
  <c r="M41" i="1"/>
  <c r="E41" i="1"/>
  <c r="N41" i="1" s="1"/>
  <c r="N38" i="1"/>
  <c r="M38" i="1"/>
  <c r="K38" i="1"/>
  <c r="L38" i="1" s="1"/>
  <c r="I38" i="1"/>
  <c r="H38" i="1"/>
  <c r="N37" i="1"/>
  <c r="M37" i="1"/>
  <c r="K37" i="1"/>
  <c r="L37" i="1" s="1"/>
  <c r="H37" i="1"/>
  <c r="I37" i="1" s="1"/>
  <c r="M36" i="1"/>
  <c r="E36" i="1"/>
  <c r="N36" i="1" s="1"/>
  <c r="N35" i="1"/>
  <c r="Q35" i="1" s="1"/>
  <c r="M35" i="1"/>
  <c r="L35" i="1"/>
  <c r="K35" i="1"/>
  <c r="I35" i="1"/>
  <c r="H35" i="1"/>
  <c r="N34" i="1"/>
  <c r="M34" i="1"/>
  <c r="K34" i="1"/>
  <c r="L34" i="1" s="1"/>
  <c r="H34" i="1"/>
  <c r="I34" i="1" s="1"/>
  <c r="M33" i="1"/>
  <c r="E33" i="1"/>
  <c r="N33" i="1" s="1"/>
  <c r="M32" i="1"/>
  <c r="E32" i="1"/>
  <c r="N32" i="1" s="1"/>
  <c r="M31" i="1"/>
  <c r="E31" i="1"/>
  <c r="N31" i="1" s="1"/>
  <c r="M30" i="1"/>
  <c r="E30" i="1"/>
  <c r="N30" i="1" s="1"/>
  <c r="M29" i="1"/>
  <c r="E29" i="1"/>
  <c r="N29" i="1" s="1"/>
  <c r="M28" i="1"/>
  <c r="E28" i="1"/>
  <c r="N28" i="1" s="1"/>
  <c r="M27" i="1"/>
  <c r="E27" i="1"/>
  <c r="N27" i="1" s="1"/>
  <c r="M26" i="1"/>
  <c r="E26" i="1"/>
  <c r="N26" i="1" s="1"/>
  <c r="Q25" i="1"/>
  <c r="R25" i="1" s="1"/>
  <c r="F24" i="1"/>
  <c r="Q24" i="1" s="1"/>
  <c r="M23" i="1"/>
  <c r="E23" i="1"/>
  <c r="N23" i="1" s="1"/>
  <c r="Q23" i="1" s="1"/>
  <c r="M22" i="1"/>
  <c r="E22" i="1"/>
  <c r="E19" i="1"/>
  <c r="M18" i="1"/>
  <c r="E18" i="1"/>
  <c r="Q17" i="1"/>
  <c r="R17" i="1" s="1"/>
  <c r="F16" i="1"/>
  <c r="N15" i="1"/>
  <c r="M15" i="1"/>
  <c r="K15" i="1"/>
  <c r="L15" i="1" s="1"/>
  <c r="H15" i="1"/>
  <c r="I15" i="1" s="1"/>
  <c r="N14" i="1"/>
  <c r="M14" i="1"/>
  <c r="K14" i="1"/>
  <c r="L14" i="1" s="1"/>
  <c r="H14" i="1"/>
  <c r="I14" i="1" s="1"/>
  <c r="N13" i="1"/>
  <c r="M13" i="1"/>
  <c r="K13" i="1"/>
  <c r="L13" i="1" s="1"/>
  <c r="H13" i="1"/>
  <c r="I13" i="1" s="1"/>
  <c r="N9" i="1"/>
  <c r="M9" i="1"/>
  <c r="K9" i="1"/>
  <c r="L9" i="1" s="1"/>
  <c r="H9" i="1"/>
  <c r="I9" i="1" s="1"/>
  <c r="O38" i="1" l="1"/>
  <c r="Q38" i="1"/>
  <c r="Q53" i="1"/>
  <c r="Q59" i="1"/>
  <c r="Q9" i="1"/>
  <c r="Q15" i="1"/>
  <c r="O57" i="1"/>
  <c r="Q57" i="1"/>
  <c r="R20" i="1"/>
  <c r="O35" i="1"/>
  <c r="R35" i="1" s="1"/>
  <c r="O60" i="1"/>
  <c r="L61" i="1"/>
  <c r="Q60" i="1"/>
  <c r="O13" i="1"/>
  <c r="O15" i="1"/>
  <c r="R15" i="1" s="1"/>
  <c r="O53" i="1"/>
  <c r="Q13" i="1"/>
  <c r="Q10" i="1"/>
  <c r="O14" i="1"/>
  <c r="Q14" i="1"/>
  <c r="Q26" i="1"/>
  <c r="Q27" i="1"/>
  <c r="Q28" i="1"/>
  <c r="Q29" i="1"/>
  <c r="Q30" i="1"/>
  <c r="Q31" i="1"/>
  <c r="Q32" i="1"/>
  <c r="Q33" i="1"/>
  <c r="Q34" i="1"/>
  <c r="Q36" i="1"/>
  <c r="Q37" i="1"/>
  <c r="Q41" i="1"/>
  <c r="Q42" i="1"/>
  <c r="Q45" i="1"/>
  <c r="Q46" i="1"/>
  <c r="Q47" i="1"/>
  <c r="Q48" i="1"/>
  <c r="Q49" i="1"/>
  <c r="Q50" i="1"/>
  <c r="Q51" i="1"/>
  <c r="Q52" i="1"/>
  <c r="Q56" i="1"/>
  <c r="Q58" i="1"/>
  <c r="L16" i="1"/>
  <c r="I16" i="1"/>
  <c r="O9" i="1"/>
  <c r="K18" i="1"/>
  <c r="L18" i="1" s="1"/>
  <c r="H18" i="1"/>
  <c r="I18" i="1" s="1"/>
  <c r="N18" i="1"/>
  <c r="Q18" i="1" s="1"/>
  <c r="Q19" i="1"/>
  <c r="K22" i="1"/>
  <c r="L22" i="1" s="1"/>
  <c r="H22" i="1"/>
  <c r="I22" i="1" s="1"/>
  <c r="N22" i="1"/>
  <c r="Q22" i="1" s="1"/>
  <c r="O34" i="1"/>
  <c r="R34" i="1" s="1"/>
  <c r="O37" i="1"/>
  <c r="O52" i="1"/>
  <c r="I61" i="1"/>
  <c r="O56" i="1"/>
  <c r="R56" i="1" s="1"/>
  <c r="O58" i="1"/>
  <c r="R58" i="1" s="1"/>
  <c r="R9" i="1"/>
  <c r="R38" i="1"/>
  <c r="R53" i="1"/>
  <c r="R59" i="1"/>
  <c r="R60" i="1"/>
  <c r="H23" i="1"/>
  <c r="I23" i="1" s="1"/>
  <c r="K23" i="1"/>
  <c r="L23" i="1" s="1"/>
  <c r="H26" i="1"/>
  <c r="I26" i="1" s="1"/>
  <c r="K26" i="1"/>
  <c r="L26" i="1" s="1"/>
  <c r="H27" i="1"/>
  <c r="I27" i="1" s="1"/>
  <c r="K27" i="1"/>
  <c r="L27" i="1" s="1"/>
  <c r="H28" i="1"/>
  <c r="I28" i="1" s="1"/>
  <c r="K28" i="1"/>
  <c r="L28" i="1" s="1"/>
  <c r="H29" i="1"/>
  <c r="I29" i="1" s="1"/>
  <c r="K29" i="1"/>
  <c r="L29" i="1" s="1"/>
  <c r="H30" i="1"/>
  <c r="I30" i="1" s="1"/>
  <c r="K30" i="1"/>
  <c r="L30" i="1" s="1"/>
  <c r="H31" i="1"/>
  <c r="I31" i="1" s="1"/>
  <c r="K31" i="1"/>
  <c r="L31" i="1" s="1"/>
  <c r="H32" i="1"/>
  <c r="I32" i="1" s="1"/>
  <c r="K32" i="1"/>
  <c r="L32" i="1" s="1"/>
  <c r="H33" i="1"/>
  <c r="I33" i="1" s="1"/>
  <c r="K33" i="1"/>
  <c r="L33" i="1" s="1"/>
  <c r="H36" i="1"/>
  <c r="I36" i="1" s="1"/>
  <c r="K36" i="1"/>
  <c r="L36" i="1" s="1"/>
  <c r="H41" i="1"/>
  <c r="I41" i="1" s="1"/>
  <c r="K41" i="1"/>
  <c r="L41" i="1" s="1"/>
  <c r="H42" i="1"/>
  <c r="I42" i="1" s="1"/>
  <c r="K42" i="1"/>
  <c r="L42" i="1" s="1"/>
  <c r="H45" i="1"/>
  <c r="I45" i="1" s="1"/>
  <c r="K45" i="1"/>
  <c r="L45" i="1" s="1"/>
  <c r="H46" i="1"/>
  <c r="I46" i="1" s="1"/>
  <c r="K46" i="1"/>
  <c r="L46" i="1" s="1"/>
  <c r="H47" i="1"/>
  <c r="I47" i="1" s="1"/>
  <c r="K47" i="1"/>
  <c r="L47" i="1" s="1"/>
  <c r="H48" i="1"/>
  <c r="I48" i="1" s="1"/>
  <c r="K48" i="1"/>
  <c r="L48" i="1" s="1"/>
  <c r="H49" i="1"/>
  <c r="I49" i="1" s="1"/>
  <c r="K49" i="1"/>
  <c r="L49" i="1" s="1"/>
  <c r="H50" i="1"/>
  <c r="I50" i="1" s="1"/>
  <c r="K50" i="1"/>
  <c r="L50" i="1" s="1"/>
  <c r="H51" i="1"/>
  <c r="I51" i="1" s="1"/>
  <c r="K51" i="1"/>
  <c r="L51" i="1" s="1"/>
  <c r="F62" i="1"/>
  <c r="F63" i="1" s="1"/>
  <c r="Z62" i="1" s="1"/>
  <c r="AA62" i="1" s="1"/>
  <c r="R13" i="1" l="1"/>
  <c r="R57" i="1"/>
  <c r="Q61" i="1"/>
  <c r="R37" i="1"/>
  <c r="R14" i="1"/>
  <c r="O16" i="1"/>
  <c r="R52" i="1"/>
  <c r="Q16" i="1"/>
  <c r="R16" i="1" s="1"/>
  <c r="O22" i="1"/>
  <c r="R10" i="1"/>
  <c r="F64" i="1"/>
  <c r="O51" i="1"/>
  <c r="R51" i="1" s="1"/>
  <c r="O50" i="1"/>
  <c r="R50" i="1" s="1"/>
  <c r="O49" i="1"/>
  <c r="R49" i="1" s="1"/>
  <c r="O48" i="1"/>
  <c r="R48" i="1" s="1"/>
  <c r="O47" i="1"/>
  <c r="R47" i="1" s="1"/>
  <c r="O46" i="1"/>
  <c r="R46" i="1" s="1"/>
  <c r="I54" i="1"/>
  <c r="O45" i="1"/>
  <c r="O42" i="1"/>
  <c r="R42" i="1" s="1"/>
  <c r="O41" i="1"/>
  <c r="R41" i="1" s="1"/>
  <c r="O36" i="1"/>
  <c r="R36" i="1" s="1"/>
  <c r="O33" i="1"/>
  <c r="R33" i="1" s="1"/>
  <c r="O32" i="1"/>
  <c r="R32" i="1" s="1"/>
  <c r="O31" i="1"/>
  <c r="R31" i="1" s="1"/>
  <c r="O30" i="1"/>
  <c r="R30" i="1" s="1"/>
  <c r="O29" i="1"/>
  <c r="R29" i="1" s="1"/>
  <c r="O28" i="1"/>
  <c r="R28" i="1" s="1"/>
  <c r="O27" i="1"/>
  <c r="R27" i="1" s="1"/>
  <c r="I43" i="1"/>
  <c r="O26" i="1"/>
  <c r="O23" i="1"/>
  <c r="R23" i="1" s="1"/>
  <c r="O61" i="1"/>
  <c r="R61" i="1" s="1"/>
  <c r="R22" i="1"/>
  <c r="L24" i="1"/>
  <c r="L54" i="1"/>
  <c r="L43" i="1"/>
  <c r="R19" i="1"/>
  <c r="I24" i="1"/>
  <c r="O18" i="1"/>
  <c r="F65" i="1" l="1"/>
  <c r="Z64" i="1" s="1"/>
  <c r="AA64" i="1" s="1"/>
  <c r="Z63" i="1"/>
  <c r="AA63" i="1" s="1"/>
  <c r="O24" i="1"/>
  <c r="R24" i="1" s="1"/>
  <c r="R18" i="1"/>
  <c r="O43" i="1"/>
  <c r="R26" i="1"/>
  <c r="I62" i="1"/>
  <c r="Q54" i="1"/>
  <c r="F66" i="1"/>
  <c r="Q43" i="1"/>
  <c r="O54" i="1"/>
  <c r="R45" i="1"/>
  <c r="F67" i="1" l="1"/>
  <c r="R43" i="1"/>
  <c r="Q62" i="1"/>
  <c r="I63" i="1"/>
  <c r="I64" i="1" s="1"/>
  <c r="I66" i="1" s="1"/>
  <c r="L63" i="1"/>
  <c r="L64" i="1" s="1"/>
  <c r="L66" i="1" s="1"/>
  <c r="O62" i="1"/>
  <c r="R54" i="1"/>
  <c r="L67" i="1" l="1"/>
  <c r="Q66" i="1"/>
  <c r="R66" i="1" s="1"/>
  <c r="Z65" i="1"/>
  <c r="AA65" i="1" s="1"/>
  <c r="I67" i="1"/>
  <c r="R62" i="1"/>
  <c r="O63" i="1"/>
  <c r="O64" i="1" s="1"/>
  <c r="O65" i="1" s="1"/>
  <c r="Q67" i="1" l="1"/>
  <c r="R67" i="1" s="1"/>
  <c r="Z66" i="1"/>
  <c r="AA66" i="1" s="1"/>
  <c r="O66" i="1"/>
  <c r="O67" i="1" s="1"/>
</calcChain>
</file>

<file path=xl/sharedStrings.xml><?xml version="1.0" encoding="utf-8"?>
<sst xmlns="http://schemas.openxmlformats.org/spreadsheetml/2006/main" count="175" uniqueCount="136">
  <si>
    <t>ВЕДОМОСТЬ ОТПАВШИХ  И  ВНОВЬ  ВОЗНИКШИХ  ОБЪЕМОВ  РАБОТ
по объекту: "Выполнение работ по ремонту улично-дорожной сети г. Торжок Торжокского муниципального района Тверской области</t>
  </si>
  <si>
    <t>№ п/п</t>
  </si>
  <si>
    <t>Наименование работ</t>
  </si>
  <si>
    <t>Единица измерения</t>
  </si>
  <si>
    <t>по государственному контракту                                      33-1/2025-Р от 13.10.2024 года, руб.</t>
  </si>
  <si>
    <t>отпавшие работы, руб.</t>
  </si>
  <si>
    <t>возникшие работы, руб.</t>
  </si>
  <si>
    <t>Всего выполнено, руб.</t>
  </si>
  <si>
    <t>Количество</t>
  </si>
  <si>
    <t>Цена за единицу в руб.</t>
  </si>
  <si>
    <t>Стоимость, руб.</t>
  </si>
  <si>
    <t>Срезка поверхностного слоя асфальтобетонного дорожного покрытия методом холодного фрезерования на глубину 5 см, фрезой шириной 2 метра</t>
  </si>
  <si>
    <t>Прямая транспортировка отфрезерованного материала на среднее расстояние до 3 км во временный конус (без погрузки) и обратная транспортировка гранулята для использования в работе на среднее расстояние до 3 км с погрузкой (общее расстояние транспортировки груза до 6 км)</t>
  </si>
  <si>
    <t>1000тн</t>
  </si>
  <si>
    <t>Розлив битумной эмульсии ЭБДК Б по ГОСТ Р 58952.1-2020, расход битумной эмульсии - 0,3 л/м²</t>
  </si>
  <si>
    <t>тн</t>
  </si>
  <si>
    <t>Восстановление изношенного слоя асфальтобетонного покрытия (толщиной 5 см) из асфальтобетонной смеси А16Вт по ГОСТ Р 58406.2-2020 (расход а/б смеси на толщину 4 см - 96,03 т/1000 м²)</t>
  </si>
  <si>
    <t>Укрепление обочин асфальтогранулятом (без стоимости материала) средней толщиной 5 см</t>
  </si>
  <si>
    <t>1000м²</t>
  </si>
  <si>
    <t>100тн</t>
  </si>
  <si>
    <t>Демонтаж металлического автопавильона (средняя масса 1 шт - 0,6 тн) с погрузкой и транспортировкой на расстояние до 6 км</t>
  </si>
  <si>
    <t>шт</t>
  </si>
  <si>
    <t>Нарезка корыта шириной 0,35 м, глубиной 0,25 м под установку бортовых камней на бетонном основании</t>
  </si>
  <si>
    <t>Восстановление щебеночной подушки из щебня М800 фракции 20-40 мм, толщиной 0,1 м, шириной 0,3 м, под бетонное основание для бортовых камней</t>
  </si>
  <si>
    <t>Устройство недостающих бортовых камней БР 100.30.18 на бетонном основании (марка бетона В15)</t>
  </si>
  <si>
    <t>Восстановление недостающих бортовых камней БР 100.20.8 на бетонном основании (марка бетона В15)</t>
  </si>
  <si>
    <t>Восстановление щебеночного основания тротуара из щебеня М800 фракции 20-40 мм, средней толщиной 0,10 м, с расклинцовкой щебнем М800 фракции 5-10 мм (расход 10 м³ на 1000 м²)</t>
  </si>
  <si>
    <t>Устройство вертикальной дорожной разметки 2.7 на бортовом камне со стороны проезжей части черной и белой дорожной разметочной краской длиной линий разметки: черная 1 м, белая 2 м (в пропорции 1:2), площадь окрашиваемой поверхности одного бортового камня 0,35 м²</t>
  </si>
  <si>
    <t xml:space="preserve">Обратная засыпка установленного бортового камня (посадочной площадки) с внешней стороны (со стороны откосной части земляного полотна)  материалом от нарезки корыта (без стоимости материала) </t>
  </si>
  <si>
    <t>Установка автопавильонов типа НР-6М-О (оцинкованный)</t>
  </si>
  <si>
    <t>Установка стоек дорожных знаков из металлических полых оцинкованных труб круглого сечения диаметром 76 мм, средней длиной 4 п.м на монолитном бетонном фундаменте (бетон тяжелый (М100) объем - 0,05 м³ на стойку) масса одной стойки 22,96 кг</t>
  </si>
  <si>
    <t>Установка щитков дорожных знаков II типоразмера на оцинкованной подоснове со световозвращающей пленкой тип Б на флюроресцентной основе (кант): 5.19.1 (5.19.2) "Пешеходный переход" (размер щита, мм 900*900)</t>
  </si>
  <si>
    <t>Установка щитков дорожных знаков на оцинкованной подоснове со световозвращающей пленкой тип Б: 5.16 "Место остановки автобуса" (размер щита, мм 900*600)</t>
  </si>
  <si>
    <t xml:space="preserve">Разметка проезжей части термопластиком со стекломикрошариками сплошной линией шириной 0,1 м (разметка 1.1, 1.2) </t>
  </si>
  <si>
    <t xml:space="preserve">Разметка проезжей части термопластиком со стекломикрошариками пунктирной линией (шаг 1:3) шириной 0,1 м (разметка 1.5) </t>
  </si>
  <si>
    <t xml:space="preserve">Разметка проезжей части термопластиком со стекломикрошариками пунктирной линией (шаг 3:1) шириной 0,1 м (разметка 1.6) </t>
  </si>
  <si>
    <t xml:space="preserve">Разметка проезжей части термопластиком со стекломикрошариками пунктирной линией (шаг 1:1) шириной 0,1 м (разметка 1.7) 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</si>
  <si>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1.14.1), пластик белый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</si>
  <si>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1.14.1), пластик желтый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</si>
  <si>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1.17), пластик желтый</t>
  </si>
  <si>
    <r>
      <t>10000м</t>
    </r>
    <r>
      <rPr>
        <sz val="14"/>
        <rFont val="Calibri"/>
        <family val="2"/>
        <charset val="204"/>
      </rPr>
      <t>²</t>
    </r>
  </si>
  <si>
    <r>
      <t>м</t>
    </r>
    <r>
      <rPr>
        <sz val="14"/>
        <color indexed="8"/>
        <rFont val="Calibri"/>
        <family val="2"/>
        <charset val="204"/>
      </rPr>
      <t>³</t>
    </r>
  </si>
  <si>
    <t>Укладка выравнивающего слоя основания из песка природного мелкого для строительных работ (Кф ≥ 1 м/сут) по ГОСТ 8736-2014</t>
  </si>
  <si>
    <r>
      <t>100м</t>
    </r>
    <r>
      <rPr>
        <sz val="14"/>
        <color indexed="8"/>
        <rFont val="Calibri"/>
        <family val="2"/>
        <charset val="204"/>
      </rPr>
      <t>³</t>
    </r>
  </si>
  <si>
    <r>
      <t>1000м</t>
    </r>
    <r>
      <rPr>
        <sz val="14"/>
        <color indexed="8"/>
        <rFont val="Calibri"/>
        <family val="2"/>
        <charset val="204"/>
      </rPr>
      <t>²</t>
    </r>
  </si>
  <si>
    <t>1000п.м.</t>
  </si>
  <si>
    <r>
      <t>1000м</t>
    </r>
    <r>
      <rPr>
        <sz val="14"/>
        <rFont val="Calibri"/>
        <family val="2"/>
        <charset val="204"/>
      </rPr>
      <t>²</t>
    </r>
  </si>
  <si>
    <t>Всего в ценах соответствующих лет (ИИ = 1,0709665 )</t>
  </si>
  <si>
    <r>
      <t>100м</t>
    </r>
    <r>
      <rPr>
        <sz val="14"/>
        <color indexed="8"/>
        <rFont val="Calibri"/>
        <family val="2"/>
        <charset val="204"/>
      </rPr>
      <t>²</t>
    </r>
  </si>
  <si>
    <t>Устройство выравнивающего слоя основания из песка природного мелкого для строительных работ (Кф ≥ 1 м/сут) средней толщиной 3 см (в плотном теле) по ГОСТ 8736-2014</t>
  </si>
  <si>
    <t>Устройство покрытий из тротуарной плитки (Плитка тротуарная декоративная клинкерная брусчатка, размером 250*80 мм, толщина 50 мм, красная), с последующей финишной затиркой швов с предварительным устройством основания из пескоцементной смеси толщиной 5 см (смесь пескоцементная (цемент М 400)) (вес ЦПС 1 м³ - 1,5 т/м³)</t>
  </si>
  <si>
    <r>
      <t>м</t>
    </r>
    <r>
      <rPr>
        <sz val="14"/>
        <color indexed="8"/>
        <rFont val="Calibri"/>
        <family val="2"/>
        <charset val="204"/>
      </rPr>
      <t>²</t>
    </r>
  </si>
  <si>
    <t>100шт</t>
  </si>
  <si>
    <t>Установка щитков дорожных знаков II типоразмера на оцинкованной подоснове со световозвращающей пленкой тип Б: 3.24 "Ограничение максимальной скорости", 3.1 "Въезд запрещен" (размер щита: круг диаметром 700 мм)</t>
  </si>
  <si>
    <t>Разметка проезжей части термопластиком со стекломикрошариками (разметка 1.11), сочетание сплошной линии к прерывистой линии (шаг 3:1)
- сплошная
- прерывистая</t>
  </si>
  <si>
    <r>
      <t>10м</t>
    </r>
    <r>
      <rPr>
        <sz val="14"/>
        <rFont val="Calibri"/>
        <family val="2"/>
        <charset val="204"/>
      </rPr>
      <t>²</t>
    </r>
  </si>
  <si>
    <r>
      <t>100м</t>
    </r>
    <r>
      <rPr>
        <sz val="14"/>
        <rFont val="Calibri"/>
        <family val="2"/>
        <charset val="204"/>
      </rPr>
      <t>²</t>
    </r>
  </si>
  <si>
    <t>4.11.2</t>
  </si>
  <si>
    <t>4.11.3</t>
  </si>
  <si>
    <t>ГЛАВА 5. Ремонт Калининского шоссе (участок от д.16Д по Калининскому шоссе до д. 38А по Калининскому шоссе)</t>
  </si>
  <si>
    <t>Раздел 5.1. Работы, выполняемые на основной проезжей части, участки с изношенным асфальтобетонным покрытием</t>
  </si>
  <si>
    <t>5.1.1</t>
  </si>
  <si>
    <t>5.1.2</t>
  </si>
  <si>
    <t>5.1.3</t>
  </si>
  <si>
    <t>5.1.4</t>
  </si>
  <si>
    <t>5.1.5</t>
  </si>
  <si>
    <r>
      <t>10000м</t>
    </r>
    <r>
      <rPr>
        <sz val="14"/>
        <color indexed="8"/>
        <rFont val="Calibri"/>
        <family val="2"/>
        <charset val="204"/>
      </rPr>
      <t>²</t>
    </r>
  </si>
  <si>
    <t>Итого по Раздел 5.1</t>
  </si>
  <si>
    <t>Раздел 5.2. Ремонт заездных карманов с изношенным асфальтобетонным покрытием</t>
  </si>
  <si>
    <t>5.2.1</t>
  </si>
  <si>
    <t>5.2.2</t>
  </si>
  <si>
    <t>5.2.3</t>
  </si>
  <si>
    <t>Розлив битумной эмульсии ЭБДК Б по ГОСТ Р 58952.1-2020, расход битумной эмульсии  - 0,3 л/м²</t>
  </si>
  <si>
    <t>5.2.4</t>
  </si>
  <si>
    <t>Итого по Раздел 5.2</t>
  </si>
  <si>
    <t>Раздел 5.3. Ремонт посадочных площадок на автобусных остановках с учетом подхода к существующим тротуарам</t>
  </si>
  <si>
    <t>5.3.1</t>
  </si>
  <si>
    <t>5.3.2</t>
  </si>
  <si>
    <t>Разборка покрытий и оснований на глубину 0,2 м (5 см - асфальтобетонное покрытие, 15 см - щебеночное основание) экскаватором с погрузкой и транспортировкой на среднее расстояние до 3 км (вес лома 1 м³ асфальтобетона - 2,0 т/м³, 1 м³ щебня - 1,8 т/м³)</t>
  </si>
  <si>
    <t>5.3.3</t>
  </si>
  <si>
    <t>5.3.4</t>
  </si>
  <si>
    <t>5.3.5</t>
  </si>
  <si>
    <t>5.3.6</t>
  </si>
  <si>
    <t>5.3.7</t>
  </si>
  <si>
    <t>5.3.8</t>
  </si>
  <si>
    <t>Восстановление щебеночного основания тротуара из щебеня М800 фракции 20-40 мм, средней толщиной 0,10 м, с расклинцовкой щебнем М800 фракции 5-10 мм (расход 10 м³ на 1000 м²) с предварительным розливом битумной эмульсии ЭБДК Б по ГОСТ Р 58952.1-2020, расход битумной эмульсии - 0,8 л/м²</t>
  </si>
  <si>
    <t>5.3.8.1</t>
  </si>
  <si>
    <r>
      <t>100м</t>
    </r>
    <r>
      <rPr>
        <sz val="14"/>
        <color indexed="10"/>
        <rFont val="Calibri"/>
        <family val="2"/>
        <charset val="204"/>
      </rPr>
      <t>²</t>
    </r>
  </si>
  <si>
    <t>5.3.9</t>
  </si>
  <si>
    <r>
      <t>м</t>
    </r>
    <r>
      <rPr>
        <sz val="14"/>
        <color indexed="10"/>
        <rFont val="Calibri"/>
        <family val="2"/>
        <charset val="204"/>
      </rPr>
      <t>³</t>
    </r>
  </si>
  <si>
    <t>5.3.10</t>
  </si>
  <si>
    <t>Восстановление изношенного слоя асфальтобетонного покрытия (толщиной 5 см) из асфальтобетонной смеси типа А8Вл ГОСТ Р 58406.2-2020 (расход а/б смеси на толщину 4 см - 94,69 т/1000 м²)</t>
  </si>
  <si>
    <t>Устройство основания из пескоцементной смеси толщиной 5 см (смесь пескоцементная (цемент М 400)) (вес ЦПС 1 м³ - 1,5 т/м³)</t>
  </si>
  <si>
    <t>5.3.11</t>
  </si>
  <si>
    <t>5.3.12</t>
  </si>
  <si>
    <t>5.3.13</t>
  </si>
  <si>
    <t>Итого по Раздел 5.3</t>
  </si>
  <si>
    <t>Раздел 5.4. Нанесение дорожной разметки</t>
  </si>
  <si>
    <t>5.4.1</t>
  </si>
  <si>
    <t>5.4.2</t>
  </si>
  <si>
    <t>5.4.3</t>
  </si>
  <si>
    <t>5.4.4</t>
  </si>
  <si>
    <t>5.4.5</t>
  </si>
  <si>
    <t>5.4.6</t>
  </si>
  <si>
    <t>Итого по Раздел 5.4</t>
  </si>
  <si>
    <t>Раздел 5.5.  Восстановление дорожных знаков, обустройства</t>
  </si>
  <si>
    <t>5.5.1</t>
  </si>
  <si>
    <t>5.5.2</t>
  </si>
  <si>
    <t>5.5.3</t>
  </si>
  <si>
    <t>5.5.4</t>
  </si>
  <si>
    <t>5.5.5</t>
  </si>
  <si>
    <t>Итого по главе 5</t>
  </si>
  <si>
    <t xml:space="preserve">ВСЕГО </t>
  </si>
  <si>
    <t>Понижающий К=0,98360655738</t>
  </si>
  <si>
    <t>НДС 22%</t>
  </si>
  <si>
    <t>Всего с НДС 22% (в ценах соответствующих лет)</t>
  </si>
  <si>
    <t>Главный инженер ГКУ "Дирекция ТДФ!</t>
  </si>
  <si>
    <t>Директор ГУП «Торжокское ДРСУ»</t>
  </si>
  <si>
    <t>/__Чурсанов А.С._/</t>
  </si>
  <si>
    <t>А.В. Цатурян</t>
  </si>
  <si>
    <t>м.п.</t>
  </si>
  <si>
    <t>Главный специалист производственного отдела ГКУ «Дирекция ТДФ»</t>
  </si>
  <si>
    <t>_________________  А. М. Гаджиев</t>
  </si>
  <si>
    <t>Итого по Раздел 5.5</t>
  </si>
  <si>
    <t xml:space="preserve">Прямая транспортировка отфрезерованного материала на среднее расстояние до 3 км во временный конус (без погрузки) </t>
  </si>
  <si>
    <t xml:space="preserve"> обратная транспортировка гранулята для использования в работе на среднее расстояние до 3 км с погрузкой (общее расстояние транспортировки груза до 6 км)</t>
  </si>
  <si>
    <t>5.1.2.1</t>
  </si>
  <si>
    <t>5.1.2.2</t>
  </si>
  <si>
    <t>Установка щитков дорожных знаков II типоразмера на оцинкованной подоснове со световозвращающей пленкой тип Б: 2.1 "Главная дорога"  (размер щита, мм 700*700)</t>
  </si>
  <si>
    <t>5.3.10.1</t>
  </si>
  <si>
    <t>5.3.10.2</t>
  </si>
  <si>
    <t>Монтаж ж/б плит ТПТ 0,5х0,5х0,05 м (0,25 м² - 1 шт) жёлтого цвета с продольными рифами по ГОСТ 52875-2018 с заделкой швов по периметру тактильной плитки шириной до 3 см (цементный раствор М400), расход цементного раствора 0,0024 м³/п.м.</t>
  </si>
  <si>
    <t>5.3.10.3</t>
  </si>
  <si>
    <r>
      <t>м</t>
    </r>
    <r>
      <rPr>
        <sz val="14"/>
        <color rgb="FFFF0000"/>
        <rFont val="Calibri"/>
        <family val="2"/>
        <charset val="204"/>
      </rPr>
      <t>²</t>
    </r>
  </si>
  <si>
    <t>5.2.2.1</t>
  </si>
  <si>
    <t>5.2.2.2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</si>
</sst>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\ _₽_-;\-* #,##0.00\ _₽_-;_-* &quot;-&quot;??\ _₽_-;_-@_-"/>
    <numFmt numFmtId="164" formatCode="0.00000"/>
    <numFmt numFmtId="165" formatCode="#,##0.0000"/>
    <numFmt numFmtId="166" formatCode="#,##0.000"/>
    <numFmt numFmtId="167" formatCode="#,##0.00000"/>
    <numFmt numFmtId="168" formatCode="0.000000"/>
    <numFmt numFmtId="169" formatCode="#,##0.000000"/>
    <numFmt numFmtId="170" formatCode="#,##0.00000000"/>
    <numFmt numFmtId="171" formatCode="#,##0.000000000000"/>
    <numFmt numFmtId="172" formatCode="#,##0.00_р_."/>
    <numFmt numFmtId="173" formatCode="_-* #,##0.000\ _₽_-;\-* #,##0.000\ _₽_-;_-* &quot;-&quot;???\ _₽_-;_-@_-"/>
    <numFmt numFmtId="174" formatCode="0.000"/>
    <numFmt numFmtId="175" formatCode="0.0000"/>
    <numFmt numFmtId="176" formatCode="0.0"/>
  </numFmts>
  <fonts count="15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Sylfaen"/>
      <family val="1"/>
      <charset val="204"/>
    </font>
    <font>
      <sz val="10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4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Sylfaen"/>
      <family val="1"/>
      <charset val="204"/>
    </font>
    <font>
      <sz val="14"/>
      <color indexed="10"/>
      <name val="Calibri"/>
      <family val="2"/>
      <charset val="204"/>
    </font>
    <font>
      <sz val="12"/>
      <name val="Arial"/>
      <family val="2"/>
      <charset val="204"/>
    </font>
    <font>
      <sz val="12"/>
      <color rgb="FF202020"/>
      <name val="Arial"/>
      <family val="2"/>
      <charset val="204"/>
    </font>
    <font>
      <sz val="14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29">
    <xf numFmtId="0" fontId="0" fillId="0" borderId="0" xfId="0"/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4" fontId="2" fillId="3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center" vertical="center"/>
    </xf>
    <xf numFmtId="4" fontId="1" fillId="3" borderId="2" xfId="1" applyNumberFormat="1" applyFont="1" applyFill="1" applyBorder="1" applyAlignment="1">
      <alignment horizontal="center" vertical="center" wrapText="1"/>
    </xf>
    <xf numFmtId="4" fontId="2" fillId="4" borderId="2" xfId="0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4" fontId="2" fillId="4" borderId="3" xfId="0" applyNumberFormat="1" applyFont="1" applyFill="1" applyBorder="1" applyAlignment="1">
      <alignment horizontal="right" vertical="center"/>
    </xf>
    <xf numFmtId="4" fontId="1" fillId="3" borderId="2" xfId="0" applyNumberFormat="1" applyFont="1" applyFill="1" applyBorder="1" applyAlignment="1">
      <alignment horizontal="center" vertical="center"/>
    </xf>
    <xf numFmtId="4" fontId="1" fillId="4" borderId="2" xfId="0" applyNumberFormat="1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vertical="center"/>
    </xf>
    <xf numFmtId="4" fontId="1" fillId="4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vertical="center"/>
    </xf>
    <xf numFmtId="4" fontId="1" fillId="4" borderId="2" xfId="1" applyNumberFormat="1" applyFont="1" applyFill="1" applyBorder="1" applyAlignment="1">
      <alignment horizontal="center" vertical="center"/>
    </xf>
    <xf numFmtId="4" fontId="1" fillId="4" borderId="2" xfId="1" applyNumberFormat="1" applyFont="1" applyFill="1" applyBorder="1" applyAlignment="1">
      <alignment horizontal="center" vertical="center" wrapText="1"/>
    </xf>
    <xf numFmtId="4" fontId="2" fillId="4" borderId="2" xfId="1" applyNumberFormat="1" applyFont="1" applyFill="1" applyBorder="1" applyAlignment="1">
      <alignment horizontal="center" vertical="center" wrapText="1"/>
    </xf>
    <xf numFmtId="4" fontId="2" fillId="4" borderId="3" xfId="1" applyNumberFormat="1" applyFont="1" applyFill="1" applyBorder="1" applyAlignment="1">
      <alignment horizontal="right" vertical="center" wrapText="1"/>
    </xf>
    <xf numFmtId="4" fontId="2" fillId="5" borderId="2" xfId="0" applyNumberFormat="1" applyFont="1" applyFill="1" applyBorder="1" applyAlignment="1">
      <alignment horizontal="center" vertical="center"/>
    </xf>
    <xf numFmtId="4" fontId="1" fillId="5" borderId="2" xfId="0" applyNumberFormat="1" applyFont="1" applyFill="1" applyBorder="1" applyAlignment="1">
      <alignment horizontal="center" vertical="center"/>
    </xf>
    <xf numFmtId="4" fontId="2" fillId="5" borderId="3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vertical="center"/>
    </xf>
    <xf numFmtId="4" fontId="1" fillId="5" borderId="2" xfId="0" applyNumberFormat="1" applyFont="1" applyFill="1" applyBorder="1" applyAlignment="1">
      <alignment horizontal="center" vertical="center" wrapText="1"/>
    </xf>
    <xf numFmtId="4" fontId="1" fillId="6" borderId="2" xfId="0" applyNumberFormat="1" applyFont="1" applyFill="1" applyBorder="1" applyAlignment="1">
      <alignment horizontal="center" vertical="center"/>
    </xf>
    <xf numFmtId="4" fontId="2" fillId="6" borderId="2" xfId="0" applyNumberFormat="1" applyFont="1" applyFill="1" applyBorder="1" applyAlignment="1">
      <alignment horizontal="left" vertical="center"/>
    </xf>
    <xf numFmtId="4" fontId="1" fillId="6" borderId="2" xfId="0" applyNumberFormat="1" applyFont="1" applyFill="1" applyBorder="1" applyAlignment="1">
      <alignment horizontal="center" vertical="center" wrapText="1"/>
    </xf>
    <xf numFmtId="4" fontId="2" fillId="6" borderId="2" xfId="0" applyNumberFormat="1" applyFont="1" applyFill="1" applyBorder="1" applyAlignment="1">
      <alignment horizontal="center" vertical="center"/>
    </xf>
    <xf numFmtId="4" fontId="2" fillId="6" borderId="3" xfId="0" applyNumberFormat="1" applyFont="1" applyFill="1" applyBorder="1" applyAlignment="1">
      <alignment horizontal="right" vertical="center"/>
    </xf>
    <xf numFmtId="4" fontId="8" fillId="2" borderId="2" xfId="0" applyNumberFormat="1" applyFont="1" applyFill="1" applyBorder="1" applyAlignment="1">
      <alignment horizontal="center" vertical="center"/>
    </xf>
    <xf numFmtId="4" fontId="8" fillId="3" borderId="2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4" fontId="8" fillId="7" borderId="2" xfId="0" applyNumberFormat="1" applyFont="1" applyFill="1" applyBorder="1" applyAlignment="1">
      <alignment vertical="center"/>
    </xf>
    <xf numFmtId="4" fontId="8" fillId="7" borderId="2" xfId="0" applyNumberFormat="1" applyFont="1" applyFill="1" applyBorder="1" applyAlignment="1">
      <alignment horizontal="center" vertical="center"/>
    </xf>
    <xf numFmtId="4" fontId="8" fillId="7" borderId="3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horizontal="center" vertical="center" wrapText="1"/>
    </xf>
    <xf numFmtId="49" fontId="1" fillId="0" borderId="2" xfId="1" applyNumberFormat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4" fontId="5" fillId="0" borderId="2" xfId="0" applyNumberFormat="1" applyFont="1" applyFill="1" applyBorder="1" applyAlignment="1">
      <alignment horizontal="center" vertical="center"/>
    </xf>
    <xf numFmtId="4" fontId="1" fillId="0" borderId="2" xfId="1" applyNumberFormat="1" applyFont="1" applyFill="1" applyBorder="1" applyAlignment="1">
      <alignment horizontal="center" vertical="center" wrapText="1"/>
    </xf>
    <xf numFmtId="4" fontId="1" fillId="0" borderId="3" xfId="1" applyNumberFormat="1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vertical="center"/>
    </xf>
    <xf numFmtId="0" fontId="1" fillId="3" borderId="2" xfId="1" applyNumberFormat="1" applyFont="1" applyFill="1" applyBorder="1" applyAlignment="1">
      <alignment horizontal="center" vertical="center" wrapText="1"/>
    </xf>
    <xf numFmtId="167" fontId="1" fillId="2" borderId="2" xfId="0" applyNumberFormat="1" applyFont="1" applyFill="1" applyBorder="1" applyAlignment="1">
      <alignment vertical="center"/>
    </xf>
    <xf numFmtId="164" fontId="1" fillId="0" borderId="2" xfId="1" applyNumberFormat="1" applyFont="1" applyFill="1" applyBorder="1" applyAlignment="1">
      <alignment horizontal="center" vertical="center" wrapText="1"/>
    </xf>
    <xf numFmtId="4" fontId="1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left" vertical="center"/>
    </xf>
    <xf numFmtId="4" fontId="2" fillId="0" borderId="2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right" vertical="center"/>
    </xf>
    <xf numFmtId="168" fontId="1" fillId="0" borderId="2" xfId="1" applyNumberFormat="1" applyFont="1" applyFill="1" applyBorder="1" applyAlignment="1">
      <alignment horizontal="center" vertical="center" wrapText="1"/>
    </xf>
    <xf numFmtId="4" fontId="1" fillId="0" borderId="0" xfId="0" applyNumberFormat="1" applyFont="1" applyFill="1" applyBorder="1" applyAlignment="1">
      <alignment horizontal="center" vertical="center"/>
    </xf>
    <xf numFmtId="49" fontId="9" fillId="0" borderId="2" xfId="1" applyNumberFormat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4" fontId="9" fillId="0" borderId="2" xfId="0" applyNumberFormat="1" applyFont="1" applyFill="1" applyBorder="1" applyAlignment="1">
      <alignment horizontal="center" vertical="center"/>
    </xf>
    <xf numFmtId="4" fontId="9" fillId="2" borderId="2" xfId="0" applyNumberFormat="1" applyFont="1" applyFill="1" applyBorder="1" applyAlignment="1">
      <alignment vertical="center"/>
    </xf>
    <xf numFmtId="0" fontId="9" fillId="3" borderId="2" xfId="1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9" fontId="1" fillId="2" borderId="2" xfId="0" applyNumberFormat="1" applyFont="1" applyFill="1" applyBorder="1" applyAlignment="1">
      <alignment vertical="center"/>
    </xf>
    <xf numFmtId="165" fontId="1" fillId="2" borderId="2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70" fontId="1" fillId="0" borderId="2" xfId="0" applyNumberFormat="1" applyFont="1" applyFill="1" applyBorder="1" applyAlignment="1">
      <alignment horizontal="center" vertical="center"/>
    </xf>
    <xf numFmtId="4" fontId="8" fillId="0" borderId="2" xfId="0" applyNumberFormat="1" applyFont="1" applyFill="1" applyBorder="1" applyAlignment="1">
      <alignment vertical="center"/>
    </xf>
    <xf numFmtId="4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right" vertical="center"/>
    </xf>
    <xf numFmtId="4" fontId="8" fillId="0" borderId="2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/>
    </xf>
    <xf numFmtId="172" fontId="2" fillId="0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center" vertical="center"/>
    </xf>
    <xf numFmtId="4" fontId="12" fillId="3" borderId="0" xfId="0" applyNumberFormat="1" applyFont="1" applyFill="1" applyBorder="1" applyAlignment="1">
      <alignment vertical="center"/>
    </xf>
    <xf numFmtId="172" fontId="12" fillId="3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vertical="center"/>
    </xf>
    <xf numFmtId="172" fontId="2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left" vertical="center"/>
    </xf>
    <xf numFmtId="2" fontId="1" fillId="3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4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3" fontId="1" fillId="0" borderId="0" xfId="0" applyNumberFormat="1" applyFont="1" applyFill="1" applyBorder="1" applyAlignment="1">
      <alignment horizontal="center" vertical="center"/>
    </xf>
    <xf numFmtId="173" fontId="1" fillId="0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" fontId="2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" fontId="1" fillId="0" borderId="0" xfId="0" applyNumberFormat="1" applyFont="1" applyFill="1" applyAlignment="1">
      <alignment horizontal="left" vertical="center"/>
    </xf>
    <xf numFmtId="4" fontId="1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vertical="center" wrapText="1"/>
    </xf>
    <xf numFmtId="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2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4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49" fontId="3" fillId="0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2" fontId="13" fillId="2" borderId="0" xfId="0" applyNumberFormat="1" applyFont="1" applyFill="1" applyAlignment="1">
      <alignment horizontal="center"/>
    </xf>
    <xf numFmtId="0" fontId="12" fillId="0" borderId="0" xfId="0" applyFont="1" applyFill="1"/>
    <xf numFmtId="4" fontId="2" fillId="0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/>
    <xf numFmtId="2" fontId="3" fillId="2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right" vertical="center"/>
    </xf>
    <xf numFmtId="0" fontId="1" fillId="0" borderId="0" xfId="0" applyFont="1" applyFill="1"/>
    <xf numFmtId="0" fontId="1" fillId="2" borderId="0" xfId="0" applyFont="1" applyFill="1"/>
    <xf numFmtId="2" fontId="3" fillId="2" borderId="0" xfId="0" applyNumberFormat="1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4" fontId="3" fillId="0" borderId="0" xfId="0" applyNumberFormat="1" applyFont="1" applyFill="1" applyAlignment="1">
      <alignment horizontal="right" vertical="center"/>
    </xf>
    <xf numFmtId="171" fontId="3" fillId="3" borderId="0" xfId="0" applyNumberFormat="1" applyFont="1" applyFill="1" applyAlignment="1">
      <alignment vertical="center"/>
    </xf>
    <xf numFmtId="49" fontId="9" fillId="9" borderId="2" xfId="1" applyNumberFormat="1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4" fontId="9" fillId="9" borderId="2" xfId="0" applyNumberFormat="1" applyFont="1" applyFill="1" applyBorder="1" applyAlignment="1">
      <alignment horizontal="center" vertical="center"/>
    </xf>
    <xf numFmtId="0" fontId="9" fillId="9" borderId="2" xfId="1" applyNumberFormat="1" applyFont="1" applyFill="1" applyBorder="1" applyAlignment="1">
      <alignment horizontal="center" vertical="center" wrapText="1"/>
    </xf>
    <xf numFmtId="4" fontId="9" fillId="9" borderId="2" xfId="1" applyNumberFormat="1" applyFont="1" applyFill="1" applyBorder="1" applyAlignment="1">
      <alignment horizontal="center" vertical="center" wrapText="1"/>
    </xf>
    <xf numFmtId="168" fontId="9" fillId="9" borderId="2" xfId="1" applyNumberFormat="1" applyFont="1" applyFill="1" applyBorder="1" applyAlignment="1">
      <alignment horizontal="center" vertical="center" wrapText="1"/>
    </xf>
    <xf numFmtId="4" fontId="9" fillId="9" borderId="3" xfId="1" applyNumberFormat="1" applyFont="1" applyFill="1" applyBorder="1" applyAlignment="1">
      <alignment horizontal="right" vertical="center" wrapText="1"/>
    </xf>
    <xf numFmtId="49" fontId="1" fillId="8" borderId="2" xfId="1" applyNumberFormat="1" applyFont="1" applyFill="1" applyBorder="1" applyAlignment="1">
      <alignment horizontal="center" vertical="center" wrapText="1"/>
    </xf>
    <xf numFmtId="0" fontId="1" fillId="8" borderId="2" xfId="1" applyFont="1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4" fontId="1" fillId="8" borderId="2" xfId="0" applyNumberFormat="1" applyFont="1" applyFill="1" applyBorder="1" applyAlignment="1">
      <alignment horizontal="center" vertical="center"/>
    </xf>
    <xf numFmtId="4" fontId="1" fillId="8" borderId="2" xfId="0" applyNumberFormat="1" applyFont="1" applyFill="1" applyBorder="1" applyAlignment="1">
      <alignment vertical="center"/>
    </xf>
    <xf numFmtId="0" fontId="1" fillId="8" borderId="2" xfId="1" applyNumberFormat="1" applyFont="1" applyFill="1" applyBorder="1" applyAlignment="1">
      <alignment horizontal="center" vertical="center" wrapText="1"/>
    </xf>
    <xf numFmtId="4" fontId="1" fillId="8" borderId="2" xfId="1" applyNumberFormat="1" applyFont="1" applyFill="1" applyBorder="1" applyAlignment="1">
      <alignment horizontal="center" vertical="center" wrapText="1"/>
    </xf>
    <xf numFmtId="168" fontId="1" fillId="8" borderId="2" xfId="1" applyNumberFormat="1" applyFont="1" applyFill="1" applyBorder="1" applyAlignment="1">
      <alignment horizontal="center" vertical="center" wrapText="1"/>
    </xf>
    <xf numFmtId="4" fontId="1" fillId="8" borderId="3" xfId="1" applyNumberFormat="1" applyFont="1" applyFill="1" applyBorder="1" applyAlignment="1">
      <alignment horizontal="right" vertical="center" wrapText="1"/>
    </xf>
    <xf numFmtId="167" fontId="9" fillId="2" borderId="2" xfId="0" applyNumberFormat="1" applyFont="1" applyFill="1" applyBorder="1" applyAlignment="1">
      <alignment vertical="center"/>
    </xf>
    <xf numFmtId="164" fontId="9" fillId="9" borderId="2" xfId="1" applyNumberFormat="1" applyFont="1" applyFill="1" applyBorder="1" applyAlignment="1">
      <alignment horizontal="center" vertical="center" wrapText="1"/>
    </xf>
    <xf numFmtId="169" fontId="9" fillId="2" borderId="2" xfId="0" applyNumberFormat="1" applyFont="1" applyFill="1" applyBorder="1" applyAlignment="1">
      <alignment vertical="center"/>
    </xf>
    <xf numFmtId="174" fontId="1" fillId="0" borderId="2" xfId="1" applyNumberFormat="1" applyFont="1" applyFill="1" applyBorder="1" applyAlignment="1">
      <alignment horizontal="center" vertical="center" wrapText="1"/>
    </xf>
    <xf numFmtId="4" fontId="9" fillId="3" borderId="2" xfId="1" applyNumberFormat="1" applyFont="1" applyFill="1" applyBorder="1" applyAlignment="1">
      <alignment horizontal="center" vertical="center" wrapText="1"/>
    </xf>
    <xf numFmtId="164" fontId="9" fillId="0" borderId="2" xfId="1" applyNumberFormat="1" applyFont="1" applyFill="1" applyBorder="1" applyAlignment="1">
      <alignment horizontal="center" vertical="center" wrapText="1"/>
    </xf>
    <xf numFmtId="4" fontId="9" fillId="0" borderId="2" xfId="1" applyNumberFormat="1" applyFont="1" applyFill="1" applyBorder="1" applyAlignment="1">
      <alignment horizontal="center" vertical="center" wrapText="1"/>
    </xf>
    <xf numFmtId="4" fontId="9" fillId="0" borderId="3" xfId="1" applyNumberFormat="1" applyFont="1" applyFill="1" applyBorder="1" applyAlignment="1">
      <alignment horizontal="righ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center" vertical="center"/>
    </xf>
    <xf numFmtId="166" fontId="1" fillId="8" borderId="2" xfId="0" applyNumberFormat="1" applyFont="1" applyFill="1" applyBorder="1" applyAlignment="1">
      <alignment vertical="center"/>
    </xf>
    <xf numFmtId="165" fontId="1" fillId="8" borderId="2" xfId="0" applyNumberFormat="1" applyFont="1" applyFill="1" applyBorder="1" applyAlignment="1">
      <alignment vertical="center"/>
    </xf>
    <xf numFmtId="4" fontId="9" fillId="3" borderId="2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75" fontId="1" fillId="0" borderId="2" xfId="1" applyNumberFormat="1" applyFont="1" applyFill="1" applyBorder="1" applyAlignment="1">
      <alignment horizontal="center" vertical="center" wrapText="1"/>
    </xf>
    <xf numFmtId="1" fontId="1" fillId="0" borderId="2" xfId="1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174" fontId="9" fillId="9" borderId="2" xfId="1" applyNumberFormat="1" applyFont="1" applyFill="1" applyBorder="1" applyAlignment="1">
      <alignment horizontal="center" vertical="center" wrapText="1"/>
    </xf>
    <xf numFmtId="2" fontId="1" fillId="0" borderId="2" xfId="1" applyNumberFormat="1" applyFont="1" applyFill="1" applyBorder="1" applyAlignment="1">
      <alignment horizontal="center" vertical="center" wrapText="1"/>
    </xf>
    <xf numFmtId="176" fontId="1" fillId="0" borderId="2" xfId="1" applyNumberFormat="1" applyFont="1" applyFill="1" applyBorder="1" applyAlignment="1">
      <alignment horizontal="center" vertical="center" wrapText="1"/>
    </xf>
    <xf numFmtId="176" fontId="1" fillId="5" borderId="0" xfId="0" applyNumberFormat="1" applyFont="1" applyFill="1" applyBorder="1" applyAlignment="1">
      <alignment horizontal="center" vertical="center"/>
    </xf>
    <xf numFmtId="171" fontId="1" fillId="0" borderId="3" xfId="0" applyNumberFormat="1" applyFont="1" applyFill="1" applyBorder="1" applyAlignment="1">
      <alignment horizontal="left" vertical="center"/>
    </xf>
    <xf numFmtId="171" fontId="1" fillId="0" borderId="5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49" fontId="1" fillId="0" borderId="7" xfId="1" applyNumberFormat="1" applyFont="1" applyFill="1" applyBorder="1" applyAlignment="1">
      <alignment horizontal="center" vertical="center" wrapText="1"/>
    </xf>
    <xf numFmtId="49" fontId="1" fillId="0" borderId="6" xfId="1" applyNumberFormat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left" vertical="center" wrapText="1"/>
    </xf>
    <xf numFmtId="0" fontId="1" fillId="0" borderId="6" xfId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" fontId="1" fillId="0" borderId="0" xfId="0" applyNumberFormat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5"/>
  <sheetViews>
    <sheetView tabSelected="1" topLeftCell="A58" zoomScale="66" zoomScaleNormal="66" workbookViewId="0">
      <selection activeCell="AJ69" sqref="AJ69"/>
    </sheetView>
  </sheetViews>
  <sheetFormatPr defaultColWidth="9.109375" defaultRowHeight="16.2" x14ac:dyDescent="0.3"/>
  <cols>
    <col min="1" max="1" width="9.33203125" style="152" customWidth="1"/>
    <col min="2" max="2" width="59.5546875" style="7" customWidth="1"/>
    <col min="3" max="3" width="11.88671875" style="7" customWidth="1"/>
    <col min="4" max="4" width="13.109375" style="7" customWidth="1"/>
    <col min="5" max="5" width="17.6640625" style="7" customWidth="1"/>
    <col min="6" max="6" width="15.44140625" style="150" customWidth="1"/>
    <col min="7" max="8" width="18.44140625" style="147" customWidth="1"/>
    <col min="9" max="9" width="15.77734375" style="162" customWidth="1"/>
    <col min="10" max="10" width="13.5546875" style="149" customWidth="1"/>
    <col min="11" max="11" width="15.5546875" style="149" customWidth="1"/>
    <col min="12" max="12" width="16.5546875" style="163" customWidth="1"/>
    <col min="13" max="13" width="13.6640625" style="7" customWidth="1"/>
    <col min="14" max="14" width="15.6640625" style="7" customWidth="1"/>
    <col min="15" max="15" width="16.44140625" style="164" customWidth="1"/>
    <col min="16" max="16" width="9.109375" style="6" hidden="1" customWidth="1"/>
    <col min="17" max="17" width="16.6640625" style="6" hidden="1" customWidth="1"/>
    <col min="18" max="18" width="10.77734375" style="6" hidden="1" customWidth="1"/>
    <col min="19" max="19" width="9.109375" style="6" hidden="1" customWidth="1"/>
    <col min="20" max="20" width="14.77734375" style="6" hidden="1" customWidth="1"/>
    <col min="21" max="21" width="11.5546875" style="6" hidden="1" customWidth="1"/>
    <col min="22" max="24" width="9.109375" style="6" hidden="1" customWidth="1"/>
    <col min="25" max="25" width="12.6640625" style="6" hidden="1" customWidth="1"/>
    <col min="26" max="26" width="17" style="6" hidden="1" customWidth="1"/>
    <col min="27" max="27" width="13.44140625" style="2" hidden="1" customWidth="1"/>
    <col min="28" max="28" width="9.109375" style="2"/>
    <col min="29" max="256" width="9.109375" style="7"/>
    <col min="257" max="257" width="9.33203125" style="7" customWidth="1"/>
    <col min="258" max="258" width="59.5546875" style="7" customWidth="1"/>
    <col min="259" max="259" width="11.88671875" style="7" customWidth="1"/>
    <col min="260" max="260" width="13.109375" style="7" customWidth="1"/>
    <col min="261" max="261" width="17.6640625" style="7" customWidth="1"/>
    <col min="262" max="262" width="15.44140625" style="7" customWidth="1"/>
    <col min="263" max="264" width="18.44140625" style="7" customWidth="1"/>
    <col min="265" max="265" width="15.77734375" style="7" customWidth="1"/>
    <col min="266" max="266" width="13.5546875" style="7" customWidth="1"/>
    <col min="267" max="267" width="15.5546875" style="7" customWidth="1"/>
    <col min="268" max="268" width="16.5546875" style="7" customWidth="1"/>
    <col min="269" max="269" width="13.6640625" style="7" customWidth="1"/>
    <col min="270" max="270" width="15.6640625" style="7" customWidth="1"/>
    <col min="271" max="271" width="16.44140625" style="7" customWidth="1"/>
    <col min="272" max="272" width="9.109375" style="7"/>
    <col min="273" max="273" width="16.6640625" style="7" customWidth="1"/>
    <col min="274" max="275" width="9.109375" style="7"/>
    <col min="276" max="276" width="14.77734375" style="7" bestFit="1" customWidth="1"/>
    <col min="277" max="277" width="11.44140625" style="7" bestFit="1" customWidth="1"/>
    <col min="278" max="280" width="9.109375" style="7"/>
    <col min="281" max="281" width="12.6640625" style="7" bestFit="1" customWidth="1"/>
    <col min="282" max="512" width="9.109375" style="7"/>
    <col min="513" max="513" width="9.33203125" style="7" customWidth="1"/>
    <col min="514" max="514" width="59.5546875" style="7" customWidth="1"/>
    <col min="515" max="515" width="11.88671875" style="7" customWidth="1"/>
    <col min="516" max="516" width="13.109375" style="7" customWidth="1"/>
    <col min="517" max="517" width="17.6640625" style="7" customWidth="1"/>
    <col min="518" max="518" width="15.44140625" style="7" customWidth="1"/>
    <col min="519" max="520" width="18.44140625" style="7" customWidth="1"/>
    <col min="521" max="521" width="15.77734375" style="7" customWidth="1"/>
    <col min="522" max="522" width="13.5546875" style="7" customWidth="1"/>
    <col min="523" max="523" width="15.5546875" style="7" customWidth="1"/>
    <col min="524" max="524" width="16.5546875" style="7" customWidth="1"/>
    <col min="525" max="525" width="13.6640625" style="7" customWidth="1"/>
    <col min="526" max="526" width="15.6640625" style="7" customWidth="1"/>
    <col min="527" max="527" width="16.44140625" style="7" customWidth="1"/>
    <col min="528" max="528" width="9.109375" style="7"/>
    <col min="529" max="529" width="16.6640625" style="7" customWidth="1"/>
    <col min="530" max="531" width="9.109375" style="7"/>
    <col min="532" max="532" width="14.77734375" style="7" bestFit="1" customWidth="1"/>
    <col min="533" max="533" width="11.44140625" style="7" bestFit="1" customWidth="1"/>
    <col min="534" max="536" width="9.109375" style="7"/>
    <col min="537" max="537" width="12.6640625" style="7" bestFit="1" customWidth="1"/>
    <col min="538" max="768" width="9.109375" style="7"/>
    <col min="769" max="769" width="9.33203125" style="7" customWidth="1"/>
    <col min="770" max="770" width="59.5546875" style="7" customWidth="1"/>
    <col min="771" max="771" width="11.88671875" style="7" customWidth="1"/>
    <col min="772" max="772" width="13.109375" style="7" customWidth="1"/>
    <col min="773" max="773" width="17.6640625" style="7" customWidth="1"/>
    <col min="774" max="774" width="15.44140625" style="7" customWidth="1"/>
    <col min="775" max="776" width="18.44140625" style="7" customWidth="1"/>
    <col min="777" max="777" width="15.77734375" style="7" customWidth="1"/>
    <col min="778" max="778" width="13.5546875" style="7" customWidth="1"/>
    <col min="779" max="779" width="15.5546875" style="7" customWidth="1"/>
    <col min="780" max="780" width="16.5546875" style="7" customWidth="1"/>
    <col min="781" max="781" width="13.6640625" style="7" customWidth="1"/>
    <col min="782" max="782" width="15.6640625" style="7" customWidth="1"/>
    <col min="783" max="783" width="16.44140625" style="7" customWidth="1"/>
    <col min="784" max="784" width="9.109375" style="7"/>
    <col min="785" max="785" width="16.6640625" style="7" customWidth="1"/>
    <col min="786" max="787" width="9.109375" style="7"/>
    <col min="788" max="788" width="14.77734375" style="7" bestFit="1" customWidth="1"/>
    <col min="789" max="789" width="11.44140625" style="7" bestFit="1" customWidth="1"/>
    <col min="790" max="792" width="9.109375" style="7"/>
    <col min="793" max="793" width="12.6640625" style="7" bestFit="1" customWidth="1"/>
    <col min="794" max="1024" width="9.109375" style="7"/>
    <col min="1025" max="1025" width="9.33203125" style="7" customWidth="1"/>
    <col min="1026" max="1026" width="59.5546875" style="7" customWidth="1"/>
    <col min="1027" max="1027" width="11.88671875" style="7" customWidth="1"/>
    <col min="1028" max="1028" width="13.109375" style="7" customWidth="1"/>
    <col min="1029" max="1029" width="17.6640625" style="7" customWidth="1"/>
    <col min="1030" max="1030" width="15.44140625" style="7" customWidth="1"/>
    <col min="1031" max="1032" width="18.44140625" style="7" customWidth="1"/>
    <col min="1033" max="1033" width="15.77734375" style="7" customWidth="1"/>
    <col min="1034" max="1034" width="13.5546875" style="7" customWidth="1"/>
    <col min="1035" max="1035" width="15.5546875" style="7" customWidth="1"/>
    <col min="1036" max="1036" width="16.5546875" style="7" customWidth="1"/>
    <col min="1037" max="1037" width="13.6640625" style="7" customWidth="1"/>
    <col min="1038" max="1038" width="15.6640625" style="7" customWidth="1"/>
    <col min="1039" max="1039" width="16.44140625" style="7" customWidth="1"/>
    <col min="1040" max="1040" width="9.109375" style="7"/>
    <col min="1041" max="1041" width="16.6640625" style="7" customWidth="1"/>
    <col min="1042" max="1043" width="9.109375" style="7"/>
    <col min="1044" max="1044" width="14.77734375" style="7" bestFit="1" customWidth="1"/>
    <col min="1045" max="1045" width="11.44140625" style="7" bestFit="1" customWidth="1"/>
    <col min="1046" max="1048" width="9.109375" style="7"/>
    <col min="1049" max="1049" width="12.6640625" style="7" bestFit="1" customWidth="1"/>
    <col min="1050" max="1280" width="9.109375" style="7"/>
    <col min="1281" max="1281" width="9.33203125" style="7" customWidth="1"/>
    <col min="1282" max="1282" width="59.5546875" style="7" customWidth="1"/>
    <col min="1283" max="1283" width="11.88671875" style="7" customWidth="1"/>
    <col min="1284" max="1284" width="13.109375" style="7" customWidth="1"/>
    <col min="1285" max="1285" width="17.6640625" style="7" customWidth="1"/>
    <col min="1286" max="1286" width="15.44140625" style="7" customWidth="1"/>
    <col min="1287" max="1288" width="18.44140625" style="7" customWidth="1"/>
    <col min="1289" max="1289" width="15.77734375" style="7" customWidth="1"/>
    <col min="1290" max="1290" width="13.5546875" style="7" customWidth="1"/>
    <col min="1291" max="1291" width="15.5546875" style="7" customWidth="1"/>
    <col min="1292" max="1292" width="16.5546875" style="7" customWidth="1"/>
    <col min="1293" max="1293" width="13.6640625" style="7" customWidth="1"/>
    <col min="1294" max="1294" width="15.6640625" style="7" customWidth="1"/>
    <col min="1295" max="1295" width="16.44140625" style="7" customWidth="1"/>
    <col min="1296" max="1296" width="9.109375" style="7"/>
    <col min="1297" max="1297" width="16.6640625" style="7" customWidth="1"/>
    <col min="1298" max="1299" width="9.109375" style="7"/>
    <col min="1300" max="1300" width="14.77734375" style="7" bestFit="1" customWidth="1"/>
    <col min="1301" max="1301" width="11.44140625" style="7" bestFit="1" customWidth="1"/>
    <col min="1302" max="1304" width="9.109375" style="7"/>
    <col min="1305" max="1305" width="12.6640625" style="7" bestFit="1" customWidth="1"/>
    <col min="1306" max="1536" width="9.109375" style="7"/>
    <col min="1537" max="1537" width="9.33203125" style="7" customWidth="1"/>
    <col min="1538" max="1538" width="59.5546875" style="7" customWidth="1"/>
    <col min="1539" max="1539" width="11.88671875" style="7" customWidth="1"/>
    <col min="1540" max="1540" width="13.109375" style="7" customWidth="1"/>
    <col min="1541" max="1541" width="17.6640625" style="7" customWidth="1"/>
    <col min="1542" max="1542" width="15.44140625" style="7" customWidth="1"/>
    <col min="1543" max="1544" width="18.44140625" style="7" customWidth="1"/>
    <col min="1545" max="1545" width="15.77734375" style="7" customWidth="1"/>
    <col min="1546" max="1546" width="13.5546875" style="7" customWidth="1"/>
    <col min="1547" max="1547" width="15.5546875" style="7" customWidth="1"/>
    <col min="1548" max="1548" width="16.5546875" style="7" customWidth="1"/>
    <col min="1549" max="1549" width="13.6640625" style="7" customWidth="1"/>
    <col min="1550" max="1550" width="15.6640625" style="7" customWidth="1"/>
    <col min="1551" max="1551" width="16.44140625" style="7" customWidth="1"/>
    <col min="1552" max="1552" width="9.109375" style="7"/>
    <col min="1553" max="1553" width="16.6640625" style="7" customWidth="1"/>
    <col min="1554" max="1555" width="9.109375" style="7"/>
    <col min="1556" max="1556" width="14.77734375" style="7" bestFit="1" customWidth="1"/>
    <col min="1557" max="1557" width="11.44140625" style="7" bestFit="1" customWidth="1"/>
    <col min="1558" max="1560" width="9.109375" style="7"/>
    <col min="1561" max="1561" width="12.6640625" style="7" bestFit="1" customWidth="1"/>
    <col min="1562" max="1792" width="9.109375" style="7"/>
    <col min="1793" max="1793" width="9.33203125" style="7" customWidth="1"/>
    <col min="1794" max="1794" width="59.5546875" style="7" customWidth="1"/>
    <col min="1795" max="1795" width="11.88671875" style="7" customWidth="1"/>
    <col min="1796" max="1796" width="13.109375" style="7" customWidth="1"/>
    <col min="1797" max="1797" width="17.6640625" style="7" customWidth="1"/>
    <col min="1798" max="1798" width="15.44140625" style="7" customWidth="1"/>
    <col min="1799" max="1800" width="18.44140625" style="7" customWidth="1"/>
    <col min="1801" max="1801" width="15.77734375" style="7" customWidth="1"/>
    <col min="1802" max="1802" width="13.5546875" style="7" customWidth="1"/>
    <col min="1803" max="1803" width="15.5546875" style="7" customWidth="1"/>
    <col min="1804" max="1804" width="16.5546875" style="7" customWidth="1"/>
    <col min="1805" max="1805" width="13.6640625" style="7" customWidth="1"/>
    <col min="1806" max="1806" width="15.6640625" style="7" customWidth="1"/>
    <col min="1807" max="1807" width="16.44140625" style="7" customWidth="1"/>
    <col min="1808" max="1808" width="9.109375" style="7"/>
    <col min="1809" max="1809" width="16.6640625" style="7" customWidth="1"/>
    <col min="1810" max="1811" width="9.109375" style="7"/>
    <col min="1812" max="1812" width="14.77734375" style="7" bestFit="1" customWidth="1"/>
    <col min="1813" max="1813" width="11.44140625" style="7" bestFit="1" customWidth="1"/>
    <col min="1814" max="1816" width="9.109375" style="7"/>
    <col min="1817" max="1817" width="12.6640625" style="7" bestFit="1" customWidth="1"/>
    <col min="1818" max="2048" width="9.109375" style="7"/>
    <col min="2049" max="2049" width="9.33203125" style="7" customWidth="1"/>
    <col min="2050" max="2050" width="59.5546875" style="7" customWidth="1"/>
    <col min="2051" max="2051" width="11.88671875" style="7" customWidth="1"/>
    <col min="2052" max="2052" width="13.109375" style="7" customWidth="1"/>
    <col min="2053" max="2053" width="17.6640625" style="7" customWidth="1"/>
    <col min="2054" max="2054" width="15.44140625" style="7" customWidth="1"/>
    <col min="2055" max="2056" width="18.44140625" style="7" customWidth="1"/>
    <col min="2057" max="2057" width="15.77734375" style="7" customWidth="1"/>
    <col min="2058" max="2058" width="13.5546875" style="7" customWidth="1"/>
    <col min="2059" max="2059" width="15.5546875" style="7" customWidth="1"/>
    <col min="2060" max="2060" width="16.5546875" style="7" customWidth="1"/>
    <col min="2061" max="2061" width="13.6640625" style="7" customWidth="1"/>
    <col min="2062" max="2062" width="15.6640625" style="7" customWidth="1"/>
    <col min="2063" max="2063" width="16.44140625" style="7" customWidth="1"/>
    <col min="2064" max="2064" width="9.109375" style="7"/>
    <col min="2065" max="2065" width="16.6640625" style="7" customWidth="1"/>
    <col min="2066" max="2067" width="9.109375" style="7"/>
    <col min="2068" max="2068" width="14.77734375" style="7" bestFit="1" customWidth="1"/>
    <col min="2069" max="2069" width="11.44140625" style="7" bestFit="1" customWidth="1"/>
    <col min="2070" max="2072" width="9.109375" style="7"/>
    <col min="2073" max="2073" width="12.6640625" style="7" bestFit="1" customWidth="1"/>
    <col min="2074" max="2304" width="9.109375" style="7"/>
    <col min="2305" max="2305" width="9.33203125" style="7" customWidth="1"/>
    <col min="2306" max="2306" width="59.5546875" style="7" customWidth="1"/>
    <col min="2307" max="2307" width="11.88671875" style="7" customWidth="1"/>
    <col min="2308" max="2308" width="13.109375" style="7" customWidth="1"/>
    <col min="2309" max="2309" width="17.6640625" style="7" customWidth="1"/>
    <col min="2310" max="2310" width="15.44140625" style="7" customWidth="1"/>
    <col min="2311" max="2312" width="18.44140625" style="7" customWidth="1"/>
    <col min="2313" max="2313" width="15.77734375" style="7" customWidth="1"/>
    <col min="2314" max="2314" width="13.5546875" style="7" customWidth="1"/>
    <col min="2315" max="2315" width="15.5546875" style="7" customWidth="1"/>
    <col min="2316" max="2316" width="16.5546875" style="7" customWidth="1"/>
    <col min="2317" max="2317" width="13.6640625" style="7" customWidth="1"/>
    <col min="2318" max="2318" width="15.6640625" style="7" customWidth="1"/>
    <col min="2319" max="2319" width="16.44140625" style="7" customWidth="1"/>
    <col min="2320" max="2320" width="9.109375" style="7"/>
    <col min="2321" max="2321" width="16.6640625" style="7" customWidth="1"/>
    <col min="2322" max="2323" width="9.109375" style="7"/>
    <col min="2324" max="2324" width="14.77734375" style="7" bestFit="1" customWidth="1"/>
    <col min="2325" max="2325" width="11.44140625" style="7" bestFit="1" customWidth="1"/>
    <col min="2326" max="2328" width="9.109375" style="7"/>
    <col min="2329" max="2329" width="12.6640625" style="7" bestFit="1" customWidth="1"/>
    <col min="2330" max="2560" width="9.109375" style="7"/>
    <col min="2561" max="2561" width="9.33203125" style="7" customWidth="1"/>
    <col min="2562" max="2562" width="59.5546875" style="7" customWidth="1"/>
    <col min="2563" max="2563" width="11.88671875" style="7" customWidth="1"/>
    <col min="2564" max="2564" width="13.109375" style="7" customWidth="1"/>
    <col min="2565" max="2565" width="17.6640625" style="7" customWidth="1"/>
    <col min="2566" max="2566" width="15.44140625" style="7" customWidth="1"/>
    <col min="2567" max="2568" width="18.44140625" style="7" customWidth="1"/>
    <col min="2569" max="2569" width="15.77734375" style="7" customWidth="1"/>
    <col min="2570" max="2570" width="13.5546875" style="7" customWidth="1"/>
    <col min="2571" max="2571" width="15.5546875" style="7" customWidth="1"/>
    <col min="2572" max="2572" width="16.5546875" style="7" customWidth="1"/>
    <col min="2573" max="2573" width="13.6640625" style="7" customWidth="1"/>
    <col min="2574" max="2574" width="15.6640625" style="7" customWidth="1"/>
    <col min="2575" max="2575" width="16.44140625" style="7" customWidth="1"/>
    <col min="2576" max="2576" width="9.109375" style="7"/>
    <col min="2577" max="2577" width="16.6640625" style="7" customWidth="1"/>
    <col min="2578" max="2579" width="9.109375" style="7"/>
    <col min="2580" max="2580" width="14.77734375" style="7" bestFit="1" customWidth="1"/>
    <col min="2581" max="2581" width="11.44140625" style="7" bestFit="1" customWidth="1"/>
    <col min="2582" max="2584" width="9.109375" style="7"/>
    <col min="2585" max="2585" width="12.6640625" style="7" bestFit="1" customWidth="1"/>
    <col min="2586" max="2816" width="9.109375" style="7"/>
    <col min="2817" max="2817" width="9.33203125" style="7" customWidth="1"/>
    <col min="2818" max="2818" width="59.5546875" style="7" customWidth="1"/>
    <col min="2819" max="2819" width="11.88671875" style="7" customWidth="1"/>
    <col min="2820" max="2820" width="13.109375" style="7" customWidth="1"/>
    <col min="2821" max="2821" width="17.6640625" style="7" customWidth="1"/>
    <col min="2822" max="2822" width="15.44140625" style="7" customWidth="1"/>
    <col min="2823" max="2824" width="18.44140625" style="7" customWidth="1"/>
    <col min="2825" max="2825" width="15.77734375" style="7" customWidth="1"/>
    <col min="2826" max="2826" width="13.5546875" style="7" customWidth="1"/>
    <col min="2827" max="2827" width="15.5546875" style="7" customWidth="1"/>
    <col min="2828" max="2828" width="16.5546875" style="7" customWidth="1"/>
    <col min="2829" max="2829" width="13.6640625" style="7" customWidth="1"/>
    <col min="2830" max="2830" width="15.6640625" style="7" customWidth="1"/>
    <col min="2831" max="2831" width="16.44140625" style="7" customWidth="1"/>
    <col min="2832" max="2832" width="9.109375" style="7"/>
    <col min="2833" max="2833" width="16.6640625" style="7" customWidth="1"/>
    <col min="2834" max="2835" width="9.109375" style="7"/>
    <col min="2836" max="2836" width="14.77734375" style="7" bestFit="1" customWidth="1"/>
    <col min="2837" max="2837" width="11.44140625" style="7" bestFit="1" customWidth="1"/>
    <col min="2838" max="2840" width="9.109375" style="7"/>
    <col min="2841" max="2841" width="12.6640625" style="7" bestFit="1" customWidth="1"/>
    <col min="2842" max="3072" width="9.109375" style="7"/>
    <col min="3073" max="3073" width="9.33203125" style="7" customWidth="1"/>
    <col min="3074" max="3074" width="59.5546875" style="7" customWidth="1"/>
    <col min="3075" max="3075" width="11.88671875" style="7" customWidth="1"/>
    <col min="3076" max="3076" width="13.109375" style="7" customWidth="1"/>
    <col min="3077" max="3077" width="17.6640625" style="7" customWidth="1"/>
    <col min="3078" max="3078" width="15.44140625" style="7" customWidth="1"/>
    <col min="3079" max="3080" width="18.44140625" style="7" customWidth="1"/>
    <col min="3081" max="3081" width="15.77734375" style="7" customWidth="1"/>
    <col min="3082" max="3082" width="13.5546875" style="7" customWidth="1"/>
    <col min="3083" max="3083" width="15.5546875" style="7" customWidth="1"/>
    <col min="3084" max="3084" width="16.5546875" style="7" customWidth="1"/>
    <col min="3085" max="3085" width="13.6640625" style="7" customWidth="1"/>
    <col min="3086" max="3086" width="15.6640625" style="7" customWidth="1"/>
    <col min="3087" max="3087" width="16.44140625" style="7" customWidth="1"/>
    <col min="3088" max="3088" width="9.109375" style="7"/>
    <col min="3089" max="3089" width="16.6640625" style="7" customWidth="1"/>
    <col min="3090" max="3091" width="9.109375" style="7"/>
    <col min="3092" max="3092" width="14.77734375" style="7" bestFit="1" customWidth="1"/>
    <col min="3093" max="3093" width="11.44140625" style="7" bestFit="1" customWidth="1"/>
    <col min="3094" max="3096" width="9.109375" style="7"/>
    <col min="3097" max="3097" width="12.6640625" style="7" bestFit="1" customWidth="1"/>
    <col min="3098" max="3328" width="9.109375" style="7"/>
    <col min="3329" max="3329" width="9.33203125" style="7" customWidth="1"/>
    <col min="3330" max="3330" width="59.5546875" style="7" customWidth="1"/>
    <col min="3331" max="3331" width="11.88671875" style="7" customWidth="1"/>
    <col min="3332" max="3332" width="13.109375" style="7" customWidth="1"/>
    <col min="3333" max="3333" width="17.6640625" style="7" customWidth="1"/>
    <col min="3334" max="3334" width="15.44140625" style="7" customWidth="1"/>
    <col min="3335" max="3336" width="18.44140625" style="7" customWidth="1"/>
    <col min="3337" max="3337" width="15.77734375" style="7" customWidth="1"/>
    <col min="3338" max="3338" width="13.5546875" style="7" customWidth="1"/>
    <col min="3339" max="3339" width="15.5546875" style="7" customWidth="1"/>
    <col min="3340" max="3340" width="16.5546875" style="7" customWidth="1"/>
    <col min="3341" max="3341" width="13.6640625" style="7" customWidth="1"/>
    <col min="3342" max="3342" width="15.6640625" style="7" customWidth="1"/>
    <col min="3343" max="3343" width="16.44140625" style="7" customWidth="1"/>
    <col min="3344" max="3344" width="9.109375" style="7"/>
    <col min="3345" max="3345" width="16.6640625" style="7" customWidth="1"/>
    <col min="3346" max="3347" width="9.109375" style="7"/>
    <col min="3348" max="3348" width="14.77734375" style="7" bestFit="1" customWidth="1"/>
    <col min="3349" max="3349" width="11.44140625" style="7" bestFit="1" customWidth="1"/>
    <col min="3350" max="3352" width="9.109375" style="7"/>
    <col min="3353" max="3353" width="12.6640625" style="7" bestFit="1" customWidth="1"/>
    <col min="3354" max="3584" width="9.109375" style="7"/>
    <col min="3585" max="3585" width="9.33203125" style="7" customWidth="1"/>
    <col min="3586" max="3586" width="59.5546875" style="7" customWidth="1"/>
    <col min="3587" max="3587" width="11.88671875" style="7" customWidth="1"/>
    <col min="3588" max="3588" width="13.109375" style="7" customWidth="1"/>
    <col min="3589" max="3589" width="17.6640625" style="7" customWidth="1"/>
    <col min="3590" max="3590" width="15.44140625" style="7" customWidth="1"/>
    <col min="3591" max="3592" width="18.44140625" style="7" customWidth="1"/>
    <col min="3593" max="3593" width="15.77734375" style="7" customWidth="1"/>
    <col min="3594" max="3594" width="13.5546875" style="7" customWidth="1"/>
    <col min="3595" max="3595" width="15.5546875" style="7" customWidth="1"/>
    <col min="3596" max="3596" width="16.5546875" style="7" customWidth="1"/>
    <col min="3597" max="3597" width="13.6640625" style="7" customWidth="1"/>
    <col min="3598" max="3598" width="15.6640625" style="7" customWidth="1"/>
    <col min="3599" max="3599" width="16.44140625" style="7" customWidth="1"/>
    <col min="3600" max="3600" width="9.109375" style="7"/>
    <col min="3601" max="3601" width="16.6640625" style="7" customWidth="1"/>
    <col min="3602" max="3603" width="9.109375" style="7"/>
    <col min="3604" max="3604" width="14.77734375" style="7" bestFit="1" customWidth="1"/>
    <col min="3605" max="3605" width="11.44140625" style="7" bestFit="1" customWidth="1"/>
    <col min="3606" max="3608" width="9.109375" style="7"/>
    <col min="3609" max="3609" width="12.6640625" style="7" bestFit="1" customWidth="1"/>
    <col min="3610" max="3840" width="9.109375" style="7"/>
    <col min="3841" max="3841" width="9.33203125" style="7" customWidth="1"/>
    <col min="3842" max="3842" width="59.5546875" style="7" customWidth="1"/>
    <col min="3843" max="3843" width="11.88671875" style="7" customWidth="1"/>
    <col min="3844" max="3844" width="13.109375" style="7" customWidth="1"/>
    <col min="3845" max="3845" width="17.6640625" style="7" customWidth="1"/>
    <col min="3846" max="3846" width="15.44140625" style="7" customWidth="1"/>
    <col min="3847" max="3848" width="18.44140625" style="7" customWidth="1"/>
    <col min="3849" max="3849" width="15.77734375" style="7" customWidth="1"/>
    <col min="3850" max="3850" width="13.5546875" style="7" customWidth="1"/>
    <col min="3851" max="3851" width="15.5546875" style="7" customWidth="1"/>
    <col min="3852" max="3852" width="16.5546875" style="7" customWidth="1"/>
    <col min="3853" max="3853" width="13.6640625" style="7" customWidth="1"/>
    <col min="3854" max="3854" width="15.6640625" style="7" customWidth="1"/>
    <col min="3855" max="3855" width="16.44140625" style="7" customWidth="1"/>
    <col min="3856" max="3856" width="9.109375" style="7"/>
    <col min="3857" max="3857" width="16.6640625" style="7" customWidth="1"/>
    <col min="3858" max="3859" width="9.109375" style="7"/>
    <col min="3860" max="3860" width="14.77734375" style="7" bestFit="1" customWidth="1"/>
    <col min="3861" max="3861" width="11.44140625" style="7" bestFit="1" customWidth="1"/>
    <col min="3862" max="3864" width="9.109375" style="7"/>
    <col min="3865" max="3865" width="12.6640625" style="7" bestFit="1" customWidth="1"/>
    <col min="3866" max="4096" width="9.109375" style="7"/>
    <col min="4097" max="4097" width="9.33203125" style="7" customWidth="1"/>
    <col min="4098" max="4098" width="59.5546875" style="7" customWidth="1"/>
    <col min="4099" max="4099" width="11.88671875" style="7" customWidth="1"/>
    <col min="4100" max="4100" width="13.109375" style="7" customWidth="1"/>
    <col min="4101" max="4101" width="17.6640625" style="7" customWidth="1"/>
    <col min="4102" max="4102" width="15.44140625" style="7" customWidth="1"/>
    <col min="4103" max="4104" width="18.44140625" style="7" customWidth="1"/>
    <col min="4105" max="4105" width="15.77734375" style="7" customWidth="1"/>
    <col min="4106" max="4106" width="13.5546875" style="7" customWidth="1"/>
    <col min="4107" max="4107" width="15.5546875" style="7" customWidth="1"/>
    <col min="4108" max="4108" width="16.5546875" style="7" customWidth="1"/>
    <col min="4109" max="4109" width="13.6640625" style="7" customWidth="1"/>
    <col min="4110" max="4110" width="15.6640625" style="7" customWidth="1"/>
    <col min="4111" max="4111" width="16.44140625" style="7" customWidth="1"/>
    <col min="4112" max="4112" width="9.109375" style="7"/>
    <col min="4113" max="4113" width="16.6640625" style="7" customWidth="1"/>
    <col min="4114" max="4115" width="9.109375" style="7"/>
    <col min="4116" max="4116" width="14.77734375" style="7" bestFit="1" customWidth="1"/>
    <col min="4117" max="4117" width="11.44140625" style="7" bestFit="1" customWidth="1"/>
    <col min="4118" max="4120" width="9.109375" style="7"/>
    <col min="4121" max="4121" width="12.6640625" style="7" bestFit="1" customWidth="1"/>
    <col min="4122" max="4352" width="9.109375" style="7"/>
    <col min="4353" max="4353" width="9.33203125" style="7" customWidth="1"/>
    <col min="4354" max="4354" width="59.5546875" style="7" customWidth="1"/>
    <col min="4355" max="4355" width="11.88671875" style="7" customWidth="1"/>
    <col min="4356" max="4356" width="13.109375" style="7" customWidth="1"/>
    <col min="4357" max="4357" width="17.6640625" style="7" customWidth="1"/>
    <col min="4358" max="4358" width="15.44140625" style="7" customWidth="1"/>
    <col min="4359" max="4360" width="18.44140625" style="7" customWidth="1"/>
    <col min="4361" max="4361" width="15.77734375" style="7" customWidth="1"/>
    <col min="4362" max="4362" width="13.5546875" style="7" customWidth="1"/>
    <col min="4363" max="4363" width="15.5546875" style="7" customWidth="1"/>
    <col min="4364" max="4364" width="16.5546875" style="7" customWidth="1"/>
    <col min="4365" max="4365" width="13.6640625" style="7" customWidth="1"/>
    <col min="4366" max="4366" width="15.6640625" style="7" customWidth="1"/>
    <col min="4367" max="4367" width="16.44140625" style="7" customWidth="1"/>
    <col min="4368" max="4368" width="9.109375" style="7"/>
    <col min="4369" max="4369" width="16.6640625" style="7" customWidth="1"/>
    <col min="4370" max="4371" width="9.109375" style="7"/>
    <col min="4372" max="4372" width="14.77734375" style="7" bestFit="1" customWidth="1"/>
    <col min="4373" max="4373" width="11.44140625" style="7" bestFit="1" customWidth="1"/>
    <col min="4374" max="4376" width="9.109375" style="7"/>
    <col min="4377" max="4377" width="12.6640625" style="7" bestFit="1" customWidth="1"/>
    <col min="4378" max="4608" width="9.109375" style="7"/>
    <col min="4609" max="4609" width="9.33203125" style="7" customWidth="1"/>
    <col min="4610" max="4610" width="59.5546875" style="7" customWidth="1"/>
    <col min="4611" max="4611" width="11.88671875" style="7" customWidth="1"/>
    <col min="4612" max="4612" width="13.109375" style="7" customWidth="1"/>
    <col min="4613" max="4613" width="17.6640625" style="7" customWidth="1"/>
    <col min="4614" max="4614" width="15.44140625" style="7" customWidth="1"/>
    <col min="4615" max="4616" width="18.44140625" style="7" customWidth="1"/>
    <col min="4617" max="4617" width="15.77734375" style="7" customWidth="1"/>
    <col min="4618" max="4618" width="13.5546875" style="7" customWidth="1"/>
    <col min="4619" max="4619" width="15.5546875" style="7" customWidth="1"/>
    <col min="4620" max="4620" width="16.5546875" style="7" customWidth="1"/>
    <col min="4621" max="4621" width="13.6640625" style="7" customWidth="1"/>
    <col min="4622" max="4622" width="15.6640625" style="7" customWidth="1"/>
    <col min="4623" max="4623" width="16.44140625" style="7" customWidth="1"/>
    <col min="4624" max="4624" width="9.109375" style="7"/>
    <col min="4625" max="4625" width="16.6640625" style="7" customWidth="1"/>
    <col min="4626" max="4627" width="9.109375" style="7"/>
    <col min="4628" max="4628" width="14.77734375" style="7" bestFit="1" customWidth="1"/>
    <col min="4629" max="4629" width="11.44140625" style="7" bestFit="1" customWidth="1"/>
    <col min="4630" max="4632" width="9.109375" style="7"/>
    <col min="4633" max="4633" width="12.6640625" style="7" bestFit="1" customWidth="1"/>
    <col min="4634" max="4864" width="9.109375" style="7"/>
    <col min="4865" max="4865" width="9.33203125" style="7" customWidth="1"/>
    <col min="4866" max="4866" width="59.5546875" style="7" customWidth="1"/>
    <col min="4867" max="4867" width="11.88671875" style="7" customWidth="1"/>
    <col min="4868" max="4868" width="13.109375" style="7" customWidth="1"/>
    <col min="4869" max="4869" width="17.6640625" style="7" customWidth="1"/>
    <col min="4870" max="4870" width="15.44140625" style="7" customWidth="1"/>
    <col min="4871" max="4872" width="18.44140625" style="7" customWidth="1"/>
    <col min="4873" max="4873" width="15.77734375" style="7" customWidth="1"/>
    <col min="4874" max="4874" width="13.5546875" style="7" customWidth="1"/>
    <col min="4875" max="4875" width="15.5546875" style="7" customWidth="1"/>
    <col min="4876" max="4876" width="16.5546875" style="7" customWidth="1"/>
    <col min="4877" max="4877" width="13.6640625" style="7" customWidth="1"/>
    <col min="4878" max="4878" width="15.6640625" style="7" customWidth="1"/>
    <col min="4879" max="4879" width="16.44140625" style="7" customWidth="1"/>
    <col min="4880" max="4880" width="9.109375" style="7"/>
    <col min="4881" max="4881" width="16.6640625" style="7" customWidth="1"/>
    <col min="4882" max="4883" width="9.109375" style="7"/>
    <col min="4884" max="4884" width="14.77734375" style="7" bestFit="1" customWidth="1"/>
    <col min="4885" max="4885" width="11.44140625" style="7" bestFit="1" customWidth="1"/>
    <col min="4886" max="4888" width="9.109375" style="7"/>
    <col min="4889" max="4889" width="12.6640625" style="7" bestFit="1" customWidth="1"/>
    <col min="4890" max="5120" width="9.109375" style="7"/>
    <col min="5121" max="5121" width="9.33203125" style="7" customWidth="1"/>
    <col min="5122" max="5122" width="59.5546875" style="7" customWidth="1"/>
    <col min="5123" max="5123" width="11.88671875" style="7" customWidth="1"/>
    <col min="5124" max="5124" width="13.109375" style="7" customWidth="1"/>
    <col min="5125" max="5125" width="17.6640625" style="7" customWidth="1"/>
    <col min="5126" max="5126" width="15.44140625" style="7" customWidth="1"/>
    <col min="5127" max="5128" width="18.44140625" style="7" customWidth="1"/>
    <col min="5129" max="5129" width="15.77734375" style="7" customWidth="1"/>
    <col min="5130" max="5130" width="13.5546875" style="7" customWidth="1"/>
    <col min="5131" max="5131" width="15.5546875" style="7" customWidth="1"/>
    <col min="5132" max="5132" width="16.5546875" style="7" customWidth="1"/>
    <col min="5133" max="5133" width="13.6640625" style="7" customWidth="1"/>
    <col min="5134" max="5134" width="15.6640625" style="7" customWidth="1"/>
    <col min="5135" max="5135" width="16.44140625" style="7" customWidth="1"/>
    <col min="5136" max="5136" width="9.109375" style="7"/>
    <col min="5137" max="5137" width="16.6640625" style="7" customWidth="1"/>
    <col min="5138" max="5139" width="9.109375" style="7"/>
    <col min="5140" max="5140" width="14.77734375" style="7" bestFit="1" customWidth="1"/>
    <col min="5141" max="5141" width="11.44140625" style="7" bestFit="1" customWidth="1"/>
    <col min="5142" max="5144" width="9.109375" style="7"/>
    <col min="5145" max="5145" width="12.6640625" style="7" bestFit="1" customWidth="1"/>
    <col min="5146" max="5376" width="9.109375" style="7"/>
    <col min="5377" max="5377" width="9.33203125" style="7" customWidth="1"/>
    <col min="5378" max="5378" width="59.5546875" style="7" customWidth="1"/>
    <col min="5379" max="5379" width="11.88671875" style="7" customWidth="1"/>
    <col min="5380" max="5380" width="13.109375" style="7" customWidth="1"/>
    <col min="5381" max="5381" width="17.6640625" style="7" customWidth="1"/>
    <col min="5382" max="5382" width="15.44140625" style="7" customWidth="1"/>
    <col min="5383" max="5384" width="18.44140625" style="7" customWidth="1"/>
    <col min="5385" max="5385" width="15.77734375" style="7" customWidth="1"/>
    <col min="5386" max="5386" width="13.5546875" style="7" customWidth="1"/>
    <col min="5387" max="5387" width="15.5546875" style="7" customWidth="1"/>
    <col min="5388" max="5388" width="16.5546875" style="7" customWidth="1"/>
    <col min="5389" max="5389" width="13.6640625" style="7" customWidth="1"/>
    <col min="5390" max="5390" width="15.6640625" style="7" customWidth="1"/>
    <col min="5391" max="5391" width="16.44140625" style="7" customWidth="1"/>
    <col min="5392" max="5392" width="9.109375" style="7"/>
    <col min="5393" max="5393" width="16.6640625" style="7" customWidth="1"/>
    <col min="5394" max="5395" width="9.109375" style="7"/>
    <col min="5396" max="5396" width="14.77734375" style="7" bestFit="1" customWidth="1"/>
    <col min="5397" max="5397" width="11.44140625" style="7" bestFit="1" customWidth="1"/>
    <col min="5398" max="5400" width="9.109375" style="7"/>
    <col min="5401" max="5401" width="12.6640625" style="7" bestFit="1" customWidth="1"/>
    <col min="5402" max="5632" width="9.109375" style="7"/>
    <col min="5633" max="5633" width="9.33203125" style="7" customWidth="1"/>
    <col min="5634" max="5634" width="59.5546875" style="7" customWidth="1"/>
    <col min="5635" max="5635" width="11.88671875" style="7" customWidth="1"/>
    <col min="5636" max="5636" width="13.109375" style="7" customWidth="1"/>
    <col min="5637" max="5637" width="17.6640625" style="7" customWidth="1"/>
    <col min="5638" max="5638" width="15.44140625" style="7" customWidth="1"/>
    <col min="5639" max="5640" width="18.44140625" style="7" customWidth="1"/>
    <col min="5641" max="5641" width="15.77734375" style="7" customWidth="1"/>
    <col min="5642" max="5642" width="13.5546875" style="7" customWidth="1"/>
    <col min="5643" max="5643" width="15.5546875" style="7" customWidth="1"/>
    <col min="5644" max="5644" width="16.5546875" style="7" customWidth="1"/>
    <col min="5645" max="5645" width="13.6640625" style="7" customWidth="1"/>
    <col min="5646" max="5646" width="15.6640625" style="7" customWidth="1"/>
    <col min="5647" max="5647" width="16.44140625" style="7" customWidth="1"/>
    <col min="5648" max="5648" width="9.109375" style="7"/>
    <col min="5649" max="5649" width="16.6640625" style="7" customWidth="1"/>
    <col min="5650" max="5651" width="9.109375" style="7"/>
    <col min="5652" max="5652" width="14.77734375" style="7" bestFit="1" customWidth="1"/>
    <col min="5653" max="5653" width="11.44140625" style="7" bestFit="1" customWidth="1"/>
    <col min="5654" max="5656" width="9.109375" style="7"/>
    <col min="5657" max="5657" width="12.6640625" style="7" bestFit="1" customWidth="1"/>
    <col min="5658" max="5888" width="9.109375" style="7"/>
    <col min="5889" max="5889" width="9.33203125" style="7" customWidth="1"/>
    <col min="5890" max="5890" width="59.5546875" style="7" customWidth="1"/>
    <col min="5891" max="5891" width="11.88671875" style="7" customWidth="1"/>
    <col min="5892" max="5892" width="13.109375" style="7" customWidth="1"/>
    <col min="5893" max="5893" width="17.6640625" style="7" customWidth="1"/>
    <col min="5894" max="5894" width="15.44140625" style="7" customWidth="1"/>
    <col min="5895" max="5896" width="18.44140625" style="7" customWidth="1"/>
    <col min="5897" max="5897" width="15.77734375" style="7" customWidth="1"/>
    <col min="5898" max="5898" width="13.5546875" style="7" customWidth="1"/>
    <col min="5899" max="5899" width="15.5546875" style="7" customWidth="1"/>
    <col min="5900" max="5900" width="16.5546875" style="7" customWidth="1"/>
    <col min="5901" max="5901" width="13.6640625" style="7" customWidth="1"/>
    <col min="5902" max="5902" width="15.6640625" style="7" customWidth="1"/>
    <col min="5903" max="5903" width="16.44140625" style="7" customWidth="1"/>
    <col min="5904" max="5904" width="9.109375" style="7"/>
    <col min="5905" max="5905" width="16.6640625" style="7" customWidth="1"/>
    <col min="5906" max="5907" width="9.109375" style="7"/>
    <col min="5908" max="5908" width="14.77734375" style="7" bestFit="1" customWidth="1"/>
    <col min="5909" max="5909" width="11.44140625" style="7" bestFit="1" customWidth="1"/>
    <col min="5910" max="5912" width="9.109375" style="7"/>
    <col min="5913" max="5913" width="12.6640625" style="7" bestFit="1" customWidth="1"/>
    <col min="5914" max="6144" width="9.109375" style="7"/>
    <col min="6145" max="6145" width="9.33203125" style="7" customWidth="1"/>
    <col min="6146" max="6146" width="59.5546875" style="7" customWidth="1"/>
    <col min="6147" max="6147" width="11.88671875" style="7" customWidth="1"/>
    <col min="6148" max="6148" width="13.109375" style="7" customWidth="1"/>
    <col min="6149" max="6149" width="17.6640625" style="7" customWidth="1"/>
    <col min="6150" max="6150" width="15.44140625" style="7" customWidth="1"/>
    <col min="6151" max="6152" width="18.44140625" style="7" customWidth="1"/>
    <col min="6153" max="6153" width="15.77734375" style="7" customWidth="1"/>
    <col min="6154" max="6154" width="13.5546875" style="7" customWidth="1"/>
    <col min="6155" max="6155" width="15.5546875" style="7" customWidth="1"/>
    <col min="6156" max="6156" width="16.5546875" style="7" customWidth="1"/>
    <col min="6157" max="6157" width="13.6640625" style="7" customWidth="1"/>
    <col min="6158" max="6158" width="15.6640625" style="7" customWidth="1"/>
    <col min="6159" max="6159" width="16.44140625" style="7" customWidth="1"/>
    <col min="6160" max="6160" width="9.109375" style="7"/>
    <col min="6161" max="6161" width="16.6640625" style="7" customWidth="1"/>
    <col min="6162" max="6163" width="9.109375" style="7"/>
    <col min="6164" max="6164" width="14.77734375" style="7" bestFit="1" customWidth="1"/>
    <col min="6165" max="6165" width="11.44140625" style="7" bestFit="1" customWidth="1"/>
    <col min="6166" max="6168" width="9.109375" style="7"/>
    <col min="6169" max="6169" width="12.6640625" style="7" bestFit="1" customWidth="1"/>
    <col min="6170" max="6400" width="9.109375" style="7"/>
    <col min="6401" max="6401" width="9.33203125" style="7" customWidth="1"/>
    <col min="6402" max="6402" width="59.5546875" style="7" customWidth="1"/>
    <col min="6403" max="6403" width="11.88671875" style="7" customWidth="1"/>
    <col min="6404" max="6404" width="13.109375" style="7" customWidth="1"/>
    <col min="6405" max="6405" width="17.6640625" style="7" customWidth="1"/>
    <col min="6406" max="6406" width="15.44140625" style="7" customWidth="1"/>
    <col min="6407" max="6408" width="18.44140625" style="7" customWidth="1"/>
    <col min="6409" max="6409" width="15.77734375" style="7" customWidth="1"/>
    <col min="6410" max="6410" width="13.5546875" style="7" customWidth="1"/>
    <col min="6411" max="6411" width="15.5546875" style="7" customWidth="1"/>
    <col min="6412" max="6412" width="16.5546875" style="7" customWidth="1"/>
    <col min="6413" max="6413" width="13.6640625" style="7" customWidth="1"/>
    <col min="6414" max="6414" width="15.6640625" style="7" customWidth="1"/>
    <col min="6415" max="6415" width="16.44140625" style="7" customWidth="1"/>
    <col min="6416" max="6416" width="9.109375" style="7"/>
    <col min="6417" max="6417" width="16.6640625" style="7" customWidth="1"/>
    <col min="6418" max="6419" width="9.109375" style="7"/>
    <col min="6420" max="6420" width="14.77734375" style="7" bestFit="1" customWidth="1"/>
    <col min="6421" max="6421" width="11.44140625" style="7" bestFit="1" customWidth="1"/>
    <col min="6422" max="6424" width="9.109375" style="7"/>
    <col min="6425" max="6425" width="12.6640625" style="7" bestFit="1" customWidth="1"/>
    <col min="6426" max="6656" width="9.109375" style="7"/>
    <col min="6657" max="6657" width="9.33203125" style="7" customWidth="1"/>
    <col min="6658" max="6658" width="59.5546875" style="7" customWidth="1"/>
    <col min="6659" max="6659" width="11.88671875" style="7" customWidth="1"/>
    <col min="6660" max="6660" width="13.109375" style="7" customWidth="1"/>
    <col min="6661" max="6661" width="17.6640625" style="7" customWidth="1"/>
    <col min="6662" max="6662" width="15.44140625" style="7" customWidth="1"/>
    <col min="6663" max="6664" width="18.44140625" style="7" customWidth="1"/>
    <col min="6665" max="6665" width="15.77734375" style="7" customWidth="1"/>
    <col min="6666" max="6666" width="13.5546875" style="7" customWidth="1"/>
    <col min="6667" max="6667" width="15.5546875" style="7" customWidth="1"/>
    <col min="6668" max="6668" width="16.5546875" style="7" customWidth="1"/>
    <col min="6669" max="6669" width="13.6640625" style="7" customWidth="1"/>
    <col min="6670" max="6670" width="15.6640625" style="7" customWidth="1"/>
    <col min="6671" max="6671" width="16.44140625" style="7" customWidth="1"/>
    <col min="6672" max="6672" width="9.109375" style="7"/>
    <col min="6673" max="6673" width="16.6640625" style="7" customWidth="1"/>
    <col min="6674" max="6675" width="9.109375" style="7"/>
    <col min="6676" max="6676" width="14.77734375" style="7" bestFit="1" customWidth="1"/>
    <col min="6677" max="6677" width="11.44140625" style="7" bestFit="1" customWidth="1"/>
    <col min="6678" max="6680" width="9.109375" style="7"/>
    <col min="6681" max="6681" width="12.6640625" style="7" bestFit="1" customWidth="1"/>
    <col min="6682" max="6912" width="9.109375" style="7"/>
    <col min="6913" max="6913" width="9.33203125" style="7" customWidth="1"/>
    <col min="6914" max="6914" width="59.5546875" style="7" customWidth="1"/>
    <col min="6915" max="6915" width="11.88671875" style="7" customWidth="1"/>
    <col min="6916" max="6916" width="13.109375" style="7" customWidth="1"/>
    <col min="6917" max="6917" width="17.6640625" style="7" customWidth="1"/>
    <col min="6918" max="6918" width="15.44140625" style="7" customWidth="1"/>
    <col min="6919" max="6920" width="18.44140625" style="7" customWidth="1"/>
    <col min="6921" max="6921" width="15.77734375" style="7" customWidth="1"/>
    <col min="6922" max="6922" width="13.5546875" style="7" customWidth="1"/>
    <col min="6923" max="6923" width="15.5546875" style="7" customWidth="1"/>
    <col min="6924" max="6924" width="16.5546875" style="7" customWidth="1"/>
    <col min="6925" max="6925" width="13.6640625" style="7" customWidth="1"/>
    <col min="6926" max="6926" width="15.6640625" style="7" customWidth="1"/>
    <col min="6927" max="6927" width="16.44140625" style="7" customWidth="1"/>
    <col min="6928" max="6928" width="9.109375" style="7"/>
    <col min="6929" max="6929" width="16.6640625" style="7" customWidth="1"/>
    <col min="6930" max="6931" width="9.109375" style="7"/>
    <col min="6932" max="6932" width="14.77734375" style="7" bestFit="1" customWidth="1"/>
    <col min="6933" max="6933" width="11.44140625" style="7" bestFit="1" customWidth="1"/>
    <col min="6934" max="6936" width="9.109375" style="7"/>
    <col min="6937" max="6937" width="12.6640625" style="7" bestFit="1" customWidth="1"/>
    <col min="6938" max="7168" width="9.109375" style="7"/>
    <col min="7169" max="7169" width="9.33203125" style="7" customWidth="1"/>
    <col min="7170" max="7170" width="59.5546875" style="7" customWidth="1"/>
    <col min="7171" max="7171" width="11.88671875" style="7" customWidth="1"/>
    <col min="7172" max="7172" width="13.109375" style="7" customWidth="1"/>
    <col min="7173" max="7173" width="17.6640625" style="7" customWidth="1"/>
    <col min="7174" max="7174" width="15.44140625" style="7" customWidth="1"/>
    <col min="7175" max="7176" width="18.44140625" style="7" customWidth="1"/>
    <col min="7177" max="7177" width="15.77734375" style="7" customWidth="1"/>
    <col min="7178" max="7178" width="13.5546875" style="7" customWidth="1"/>
    <col min="7179" max="7179" width="15.5546875" style="7" customWidth="1"/>
    <col min="7180" max="7180" width="16.5546875" style="7" customWidth="1"/>
    <col min="7181" max="7181" width="13.6640625" style="7" customWidth="1"/>
    <col min="7182" max="7182" width="15.6640625" style="7" customWidth="1"/>
    <col min="7183" max="7183" width="16.44140625" style="7" customWidth="1"/>
    <col min="7184" max="7184" width="9.109375" style="7"/>
    <col min="7185" max="7185" width="16.6640625" style="7" customWidth="1"/>
    <col min="7186" max="7187" width="9.109375" style="7"/>
    <col min="7188" max="7188" width="14.77734375" style="7" bestFit="1" customWidth="1"/>
    <col min="7189" max="7189" width="11.44140625" style="7" bestFit="1" customWidth="1"/>
    <col min="7190" max="7192" width="9.109375" style="7"/>
    <col min="7193" max="7193" width="12.6640625" style="7" bestFit="1" customWidth="1"/>
    <col min="7194" max="7424" width="9.109375" style="7"/>
    <col min="7425" max="7425" width="9.33203125" style="7" customWidth="1"/>
    <col min="7426" max="7426" width="59.5546875" style="7" customWidth="1"/>
    <col min="7427" max="7427" width="11.88671875" style="7" customWidth="1"/>
    <col min="7428" max="7428" width="13.109375" style="7" customWidth="1"/>
    <col min="7429" max="7429" width="17.6640625" style="7" customWidth="1"/>
    <col min="7430" max="7430" width="15.44140625" style="7" customWidth="1"/>
    <col min="7431" max="7432" width="18.44140625" style="7" customWidth="1"/>
    <col min="7433" max="7433" width="15.77734375" style="7" customWidth="1"/>
    <col min="7434" max="7434" width="13.5546875" style="7" customWidth="1"/>
    <col min="7435" max="7435" width="15.5546875" style="7" customWidth="1"/>
    <col min="7436" max="7436" width="16.5546875" style="7" customWidth="1"/>
    <col min="7437" max="7437" width="13.6640625" style="7" customWidth="1"/>
    <col min="7438" max="7438" width="15.6640625" style="7" customWidth="1"/>
    <col min="7439" max="7439" width="16.44140625" style="7" customWidth="1"/>
    <col min="7440" max="7440" width="9.109375" style="7"/>
    <col min="7441" max="7441" width="16.6640625" style="7" customWidth="1"/>
    <col min="7442" max="7443" width="9.109375" style="7"/>
    <col min="7444" max="7444" width="14.77734375" style="7" bestFit="1" customWidth="1"/>
    <col min="7445" max="7445" width="11.44140625" style="7" bestFit="1" customWidth="1"/>
    <col min="7446" max="7448" width="9.109375" style="7"/>
    <col min="7449" max="7449" width="12.6640625" style="7" bestFit="1" customWidth="1"/>
    <col min="7450" max="7680" width="9.109375" style="7"/>
    <col min="7681" max="7681" width="9.33203125" style="7" customWidth="1"/>
    <col min="7682" max="7682" width="59.5546875" style="7" customWidth="1"/>
    <col min="7683" max="7683" width="11.88671875" style="7" customWidth="1"/>
    <col min="7684" max="7684" width="13.109375" style="7" customWidth="1"/>
    <col min="7685" max="7685" width="17.6640625" style="7" customWidth="1"/>
    <col min="7686" max="7686" width="15.44140625" style="7" customWidth="1"/>
    <col min="7687" max="7688" width="18.44140625" style="7" customWidth="1"/>
    <col min="7689" max="7689" width="15.77734375" style="7" customWidth="1"/>
    <col min="7690" max="7690" width="13.5546875" style="7" customWidth="1"/>
    <col min="7691" max="7691" width="15.5546875" style="7" customWidth="1"/>
    <col min="7692" max="7692" width="16.5546875" style="7" customWidth="1"/>
    <col min="7693" max="7693" width="13.6640625" style="7" customWidth="1"/>
    <col min="7694" max="7694" width="15.6640625" style="7" customWidth="1"/>
    <col min="7695" max="7695" width="16.44140625" style="7" customWidth="1"/>
    <col min="7696" max="7696" width="9.109375" style="7"/>
    <col min="7697" max="7697" width="16.6640625" style="7" customWidth="1"/>
    <col min="7698" max="7699" width="9.109375" style="7"/>
    <col min="7700" max="7700" width="14.77734375" style="7" bestFit="1" customWidth="1"/>
    <col min="7701" max="7701" width="11.44140625" style="7" bestFit="1" customWidth="1"/>
    <col min="7702" max="7704" width="9.109375" style="7"/>
    <col min="7705" max="7705" width="12.6640625" style="7" bestFit="1" customWidth="1"/>
    <col min="7706" max="7936" width="9.109375" style="7"/>
    <col min="7937" max="7937" width="9.33203125" style="7" customWidth="1"/>
    <col min="7938" max="7938" width="59.5546875" style="7" customWidth="1"/>
    <col min="7939" max="7939" width="11.88671875" style="7" customWidth="1"/>
    <col min="7940" max="7940" width="13.109375" style="7" customWidth="1"/>
    <col min="7941" max="7941" width="17.6640625" style="7" customWidth="1"/>
    <col min="7942" max="7942" width="15.44140625" style="7" customWidth="1"/>
    <col min="7943" max="7944" width="18.44140625" style="7" customWidth="1"/>
    <col min="7945" max="7945" width="15.77734375" style="7" customWidth="1"/>
    <col min="7946" max="7946" width="13.5546875" style="7" customWidth="1"/>
    <col min="7947" max="7947" width="15.5546875" style="7" customWidth="1"/>
    <col min="7948" max="7948" width="16.5546875" style="7" customWidth="1"/>
    <col min="7949" max="7949" width="13.6640625" style="7" customWidth="1"/>
    <col min="7950" max="7950" width="15.6640625" style="7" customWidth="1"/>
    <col min="7951" max="7951" width="16.44140625" style="7" customWidth="1"/>
    <col min="7952" max="7952" width="9.109375" style="7"/>
    <col min="7953" max="7953" width="16.6640625" style="7" customWidth="1"/>
    <col min="7954" max="7955" width="9.109375" style="7"/>
    <col min="7956" max="7956" width="14.77734375" style="7" bestFit="1" customWidth="1"/>
    <col min="7957" max="7957" width="11.44140625" style="7" bestFit="1" customWidth="1"/>
    <col min="7958" max="7960" width="9.109375" style="7"/>
    <col min="7961" max="7961" width="12.6640625" style="7" bestFit="1" customWidth="1"/>
    <col min="7962" max="8192" width="9.109375" style="7"/>
    <col min="8193" max="8193" width="9.33203125" style="7" customWidth="1"/>
    <col min="8194" max="8194" width="59.5546875" style="7" customWidth="1"/>
    <col min="8195" max="8195" width="11.88671875" style="7" customWidth="1"/>
    <col min="8196" max="8196" width="13.109375" style="7" customWidth="1"/>
    <col min="8197" max="8197" width="17.6640625" style="7" customWidth="1"/>
    <col min="8198" max="8198" width="15.44140625" style="7" customWidth="1"/>
    <col min="8199" max="8200" width="18.44140625" style="7" customWidth="1"/>
    <col min="8201" max="8201" width="15.77734375" style="7" customWidth="1"/>
    <col min="8202" max="8202" width="13.5546875" style="7" customWidth="1"/>
    <col min="8203" max="8203" width="15.5546875" style="7" customWidth="1"/>
    <col min="8204" max="8204" width="16.5546875" style="7" customWidth="1"/>
    <col min="8205" max="8205" width="13.6640625" style="7" customWidth="1"/>
    <col min="8206" max="8206" width="15.6640625" style="7" customWidth="1"/>
    <col min="8207" max="8207" width="16.44140625" style="7" customWidth="1"/>
    <col min="8208" max="8208" width="9.109375" style="7"/>
    <col min="8209" max="8209" width="16.6640625" style="7" customWidth="1"/>
    <col min="8210" max="8211" width="9.109375" style="7"/>
    <col min="8212" max="8212" width="14.77734375" style="7" bestFit="1" customWidth="1"/>
    <col min="8213" max="8213" width="11.44140625" style="7" bestFit="1" customWidth="1"/>
    <col min="8214" max="8216" width="9.109375" style="7"/>
    <col min="8217" max="8217" width="12.6640625" style="7" bestFit="1" customWidth="1"/>
    <col min="8218" max="8448" width="9.109375" style="7"/>
    <col min="8449" max="8449" width="9.33203125" style="7" customWidth="1"/>
    <col min="8450" max="8450" width="59.5546875" style="7" customWidth="1"/>
    <col min="8451" max="8451" width="11.88671875" style="7" customWidth="1"/>
    <col min="8452" max="8452" width="13.109375" style="7" customWidth="1"/>
    <col min="8453" max="8453" width="17.6640625" style="7" customWidth="1"/>
    <col min="8454" max="8454" width="15.44140625" style="7" customWidth="1"/>
    <col min="8455" max="8456" width="18.44140625" style="7" customWidth="1"/>
    <col min="8457" max="8457" width="15.77734375" style="7" customWidth="1"/>
    <col min="8458" max="8458" width="13.5546875" style="7" customWidth="1"/>
    <col min="8459" max="8459" width="15.5546875" style="7" customWidth="1"/>
    <col min="8460" max="8460" width="16.5546875" style="7" customWidth="1"/>
    <col min="8461" max="8461" width="13.6640625" style="7" customWidth="1"/>
    <col min="8462" max="8462" width="15.6640625" style="7" customWidth="1"/>
    <col min="8463" max="8463" width="16.44140625" style="7" customWidth="1"/>
    <col min="8464" max="8464" width="9.109375" style="7"/>
    <col min="8465" max="8465" width="16.6640625" style="7" customWidth="1"/>
    <col min="8466" max="8467" width="9.109375" style="7"/>
    <col min="8468" max="8468" width="14.77734375" style="7" bestFit="1" customWidth="1"/>
    <col min="8469" max="8469" width="11.44140625" style="7" bestFit="1" customWidth="1"/>
    <col min="8470" max="8472" width="9.109375" style="7"/>
    <col min="8473" max="8473" width="12.6640625" style="7" bestFit="1" customWidth="1"/>
    <col min="8474" max="8704" width="9.109375" style="7"/>
    <col min="8705" max="8705" width="9.33203125" style="7" customWidth="1"/>
    <col min="8706" max="8706" width="59.5546875" style="7" customWidth="1"/>
    <col min="8707" max="8707" width="11.88671875" style="7" customWidth="1"/>
    <col min="8708" max="8708" width="13.109375" style="7" customWidth="1"/>
    <col min="8709" max="8709" width="17.6640625" style="7" customWidth="1"/>
    <col min="8710" max="8710" width="15.44140625" style="7" customWidth="1"/>
    <col min="8711" max="8712" width="18.44140625" style="7" customWidth="1"/>
    <col min="8713" max="8713" width="15.77734375" style="7" customWidth="1"/>
    <col min="8714" max="8714" width="13.5546875" style="7" customWidth="1"/>
    <col min="8715" max="8715" width="15.5546875" style="7" customWidth="1"/>
    <col min="8716" max="8716" width="16.5546875" style="7" customWidth="1"/>
    <col min="8717" max="8717" width="13.6640625" style="7" customWidth="1"/>
    <col min="8718" max="8718" width="15.6640625" style="7" customWidth="1"/>
    <col min="8719" max="8719" width="16.44140625" style="7" customWidth="1"/>
    <col min="8720" max="8720" width="9.109375" style="7"/>
    <col min="8721" max="8721" width="16.6640625" style="7" customWidth="1"/>
    <col min="8722" max="8723" width="9.109375" style="7"/>
    <col min="8724" max="8724" width="14.77734375" style="7" bestFit="1" customWidth="1"/>
    <col min="8725" max="8725" width="11.44140625" style="7" bestFit="1" customWidth="1"/>
    <col min="8726" max="8728" width="9.109375" style="7"/>
    <col min="8729" max="8729" width="12.6640625" style="7" bestFit="1" customWidth="1"/>
    <col min="8730" max="8960" width="9.109375" style="7"/>
    <col min="8961" max="8961" width="9.33203125" style="7" customWidth="1"/>
    <col min="8962" max="8962" width="59.5546875" style="7" customWidth="1"/>
    <col min="8963" max="8963" width="11.88671875" style="7" customWidth="1"/>
    <col min="8964" max="8964" width="13.109375" style="7" customWidth="1"/>
    <col min="8965" max="8965" width="17.6640625" style="7" customWidth="1"/>
    <col min="8966" max="8966" width="15.44140625" style="7" customWidth="1"/>
    <col min="8967" max="8968" width="18.44140625" style="7" customWidth="1"/>
    <col min="8969" max="8969" width="15.77734375" style="7" customWidth="1"/>
    <col min="8970" max="8970" width="13.5546875" style="7" customWidth="1"/>
    <col min="8971" max="8971" width="15.5546875" style="7" customWidth="1"/>
    <col min="8972" max="8972" width="16.5546875" style="7" customWidth="1"/>
    <col min="8973" max="8973" width="13.6640625" style="7" customWidth="1"/>
    <col min="8974" max="8974" width="15.6640625" style="7" customWidth="1"/>
    <col min="8975" max="8975" width="16.44140625" style="7" customWidth="1"/>
    <col min="8976" max="8976" width="9.109375" style="7"/>
    <col min="8977" max="8977" width="16.6640625" style="7" customWidth="1"/>
    <col min="8978" max="8979" width="9.109375" style="7"/>
    <col min="8980" max="8980" width="14.77734375" style="7" bestFit="1" customWidth="1"/>
    <col min="8981" max="8981" width="11.44140625" style="7" bestFit="1" customWidth="1"/>
    <col min="8982" max="8984" width="9.109375" style="7"/>
    <col min="8985" max="8985" width="12.6640625" style="7" bestFit="1" customWidth="1"/>
    <col min="8986" max="9216" width="9.109375" style="7"/>
    <col min="9217" max="9217" width="9.33203125" style="7" customWidth="1"/>
    <col min="9218" max="9218" width="59.5546875" style="7" customWidth="1"/>
    <col min="9219" max="9219" width="11.88671875" style="7" customWidth="1"/>
    <col min="9220" max="9220" width="13.109375" style="7" customWidth="1"/>
    <col min="9221" max="9221" width="17.6640625" style="7" customWidth="1"/>
    <col min="9222" max="9222" width="15.44140625" style="7" customWidth="1"/>
    <col min="9223" max="9224" width="18.44140625" style="7" customWidth="1"/>
    <col min="9225" max="9225" width="15.77734375" style="7" customWidth="1"/>
    <col min="9226" max="9226" width="13.5546875" style="7" customWidth="1"/>
    <col min="9227" max="9227" width="15.5546875" style="7" customWidth="1"/>
    <col min="9228" max="9228" width="16.5546875" style="7" customWidth="1"/>
    <col min="9229" max="9229" width="13.6640625" style="7" customWidth="1"/>
    <col min="9230" max="9230" width="15.6640625" style="7" customWidth="1"/>
    <col min="9231" max="9231" width="16.44140625" style="7" customWidth="1"/>
    <col min="9232" max="9232" width="9.109375" style="7"/>
    <col min="9233" max="9233" width="16.6640625" style="7" customWidth="1"/>
    <col min="9234" max="9235" width="9.109375" style="7"/>
    <col min="9236" max="9236" width="14.77734375" style="7" bestFit="1" customWidth="1"/>
    <col min="9237" max="9237" width="11.44140625" style="7" bestFit="1" customWidth="1"/>
    <col min="9238" max="9240" width="9.109375" style="7"/>
    <col min="9241" max="9241" width="12.6640625" style="7" bestFit="1" customWidth="1"/>
    <col min="9242" max="9472" width="9.109375" style="7"/>
    <col min="9473" max="9473" width="9.33203125" style="7" customWidth="1"/>
    <col min="9474" max="9474" width="59.5546875" style="7" customWidth="1"/>
    <col min="9475" max="9475" width="11.88671875" style="7" customWidth="1"/>
    <col min="9476" max="9476" width="13.109375" style="7" customWidth="1"/>
    <col min="9477" max="9477" width="17.6640625" style="7" customWidth="1"/>
    <col min="9478" max="9478" width="15.44140625" style="7" customWidth="1"/>
    <col min="9479" max="9480" width="18.44140625" style="7" customWidth="1"/>
    <col min="9481" max="9481" width="15.77734375" style="7" customWidth="1"/>
    <col min="9482" max="9482" width="13.5546875" style="7" customWidth="1"/>
    <col min="9483" max="9483" width="15.5546875" style="7" customWidth="1"/>
    <col min="9484" max="9484" width="16.5546875" style="7" customWidth="1"/>
    <col min="9485" max="9485" width="13.6640625" style="7" customWidth="1"/>
    <col min="9486" max="9486" width="15.6640625" style="7" customWidth="1"/>
    <col min="9487" max="9487" width="16.44140625" style="7" customWidth="1"/>
    <col min="9488" max="9488" width="9.109375" style="7"/>
    <col min="9489" max="9489" width="16.6640625" style="7" customWidth="1"/>
    <col min="9490" max="9491" width="9.109375" style="7"/>
    <col min="9492" max="9492" width="14.77734375" style="7" bestFit="1" customWidth="1"/>
    <col min="9493" max="9493" width="11.44140625" style="7" bestFit="1" customWidth="1"/>
    <col min="9494" max="9496" width="9.109375" style="7"/>
    <col min="9497" max="9497" width="12.6640625" style="7" bestFit="1" customWidth="1"/>
    <col min="9498" max="9728" width="9.109375" style="7"/>
    <col min="9729" max="9729" width="9.33203125" style="7" customWidth="1"/>
    <col min="9730" max="9730" width="59.5546875" style="7" customWidth="1"/>
    <col min="9731" max="9731" width="11.88671875" style="7" customWidth="1"/>
    <col min="9732" max="9732" width="13.109375" style="7" customWidth="1"/>
    <col min="9733" max="9733" width="17.6640625" style="7" customWidth="1"/>
    <col min="9734" max="9734" width="15.44140625" style="7" customWidth="1"/>
    <col min="9735" max="9736" width="18.44140625" style="7" customWidth="1"/>
    <col min="9737" max="9737" width="15.77734375" style="7" customWidth="1"/>
    <col min="9738" max="9738" width="13.5546875" style="7" customWidth="1"/>
    <col min="9739" max="9739" width="15.5546875" style="7" customWidth="1"/>
    <col min="9740" max="9740" width="16.5546875" style="7" customWidth="1"/>
    <col min="9741" max="9741" width="13.6640625" style="7" customWidth="1"/>
    <col min="9742" max="9742" width="15.6640625" style="7" customWidth="1"/>
    <col min="9743" max="9743" width="16.44140625" style="7" customWidth="1"/>
    <col min="9744" max="9744" width="9.109375" style="7"/>
    <col min="9745" max="9745" width="16.6640625" style="7" customWidth="1"/>
    <col min="9746" max="9747" width="9.109375" style="7"/>
    <col min="9748" max="9748" width="14.77734375" style="7" bestFit="1" customWidth="1"/>
    <col min="9749" max="9749" width="11.44140625" style="7" bestFit="1" customWidth="1"/>
    <col min="9750" max="9752" width="9.109375" style="7"/>
    <col min="9753" max="9753" width="12.6640625" style="7" bestFit="1" customWidth="1"/>
    <col min="9754" max="9984" width="9.109375" style="7"/>
    <col min="9985" max="9985" width="9.33203125" style="7" customWidth="1"/>
    <col min="9986" max="9986" width="59.5546875" style="7" customWidth="1"/>
    <col min="9987" max="9987" width="11.88671875" style="7" customWidth="1"/>
    <col min="9988" max="9988" width="13.109375" style="7" customWidth="1"/>
    <col min="9989" max="9989" width="17.6640625" style="7" customWidth="1"/>
    <col min="9990" max="9990" width="15.44140625" style="7" customWidth="1"/>
    <col min="9991" max="9992" width="18.44140625" style="7" customWidth="1"/>
    <col min="9993" max="9993" width="15.77734375" style="7" customWidth="1"/>
    <col min="9994" max="9994" width="13.5546875" style="7" customWidth="1"/>
    <col min="9995" max="9995" width="15.5546875" style="7" customWidth="1"/>
    <col min="9996" max="9996" width="16.5546875" style="7" customWidth="1"/>
    <col min="9997" max="9997" width="13.6640625" style="7" customWidth="1"/>
    <col min="9998" max="9998" width="15.6640625" style="7" customWidth="1"/>
    <col min="9999" max="9999" width="16.44140625" style="7" customWidth="1"/>
    <col min="10000" max="10000" width="9.109375" style="7"/>
    <col min="10001" max="10001" width="16.6640625" style="7" customWidth="1"/>
    <col min="10002" max="10003" width="9.109375" style="7"/>
    <col min="10004" max="10004" width="14.77734375" style="7" bestFit="1" customWidth="1"/>
    <col min="10005" max="10005" width="11.44140625" style="7" bestFit="1" customWidth="1"/>
    <col min="10006" max="10008" width="9.109375" style="7"/>
    <col min="10009" max="10009" width="12.6640625" style="7" bestFit="1" customWidth="1"/>
    <col min="10010" max="10240" width="9.109375" style="7"/>
    <col min="10241" max="10241" width="9.33203125" style="7" customWidth="1"/>
    <col min="10242" max="10242" width="59.5546875" style="7" customWidth="1"/>
    <col min="10243" max="10243" width="11.88671875" style="7" customWidth="1"/>
    <col min="10244" max="10244" width="13.109375" style="7" customWidth="1"/>
    <col min="10245" max="10245" width="17.6640625" style="7" customWidth="1"/>
    <col min="10246" max="10246" width="15.44140625" style="7" customWidth="1"/>
    <col min="10247" max="10248" width="18.44140625" style="7" customWidth="1"/>
    <col min="10249" max="10249" width="15.77734375" style="7" customWidth="1"/>
    <col min="10250" max="10250" width="13.5546875" style="7" customWidth="1"/>
    <col min="10251" max="10251" width="15.5546875" style="7" customWidth="1"/>
    <col min="10252" max="10252" width="16.5546875" style="7" customWidth="1"/>
    <col min="10253" max="10253" width="13.6640625" style="7" customWidth="1"/>
    <col min="10254" max="10254" width="15.6640625" style="7" customWidth="1"/>
    <col min="10255" max="10255" width="16.44140625" style="7" customWidth="1"/>
    <col min="10256" max="10256" width="9.109375" style="7"/>
    <col min="10257" max="10257" width="16.6640625" style="7" customWidth="1"/>
    <col min="10258" max="10259" width="9.109375" style="7"/>
    <col min="10260" max="10260" width="14.77734375" style="7" bestFit="1" customWidth="1"/>
    <col min="10261" max="10261" width="11.44140625" style="7" bestFit="1" customWidth="1"/>
    <col min="10262" max="10264" width="9.109375" style="7"/>
    <col min="10265" max="10265" width="12.6640625" style="7" bestFit="1" customWidth="1"/>
    <col min="10266" max="10496" width="9.109375" style="7"/>
    <col min="10497" max="10497" width="9.33203125" style="7" customWidth="1"/>
    <col min="10498" max="10498" width="59.5546875" style="7" customWidth="1"/>
    <col min="10499" max="10499" width="11.88671875" style="7" customWidth="1"/>
    <col min="10500" max="10500" width="13.109375" style="7" customWidth="1"/>
    <col min="10501" max="10501" width="17.6640625" style="7" customWidth="1"/>
    <col min="10502" max="10502" width="15.44140625" style="7" customWidth="1"/>
    <col min="10503" max="10504" width="18.44140625" style="7" customWidth="1"/>
    <col min="10505" max="10505" width="15.77734375" style="7" customWidth="1"/>
    <col min="10506" max="10506" width="13.5546875" style="7" customWidth="1"/>
    <col min="10507" max="10507" width="15.5546875" style="7" customWidth="1"/>
    <col min="10508" max="10508" width="16.5546875" style="7" customWidth="1"/>
    <col min="10509" max="10509" width="13.6640625" style="7" customWidth="1"/>
    <col min="10510" max="10510" width="15.6640625" style="7" customWidth="1"/>
    <col min="10511" max="10511" width="16.44140625" style="7" customWidth="1"/>
    <col min="10512" max="10512" width="9.109375" style="7"/>
    <col min="10513" max="10513" width="16.6640625" style="7" customWidth="1"/>
    <col min="10514" max="10515" width="9.109375" style="7"/>
    <col min="10516" max="10516" width="14.77734375" style="7" bestFit="1" customWidth="1"/>
    <col min="10517" max="10517" width="11.44140625" style="7" bestFit="1" customWidth="1"/>
    <col min="10518" max="10520" width="9.109375" style="7"/>
    <col min="10521" max="10521" width="12.6640625" style="7" bestFit="1" customWidth="1"/>
    <col min="10522" max="10752" width="9.109375" style="7"/>
    <col min="10753" max="10753" width="9.33203125" style="7" customWidth="1"/>
    <col min="10754" max="10754" width="59.5546875" style="7" customWidth="1"/>
    <col min="10755" max="10755" width="11.88671875" style="7" customWidth="1"/>
    <col min="10756" max="10756" width="13.109375" style="7" customWidth="1"/>
    <col min="10757" max="10757" width="17.6640625" style="7" customWidth="1"/>
    <col min="10758" max="10758" width="15.44140625" style="7" customWidth="1"/>
    <col min="10759" max="10760" width="18.44140625" style="7" customWidth="1"/>
    <col min="10761" max="10761" width="15.77734375" style="7" customWidth="1"/>
    <col min="10762" max="10762" width="13.5546875" style="7" customWidth="1"/>
    <col min="10763" max="10763" width="15.5546875" style="7" customWidth="1"/>
    <col min="10764" max="10764" width="16.5546875" style="7" customWidth="1"/>
    <col min="10765" max="10765" width="13.6640625" style="7" customWidth="1"/>
    <col min="10766" max="10766" width="15.6640625" style="7" customWidth="1"/>
    <col min="10767" max="10767" width="16.44140625" style="7" customWidth="1"/>
    <col min="10768" max="10768" width="9.109375" style="7"/>
    <col min="10769" max="10769" width="16.6640625" style="7" customWidth="1"/>
    <col min="10770" max="10771" width="9.109375" style="7"/>
    <col min="10772" max="10772" width="14.77734375" style="7" bestFit="1" customWidth="1"/>
    <col min="10773" max="10773" width="11.44140625" style="7" bestFit="1" customWidth="1"/>
    <col min="10774" max="10776" width="9.109375" style="7"/>
    <col min="10777" max="10777" width="12.6640625" style="7" bestFit="1" customWidth="1"/>
    <col min="10778" max="11008" width="9.109375" style="7"/>
    <col min="11009" max="11009" width="9.33203125" style="7" customWidth="1"/>
    <col min="11010" max="11010" width="59.5546875" style="7" customWidth="1"/>
    <col min="11011" max="11011" width="11.88671875" style="7" customWidth="1"/>
    <col min="11012" max="11012" width="13.109375" style="7" customWidth="1"/>
    <col min="11013" max="11013" width="17.6640625" style="7" customWidth="1"/>
    <col min="11014" max="11014" width="15.44140625" style="7" customWidth="1"/>
    <col min="11015" max="11016" width="18.44140625" style="7" customWidth="1"/>
    <col min="11017" max="11017" width="15.77734375" style="7" customWidth="1"/>
    <col min="11018" max="11018" width="13.5546875" style="7" customWidth="1"/>
    <col min="11019" max="11019" width="15.5546875" style="7" customWidth="1"/>
    <col min="11020" max="11020" width="16.5546875" style="7" customWidth="1"/>
    <col min="11021" max="11021" width="13.6640625" style="7" customWidth="1"/>
    <col min="11022" max="11022" width="15.6640625" style="7" customWidth="1"/>
    <col min="11023" max="11023" width="16.44140625" style="7" customWidth="1"/>
    <col min="11024" max="11024" width="9.109375" style="7"/>
    <col min="11025" max="11025" width="16.6640625" style="7" customWidth="1"/>
    <col min="11026" max="11027" width="9.109375" style="7"/>
    <col min="11028" max="11028" width="14.77734375" style="7" bestFit="1" customWidth="1"/>
    <col min="11029" max="11029" width="11.44140625" style="7" bestFit="1" customWidth="1"/>
    <col min="11030" max="11032" width="9.109375" style="7"/>
    <col min="11033" max="11033" width="12.6640625" style="7" bestFit="1" customWidth="1"/>
    <col min="11034" max="11264" width="9.109375" style="7"/>
    <col min="11265" max="11265" width="9.33203125" style="7" customWidth="1"/>
    <col min="11266" max="11266" width="59.5546875" style="7" customWidth="1"/>
    <col min="11267" max="11267" width="11.88671875" style="7" customWidth="1"/>
    <col min="11268" max="11268" width="13.109375" style="7" customWidth="1"/>
    <col min="11269" max="11269" width="17.6640625" style="7" customWidth="1"/>
    <col min="11270" max="11270" width="15.44140625" style="7" customWidth="1"/>
    <col min="11271" max="11272" width="18.44140625" style="7" customWidth="1"/>
    <col min="11273" max="11273" width="15.77734375" style="7" customWidth="1"/>
    <col min="11274" max="11274" width="13.5546875" style="7" customWidth="1"/>
    <col min="11275" max="11275" width="15.5546875" style="7" customWidth="1"/>
    <col min="11276" max="11276" width="16.5546875" style="7" customWidth="1"/>
    <col min="11277" max="11277" width="13.6640625" style="7" customWidth="1"/>
    <col min="11278" max="11278" width="15.6640625" style="7" customWidth="1"/>
    <col min="11279" max="11279" width="16.44140625" style="7" customWidth="1"/>
    <col min="11280" max="11280" width="9.109375" style="7"/>
    <col min="11281" max="11281" width="16.6640625" style="7" customWidth="1"/>
    <col min="11282" max="11283" width="9.109375" style="7"/>
    <col min="11284" max="11284" width="14.77734375" style="7" bestFit="1" customWidth="1"/>
    <col min="11285" max="11285" width="11.44140625" style="7" bestFit="1" customWidth="1"/>
    <col min="11286" max="11288" width="9.109375" style="7"/>
    <col min="11289" max="11289" width="12.6640625" style="7" bestFit="1" customWidth="1"/>
    <col min="11290" max="11520" width="9.109375" style="7"/>
    <col min="11521" max="11521" width="9.33203125" style="7" customWidth="1"/>
    <col min="11522" max="11522" width="59.5546875" style="7" customWidth="1"/>
    <col min="11523" max="11523" width="11.88671875" style="7" customWidth="1"/>
    <col min="11524" max="11524" width="13.109375" style="7" customWidth="1"/>
    <col min="11525" max="11525" width="17.6640625" style="7" customWidth="1"/>
    <col min="11526" max="11526" width="15.44140625" style="7" customWidth="1"/>
    <col min="11527" max="11528" width="18.44140625" style="7" customWidth="1"/>
    <col min="11529" max="11529" width="15.77734375" style="7" customWidth="1"/>
    <col min="11530" max="11530" width="13.5546875" style="7" customWidth="1"/>
    <col min="11531" max="11531" width="15.5546875" style="7" customWidth="1"/>
    <col min="11532" max="11532" width="16.5546875" style="7" customWidth="1"/>
    <col min="11533" max="11533" width="13.6640625" style="7" customWidth="1"/>
    <col min="11534" max="11534" width="15.6640625" style="7" customWidth="1"/>
    <col min="11535" max="11535" width="16.44140625" style="7" customWidth="1"/>
    <col min="11536" max="11536" width="9.109375" style="7"/>
    <col min="11537" max="11537" width="16.6640625" style="7" customWidth="1"/>
    <col min="11538" max="11539" width="9.109375" style="7"/>
    <col min="11540" max="11540" width="14.77734375" style="7" bestFit="1" customWidth="1"/>
    <col min="11541" max="11541" width="11.44140625" style="7" bestFit="1" customWidth="1"/>
    <col min="11542" max="11544" width="9.109375" style="7"/>
    <col min="11545" max="11545" width="12.6640625" style="7" bestFit="1" customWidth="1"/>
    <col min="11546" max="11776" width="9.109375" style="7"/>
    <col min="11777" max="11777" width="9.33203125" style="7" customWidth="1"/>
    <col min="11778" max="11778" width="59.5546875" style="7" customWidth="1"/>
    <col min="11779" max="11779" width="11.88671875" style="7" customWidth="1"/>
    <col min="11780" max="11780" width="13.109375" style="7" customWidth="1"/>
    <col min="11781" max="11781" width="17.6640625" style="7" customWidth="1"/>
    <col min="11782" max="11782" width="15.44140625" style="7" customWidth="1"/>
    <col min="11783" max="11784" width="18.44140625" style="7" customWidth="1"/>
    <col min="11785" max="11785" width="15.77734375" style="7" customWidth="1"/>
    <col min="11786" max="11786" width="13.5546875" style="7" customWidth="1"/>
    <col min="11787" max="11787" width="15.5546875" style="7" customWidth="1"/>
    <col min="11788" max="11788" width="16.5546875" style="7" customWidth="1"/>
    <col min="11789" max="11789" width="13.6640625" style="7" customWidth="1"/>
    <col min="11790" max="11790" width="15.6640625" style="7" customWidth="1"/>
    <col min="11791" max="11791" width="16.44140625" style="7" customWidth="1"/>
    <col min="11792" max="11792" width="9.109375" style="7"/>
    <col min="11793" max="11793" width="16.6640625" style="7" customWidth="1"/>
    <col min="11794" max="11795" width="9.109375" style="7"/>
    <col min="11796" max="11796" width="14.77734375" style="7" bestFit="1" customWidth="1"/>
    <col min="11797" max="11797" width="11.44140625" style="7" bestFit="1" customWidth="1"/>
    <col min="11798" max="11800" width="9.109375" style="7"/>
    <col min="11801" max="11801" width="12.6640625" style="7" bestFit="1" customWidth="1"/>
    <col min="11802" max="12032" width="9.109375" style="7"/>
    <col min="12033" max="12033" width="9.33203125" style="7" customWidth="1"/>
    <col min="12034" max="12034" width="59.5546875" style="7" customWidth="1"/>
    <col min="12035" max="12035" width="11.88671875" style="7" customWidth="1"/>
    <col min="12036" max="12036" width="13.109375" style="7" customWidth="1"/>
    <col min="12037" max="12037" width="17.6640625" style="7" customWidth="1"/>
    <col min="12038" max="12038" width="15.44140625" style="7" customWidth="1"/>
    <col min="12039" max="12040" width="18.44140625" style="7" customWidth="1"/>
    <col min="12041" max="12041" width="15.77734375" style="7" customWidth="1"/>
    <col min="12042" max="12042" width="13.5546875" style="7" customWidth="1"/>
    <col min="12043" max="12043" width="15.5546875" style="7" customWidth="1"/>
    <col min="12044" max="12044" width="16.5546875" style="7" customWidth="1"/>
    <col min="12045" max="12045" width="13.6640625" style="7" customWidth="1"/>
    <col min="12046" max="12046" width="15.6640625" style="7" customWidth="1"/>
    <col min="12047" max="12047" width="16.44140625" style="7" customWidth="1"/>
    <col min="12048" max="12048" width="9.109375" style="7"/>
    <col min="12049" max="12049" width="16.6640625" style="7" customWidth="1"/>
    <col min="12050" max="12051" width="9.109375" style="7"/>
    <col min="12052" max="12052" width="14.77734375" style="7" bestFit="1" customWidth="1"/>
    <col min="12053" max="12053" width="11.44140625" style="7" bestFit="1" customWidth="1"/>
    <col min="12054" max="12056" width="9.109375" style="7"/>
    <col min="12057" max="12057" width="12.6640625" style="7" bestFit="1" customWidth="1"/>
    <col min="12058" max="12288" width="9.109375" style="7"/>
    <col min="12289" max="12289" width="9.33203125" style="7" customWidth="1"/>
    <col min="12290" max="12290" width="59.5546875" style="7" customWidth="1"/>
    <col min="12291" max="12291" width="11.88671875" style="7" customWidth="1"/>
    <col min="12292" max="12292" width="13.109375" style="7" customWidth="1"/>
    <col min="12293" max="12293" width="17.6640625" style="7" customWidth="1"/>
    <col min="12294" max="12294" width="15.44140625" style="7" customWidth="1"/>
    <col min="12295" max="12296" width="18.44140625" style="7" customWidth="1"/>
    <col min="12297" max="12297" width="15.77734375" style="7" customWidth="1"/>
    <col min="12298" max="12298" width="13.5546875" style="7" customWidth="1"/>
    <col min="12299" max="12299" width="15.5546875" style="7" customWidth="1"/>
    <col min="12300" max="12300" width="16.5546875" style="7" customWidth="1"/>
    <col min="12301" max="12301" width="13.6640625" style="7" customWidth="1"/>
    <col min="12302" max="12302" width="15.6640625" style="7" customWidth="1"/>
    <col min="12303" max="12303" width="16.44140625" style="7" customWidth="1"/>
    <col min="12304" max="12304" width="9.109375" style="7"/>
    <col min="12305" max="12305" width="16.6640625" style="7" customWidth="1"/>
    <col min="12306" max="12307" width="9.109375" style="7"/>
    <col min="12308" max="12308" width="14.77734375" style="7" bestFit="1" customWidth="1"/>
    <col min="12309" max="12309" width="11.44140625" style="7" bestFit="1" customWidth="1"/>
    <col min="12310" max="12312" width="9.109375" style="7"/>
    <col min="12313" max="12313" width="12.6640625" style="7" bestFit="1" customWidth="1"/>
    <col min="12314" max="12544" width="9.109375" style="7"/>
    <col min="12545" max="12545" width="9.33203125" style="7" customWidth="1"/>
    <col min="12546" max="12546" width="59.5546875" style="7" customWidth="1"/>
    <col min="12547" max="12547" width="11.88671875" style="7" customWidth="1"/>
    <col min="12548" max="12548" width="13.109375" style="7" customWidth="1"/>
    <col min="12549" max="12549" width="17.6640625" style="7" customWidth="1"/>
    <col min="12550" max="12550" width="15.44140625" style="7" customWidth="1"/>
    <col min="12551" max="12552" width="18.44140625" style="7" customWidth="1"/>
    <col min="12553" max="12553" width="15.77734375" style="7" customWidth="1"/>
    <col min="12554" max="12554" width="13.5546875" style="7" customWidth="1"/>
    <col min="12555" max="12555" width="15.5546875" style="7" customWidth="1"/>
    <col min="12556" max="12556" width="16.5546875" style="7" customWidth="1"/>
    <col min="12557" max="12557" width="13.6640625" style="7" customWidth="1"/>
    <col min="12558" max="12558" width="15.6640625" style="7" customWidth="1"/>
    <col min="12559" max="12559" width="16.44140625" style="7" customWidth="1"/>
    <col min="12560" max="12560" width="9.109375" style="7"/>
    <col min="12561" max="12561" width="16.6640625" style="7" customWidth="1"/>
    <col min="12562" max="12563" width="9.109375" style="7"/>
    <col min="12564" max="12564" width="14.77734375" style="7" bestFit="1" customWidth="1"/>
    <col min="12565" max="12565" width="11.44140625" style="7" bestFit="1" customWidth="1"/>
    <col min="12566" max="12568" width="9.109375" style="7"/>
    <col min="12569" max="12569" width="12.6640625" style="7" bestFit="1" customWidth="1"/>
    <col min="12570" max="12800" width="9.109375" style="7"/>
    <col min="12801" max="12801" width="9.33203125" style="7" customWidth="1"/>
    <col min="12802" max="12802" width="59.5546875" style="7" customWidth="1"/>
    <col min="12803" max="12803" width="11.88671875" style="7" customWidth="1"/>
    <col min="12804" max="12804" width="13.109375" style="7" customWidth="1"/>
    <col min="12805" max="12805" width="17.6640625" style="7" customWidth="1"/>
    <col min="12806" max="12806" width="15.44140625" style="7" customWidth="1"/>
    <col min="12807" max="12808" width="18.44140625" style="7" customWidth="1"/>
    <col min="12809" max="12809" width="15.77734375" style="7" customWidth="1"/>
    <col min="12810" max="12810" width="13.5546875" style="7" customWidth="1"/>
    <col min="12811" max="12811" width="15.5546875" style="7" customWidth="1"/>
    <col min="12812" max="12812" width="16.5546875" style="7" customWidth="1"/>
    <col min="12813" max="12813" width="13.6640625" style="7" customWidth="1"/>
    <col min="12814" max="12814" width="15.6640625" style="7" customWidth="1"/>
    <col min="12815" max="12815" width="16.44140625" style="7" customWidth="1"/>
    <col min="12816" max="12816" width="9.109375" style="7"/>
    <col min="12817" max="12817" width="16.6640625" style="7" customWidth="1"/>
    <col min="12818" max="12819" width="9.109375" style="7"/>
    <col min="12820" max="12820" width="14.77734375" style="7" bestFit="1" customWidth="1"/>
    <col min="12821" max="12821" width="11.44140625" style="7" bestFit="1" customWidth="1"/>
    <col min="12822" max="12824" width="9.109375" style="7"/>
    <col min="12825" max="12825" width="12.6640625" style="7" bestFit="1" customWidth="1"/>
    <col min="12826" max="13056" width="9.109375" style="7"/>
    <col min="13057" max="13057" width="9.33203125" style="7" customWidth="1"/>
    <col min="13058" max="13058" width="59.5546875" style="7" customWidth="1"/>
    <col min="13059" max="13059" width="11.88671875" style="7" customWidth="1"/>
    <col min="13060" max="13060" width="13.109375" style="7" customWidth="1"/>
    <col min="13061" max="13061" width="17.6640625" style="7" customWidth="1"/>
    <col min="13062" max="13062" width="15.44140625" style="7" customWidth="1"/>
    <col min="13063" max="13064" width="18.44140625" style="7" customWidth="1"/>
    <col min="13065" max="13065" width="15.77734375" style="7" customWidth="1"/>
    <col min="13066" max="13066" width="13.5546875" style="7" customWidth="1"/>
    <col min="13067" max="13067" width="15.5546875" style="7" customWidth="1"/>
    <col min="13068" max="13068" width="16.5546875" style="7" customWidth="1"/>
    <col min="13069" max="13069" width="13.6640625" style="7" customWidth="1"/>
    <col min="13070" max="13070" width="15.6640625" style="7" customWidth="1"/>
    <col min="13071" max="13071" width="16.44140625" style="7" customWidth="1"/>
    <col min="13072" max="13072" width="9.109375" style="7"/>
    <col min="13073" max="13073" width="16.6640625" style="7" customWidth="1"/>
    <col min="13074" max="13075" width="9.109375" style="7"/>
    <col min="13076" max="13076" width="14.77734375" style="7" bestFit="1" customWidth="1"/>
    <col min="13077" max="13077" width="11.44140625" style="7" bestFit="1" customWidth="1"/>
    <col min="13078" max="13080" width="9.109375" style="7"/>
    <col min="13081" max="13081" width="12.6640625" style="7" bestFit="1" customWidth="1"/>
    <col min="13082" max="13312" width="9.109375" style="7"/>
    <col min="13313" max="13313" width="9.33203125" style="7" customWidth="1"/>
    <col min="13314" max="13314" width="59.5546875" style="7" customWidth="1"/>
    <col min="13315" max="13315" width="11.88671875" style="7" customWidth="1"/>
    <col min="13316" max="13316" width="13.109375" style="7" customWidth="1"/>
    <col min="13317" max="13317" width="17.6640625" style="7" customWidth="1"/>
    <col min="13318" max="13318" width="15.44140625" style="7" customWidth="1"/>
    <col min="13319" max="13320" width="18.44140625" style="7" customWidth="1"/>
    <col min="13321" max="13321" width="15.77734375" style="7" customWidth="1"/>
    <col min="13322" max="13322" width="13.5546875" style="7" customWidth="1"/>
    <col min="13323" max="13323" width="15.5546875" style="7" customWidth="1"/>
    <col min="13324" max="13324" width="16.5546875" style="7" customWidth="1"/>
    <col min="13325" max="13325" width="13.6640625" style="7" customWidth="1"/>
    <col min="13326" max="13326" width="15.6640625" style="7" customWidth="1"/>
    <col min="13327" max="13327" width="16.44140625" style="7" customWidth="1"/>
    <col min="13328" max="13328" width="9.109375" style="7"/>
    <col min="13329" max="13329" width="16.6640625" style="7" customWidth="1"/>
    <col min="13330" max="13331" width="9.109375" style="7"/>
    <col min="13332" max="13332" width="14.77734375" style="7" bestFit="1" customWidth="1"/>
    <col min="13333" max="13333" width="11.44140625" style="7" bestFit="1" customWidth="1"/>
    <col min="13334" max="13336" width="9.109375" style="7"/>
    <col min="13337" max="13337" width="12.6640625" style="7" bestFit="1" customWidth="1"/>
    <col min="13338" max="13568" width="9.109375" style="7"/>
    <col min="13569" max="13569" width="9.33203125" style="7" customWidth="1"/>
    <col min="13570" max="13570" width="59.5546875" style="7" customWidth="1"/>
    <col min="13571" max="13571" width="11.88671875" style="7" customWidth="1"/>
    <col min="13572" max="13572" width="13.109375" style="7" customWidth="1"/>
    <col min="13573" max="13573" width="17.6640625" style="7" customWidth="1"/>
    <col min="13574" max="13574" width="15.44140625" style="7" customWidth="1"/>
    <col min="13575" max="13576" width="18.44140625" style="7" customWidth="1"/>
    <col min="13577" max="13577" width="15.77734375" style="7" customWidth="1"/>
    <col min="13578" max="13578" width="13.5546875" style="7" customWidth="1"/>
    <col min="13579" max="13579" width="15.5546875" style="7" customWidth="1"/>
    <col min="13580" max="13580" width="16.5546875" style="7" customWidth="1"/>
    <col min="13581" max="13581" width="13.6640625" style="7" customWidth="1"/>
    <col min="13582" max="13582" width="15.6640625" style="7" customWidth="1"/>
    <col min="13583" max="13583" width="16.44140625" style="7" customWidth="1"/>
    <col min="13584" max="13584" width="9.109375" style="7"/>
    <col min="13585" max="13585" width="16.6640625" style="7" customWidth="1"/>
    <col min="13586" max="13587" width="9.109375" style="7"/>
    <col min="13588" max="13588" width="14.77734375" style="7" bestFit="1" customWidth="1"/>
    <col min="13589" max="13589" width="11.44140625" style="7" bestFit="1" customWidth="1"/>
    <col min="13590" max="13592" width="9.109375" style="7"/>
    <col min="13593" max="13593" width="12.6640625" style="7" bestFit="1" customWidth="1"/>
    <col min="13594" max="13824" width="9.109375" style="7"/>
    <col min="13825" max="13825" width="9.33203125" style="7" customWidth="1"/>
    <col min="13826" max="13826" width="59.5546875" style="7" customWidth="1"/>
    <col min="13827" max="13827" width="11.88671875" style="7" customWidth="1"/>
    <col min="13828" max="13828" width="13.109375" style="7" customWidth="1"/>
    <col min="13829" max="13829" width="17.6640625" style="7" customWidth="1"/>
    <col min="13830" max="13830" width="15.44140625" style="7" customWidth="1"/>
    <col min="13831" max="13832" width="18.44140625" style="7" customWidth="1"/>
    <col min="13833" max="13833" width="15.77734375" style="7" customWidth="1"/>
    <col min="13834" max="13834" width="13.5546875" style="7" customWidth="1"/>
    <col min="13835" max="13835" width="15.5546875" style="7" customWidth="1"/>
    <col min="13836" max="13836" width="16.5546875" style="7" customWidth="1"/>
    <col min="13837" max="13837" width="13.6640625" style="7" customWidth="1"/>
    <col min="13838" max="13838" width="15.6640625" style="7" customWidth="1"/>
    <col min="13839" max="13839" width="16.44140625" style="7" customWidth="1"/>
    <col min="13840" max="13840" width="9.109375" style="7"/>
    <col min="13841" max="13841" width="16.6640625" style="7" customWidth="1"/>
    <col min="13842" max="13843" width="9.109375" style="7"/>
    <col min="13844" max="13844" width="14.77734375" style="7" bestFit="1" customWidth="1"/>
    <col min="13845" max="13845" width="11.44140625" style="7" bestFit="1" customWidth="1"/>
    <col min="13846" max="13848" width="9.109375" style="7"/>
    <col min="13849" max="13849" width="12.6640625" style="7" bestFit="1" customWidth="1"/>
    <col min="13850" max="14080" width="9.109375" style="7"/>
    <col min="14081" max="14081" width="9.33203125" style="7" customWidth="1"/>
    <col min="14082" max="14082" width="59.5546875" style="7" customWidth="1"/>
    <col min="14083" max="14083" width="11.88671875" style="7" customWidth="1"/>
    <col min="14084" max="14084" width="13.109375" style="7" customWidth="1"/>
    <col min="14085" max="14085" width="17.6640625" style="7" customWidth="1"/>
    <col min="14086" max="14086" width="15.44140625" style="7" customWidth="1"/>
    <col min="14087" max="14088" width="18.44140625" style="7" customWidth="1"/>
    <col min="14089" max="14089" width="15.77734375" style="7" customWidth="1"/>
    <col min="14090" max="14090" width="13.5546875" style="7" customWidth="1"/>
    <col min="14091" max="14091" width="15.5546875" style="7" customWidth="1"/>
    <col min="14092" max="14092" width="16.5546875" style="7" customWidth="1"/>
    <col min="14093" max="14093" width="13.6640625" style="7" customWidth="1"/>
    <col min="14094" max="14094" width="15.6640625" style="7" customWidth="1"/>
    <col min="14095" max="14095" width="16.44140625" style="7" customWidth="1"/>
    <col min="14096" max="14096" width="9.109375" style="7"/>
    <col min="14097" max="14097" width="16.6640625" style="7" customWidth="1"/>
    <col min="14098" max="14099" width="9.109375" style="7"/>
    <col min="14100" max="14100" width="14.77734375" style="7" bestFit="1" customWidth="1"/>
    <col min="14101" max="14101" width="11.44140625" style="7" bestFit="1" customWidth="1"/>
    <col min="14102" max="14104" width="9.109375" style="7"/>
    <col min="14105" max="14105" width="12.6640625" style="7" bestFit="1" customWidth="1"/>
    <col min="14106" max="14336" width="9.109375" style="7"/>
    <col min="14337" max="14337" width="9.33203125" style="7" customWidth="1"/>
    <col min="14338" max="14338" width="59.5546875" style="7" customWidth="1"/>
    <col min="14339" max="14339" width="11.88671875" style="7" customWidth="1"/>
    <col min="14340" max="14340" width="13.109375" style="7" customWidth="1"/>
    <col min="14341" max="14341" width="17.6640625" style="7" customWidth="1"/>
    <col min="14342" max="14342" width="15.44140625" style="7" customWidth="1"/>
    <col min="14343" max="14344" width="18.44140625" style="7" customWidth="1"/>
    <col min="14345" max="14345" width="15.77734375" style="7" customWidth="1"/>
    <col min="14346" max="14346" width="13.5546875" style="7" customWidth="1"/>
    <col min="14347" max="14347" width="15.5546875" style="7" customWidth="1"/>
    <col min="14348" max="14348" width="16.5546875" style="7" customWidth="1"/>
    <col min="14349" max="14349" width="13.6640625" style="7" customWidth="1"/>
    <col min="14350" max="14350" width="15.6640625" style="7" customWidth="1"/>
    <col min="14351" max="14351" width="16.44140625" style="7" customWidth="1"/>
    <col min="14352" max="14352" width="9.109375" style="7"/>
    <col min="14353" max="14353" width="16.6640625" style="7" customWidth="1"/>
    <col min="14354" max="14355" width="9.109375" style="7"/>
    <col min="14356" max="14356" width="14.77734375" style="7" bestFit="1" customWidth="1"/>
    <col min="14357" max="14357" width="11.44140625" style="7" bestFit="1" customWidth="1"/>
    <col min="14358" max="14360" width="9.109375" style="7"/>
    <col min="14361" max="14361" width="12.6640625" style="7" bestFit="1" customWidth="1"/>
    <col min="14362" max="14592" width="9.109375" style="7"/>
    <col min="14593" max="14593" width="9.33203125" style="7" customWidth="1"/>
    <col min="14594" max="14594" width="59.5546875" style="7" customWidth="1"/>
    <col min="14595" max="14595" width="11.88671875" style="7" customWidth="1"/>
    <col min="14596" max="14596" width="13.109375" style="7" customWidth="1"/>
    <col min="14597" max="14597" width="17.6640625" style="7" customWidth="1"/>
    <col min="14598" max="14598" width="15.44140625" style="7" customWidth="1"/>
    <col min="14599" max="14600" width="18.44140625" style="7" customWidth="1"/>
    <col min="14601" max="14601" width="15.77734375" style="7" customWidth="1"/>
    <col min="14602" max="14602" width="13.5546875" style="7" customWidth="1"/>
    <col min="14603" max="14603" width="15.5546875" style="7" customWidth="1"/>
    <col min="14604" max="14604" width="16.5546875" style="7" customWidth="1"/>
    <col min="14605" max="14605" width="13.6640625" style="7" customWidth="1"/>
    <col min="14606" max="14606" width="15.6640625" style="7" customWidth="1"/>
    <col min="14607" max="14607" width="16.44140625" style="7" customWidth="1"/>
    <col min="14608" max="14608" width="9.109375" style="7"/>
    <col min="14609" max="14609" width="16.6640625" style="7" customWidth="1"/>
    <col min="14610" max="14611" width="9.109375" style="7"/>
    <col min="14612" max="14612" width="14.77734375" style="7" bestFit="1" customWidth="1"/>
    <col min="14613" max="14613" width="11.44140625" style="7" bestFit="1" customWidth="1"/>
    <col min="14614" max="14616" width="9.109375" style="7"/>
    <col min="14617" max="14617" width="12.6640625" style="7" bestFit="1" customWidth="1"/>
    <col min="14618" max="14848" width="9.109375" style="7"/>
    <col min="14849" max="14849" width="9.33203125" style="7" customWidth="1"/>
    <col min="14850" max="14850" width="59.5546875" style="7" customWidth="1"/>
    <col min="14851" max="14851" width="11.88671875" style="7" customWidth="1"/>
    <col min="14852" max="14852" width="13.109375" style="7" customWidth="1"/>
    <col min="14853" max="14853" width="17.6640625" style="7" customWidth="1"/>
    <col min="14854" max="14854" width="15.44140625" style="7" customWidth="1"/>
    <col min="14855" max="14856" width="18.44140625" style="7" customWidth="1"/>
    <col min="14857" max="14857" width="15.77734375" style="7" customWidth="1"/>
    <col min="14858" max="14858" width="13.5546875" style="7" customWidth="1"/>
    <col min="14859" max="14859" width="15.5546875" style="7" customWidth="1"/>
    <col min="14860" max="14860" width="16.5546875" style="7" customWidth="1"/>
    <col min="14861" max="14861" width="13.6640625" style="7" customWidth="1"/>
    <col min="14862" max="14862" width="15.6640625" style="7" customWidth="1"/>
    <col min="14863" max="14863" width="16.44140625" style="7" customWidth="1"/>
    <col min="14864" max="14864" width="9.109375" style="7"/>
    <col min="14865" max="14865" width="16.6640625" style="7" customWidth="1"/>
    <col min="14866" max="14867" width="9.109375" style="7"/>
    <col min="14868" max="14868" width="14.77734375" style="7" bestFit="1" customWidth="1"/>
    <col min="14869" max="14869" width="11.44140625" style="7" bestFit="1" customWidth="1"/>
    <col min="14870" max="14872" width="9.109375" style="7"/>
    <col min="14873" max="14873" width="12.6640625" style="7" bestFit="1" customWidth="1"/>
    <col min="14874" max="15104" width="9.109375" style="7"/>
    <col min="15105" max="15105" width="9.33203125" style="7" customWidth="1"/>
    <col min="15106" max="15106" width="59.5546875" style="7" customWidth="1"/>
    <col min="15107" max="15107" width="11.88671875" style="7" customWidth="1"/>
    <col min="15108" max="15108" width="13.109375" style="7" customWidth="1"/>
    <col min="15109" max="15109" width="17.6640625" style="7" customWidth="1"/>
    <col min="15110" max="15110" width="15.44140625" style="7" customWidth="1"/>
    <col min="15111" max="15112" width="18.44140625" style="7" customWidth="1"/>
    <col min="15113" max="15113" width="15.77734375" style="7" customWidth="1"/>
    <col min="15114" max="15114" width="13.5546875" style="7" customWidth="1"/>
    <col min="15115" max="15115" width="15.5546875" style="7" customWidth="1"/>
    <col min="15116" max="15116" width="16.5546875" style="7" customWidth="1"/>
    <col min="15117" max="15117" width="13.6640625" style="7" customWidth="1"/>
    <col min="15118" max="15118" width="15.6640625" style="7" customWidth="1"/>
    <col min="15119" max="15119" width="16.44140625" style="7" customWidth="1"/>
    <col min="15120" max="15120" width="9.109375" style="7"/>
    <col min="15121" max="15121" width="16.6640625" style="7" customWidth="1"/>
    <col min="15122" max="15123" width="9.109375" style="7"/>
    <col min="15124" max="15124" width="14.77734375" style="7" bestFit="1" customWidth="1"/>
    <col min="15125" max="15125" width="11.44140625" style="7" bestFit="1" customWidth="1"/>
    <col min="15126" max="15128" width="9.109375" style="7"/>
    <col min="15129" max="15129" width="12.6640625" style="7" bestFit="1" customWidth="1"/>
    <col min="15130" max="15360" width="9.109375" style="7"/>
    <col min="15361" max="15361" width="9.33203125" style="7" customWidth="1"/>
    <col min="15362" max="15362" width="59.5546875" style="7" customWidth="1"/>
    <col min="15363" max="15363" width="11.88671875" style="7" customWidth="1"/>
    <col min="15364" max="15364" width="13.109375" style="7" customWidth="1"/>
    <col min="15365" max="15365" width="17.6640625" style="7" customWidth="1"/>
    <col min="15366" max="15366" width="15.44140625" style="7" customWidth="1"/>
    <col min="15367" max="15368" width="18.44140625" style="7" customWidth="1"/>
    <col min="15369" max="15369" width="15.77734375" style="7" customWidth="1"/>
    <col min="15370" max="15370" width="13.5546875" style="7" customWidth="1"/>
    <col min="15371" max="15371" width="15.5546875" style="7" customWidth="1"/>
    <col min="15372" max="15372" width="16.5546875" style="7" customWidth="1"/>
    <col min="15373" max="15373" width="13.6640625" style="7" customWidth="1"/>
    <col min="15374" max="15374" width="15.6640625" style="7" customWidth="1"/>
    <col min="15375" max="15375" width="16.44140625" style="7" customWidth="1"/>
    <col min="15376" max="15376" width="9.109375" style="7"/>
    <col min="15377" max="15377" width="16.6640625" style="7" customWidth="1"/>
    <col min="15378" max="15379" width="9.109375" style="7"/>
    <col min="15380" max="15380" width="14.77734375" style="7" bestFit="1" customWidth="1"/>
    <col min="15381" max="15381" width="11.44140625" style="7" bestFit="1" customWidth="1"/>
    <col min="15382" max="15384" width="9.109375" style="7"/>
    <col min="15385" max="15385" width="12.6640625" style="7" bestFit="1" customWidth="1"/>
    <col min="15386" max="15616" width="9.109375" style="7"/>
    <col min="15617" max="15617" width="9.33203125" style="7" customWidth="1"/>
    <col min="15618" max="15618" width="59.5546875" style="7" customWidth="1"/>
    <col min="15619" max="15619" width="11.88671875" style="7" customWidth="1"/>
    <col min="15620" max="15620" width="13.109375" style="7" customWidth="1"/>
    <col min="15621" max="15621" width="17.6640625" style="7" customWidth="1"/>
    <col min="15622" max="15622" width="15.44140625" style="7" customWidth="1"/>
    <col min="15623" max="15624" width="18.44140625" style="7" customWidth="1"/>
    <col min="15625" max="15625" width="15.77734375" style="7" customWidth="1"/>
    <col min="15626" max="15626" width="13.5546875" style="7" customWidth="1"/>
    <col min="15627" max="15627" width="15.5546875" style="7" customWidth="1"/>
    <col min="15628" max="15628" width="16.5546875" style="7" customWidth="1"/>
    <col min="15629" max="15629" width="13.6640625" style="7" customWidth="1"/>
    <col min="15630" max="15630" width="15.6640625" style="7" customWidth="1"/>
    <col min="15631" max="15631" width="16.44140625" style="7" customWidth="1"/>
    <col min="15632" max="15632" width="9.109375" style="7"/>
    <col min="15633" max="15633" width="16.6640625" style="7" customWidth="1"/>
    <col min="15634" max="15635" width="9.109375" style="7"/>
    <col min="15636" max="15636" width="14.77734375" style="7" bestFit="1" customWidth="1"/>
    <col min="15637" max="15637" width="11.44140625" style="7" bestFit="1" customWidth="1"/>
    <col min="15638" max="15640" width="9.109375" style="7"/>
    <col min="15641" max="15641" width="12.6640625" style="7" bestFit="1" customWidth="1"/>
    <col min="15642" max="15872" width="9.109375" style="7"/>
    <col min="15873" max="15873" width="9.33203125" style="7" customWidth="1"/>
    <col min="15874" max="15874" width="59.5546875" style="7" customWidth="1"/>
    <col min="15875" max="15875" width="11.88671875" style="7" customWidth="1"/>
    <col min="15876" max="15876" width="13.109375" style="7" customWidth="1"/>
    <col min="15877" max="15877" width="17.6640625" style="7" customWidth="1"/>
    <col min="15878" max="15878" width="15.44140625" style="7" customWidth="1"/>
    <col min="15879" max="15880" width="18.44140625" style="7" customWidth="1"/>
    <col min="15881" max="15881" width="15.77734375" style="7" customWidth="1"/>
    <col min="15882" max="15882" width="13.5546875" style="7" customWidth="1"/>
    <col min="15883" max="15883" width="15.5546875" style="7" customWidth="1"/>
    <col min="15884" max="15884" width="16.5546875" style="7" customWidth="1"/>
    <col min="15885" max="15885" width="13.6640625" style="7" customWidth="1"/>
    <col min="15886" max="15886" width="15.6640625" style="7" customWidth="1"/>
    <col min="15887" max="15887" width="16.44140625" style="7" customWidth="1"/>
    <col min="15888" max="15888" width="9.109375" style="7"/>
    <col min="15889" max="15889" width="16.6640625" style="7" customWidth="1"/>
    <col min="15890" max="15891" width="9.109375" style="7"/>
    <col min="15892" max="15892" width="14.77734375" style="7" bestFit="1" customWidth="1"/>
    <col min="15893" max="15893" width="11.44140625" style="7" bestFit="1" customWidth="1"/>
    <col min="15894" max="15896" width="9.109375" style="7"/>
    <col min="15897" max="15897" width="12.6640625" style="7" bestFit="1" customWidth="1"/>
    <col min="15898" max="16128" width="9.109375" style="7"/>
    <col min="16129" max="16129" width="9.33203125" style="7" customWidth="1"/>
    <col min="16130" max="16130" width="59.5546875" style="7" customWidth="1"/>
    <col min="16131" max="16131" width="11.88671875" style="7" customWidth="1"/>
    <col min="16132" max="16132" width="13.109375" style="7" customWidth="1"/>
    <col min="16133" max="16133" width="17.6640625" style="7" customWidth="1"/>
    <col min="16134" max="16134" width="15.44140625" style="7" customWidth="1"/>
    <col min="16135" max="16136" width="18.44140625" style="7" customWidth="1"/>
    <col min="16137" max="16137" width="15.77734375" style="7" customWidth="1"/>
    <col min="16138" max="16138" width="13.5546875" style="7" customWidth="1"/>
    <col min="16139" max="16139" width="15.5546875" style="7" customWidth="1"/>
    <col min="16140" max="16140" width="16.5546875" style="7" customWidth="1"/>
    <col min="16141" max="16141" width="13.6640625" style="7" customWidth="1"/>
    <col min="16142" max="16142" width="15.6640625" style="7" customWidth="1"/>
    <col min="16143" max="16143" width="16.44140625" style="7" customWidth="1"/>
    <col min="16144" max="16144" width="9.109375" style="7"/>
    <col min="16145" max="16145" width="16.6640625" style="7" customWidth="1"/>
    <col min="16146" max="16147" width="9.109375" style="7"/>
    <col min="16148" max="16148" width="14.77734375" style="7" bestFit="1" customWidth="1"/>
    <col min="16149" max="16149" width="11.44140625" style="7" bestFit="1" customWidth="1"/>
    <col min="16150" max="16152" width="9.109375" style="7"/>
    <col min="16153" max="16153" width="12.6640625" style="7" bestFit="1" customWidth="1"/>
    <col min="16154" max="16384" width="9.109375" style="7"/>
  </cols>
  <sheetData>
    <row r="1" spans="1:28" x14ac:dyDescent="0.3">
      <c r="A1" s="1"/>
      <c r="B1" s="2"/>
      <c r="C1" s="2"/>
      <c r="D1" s="2"/>
      <c r="E1" s="2"/>
      <c r="F1" s="3"/>
      <c r="G1" s="4"/>
      <c r="H1" s="4"/>
      <c r="I1" s="5"/>
      <c r="J1" s="220"/>
      <c r="K1" s="220"/>
      <c r="L1" s="220"/>
      <c r="M1" s="220"/>
      <c r="N1" s="220"/>
      <c r="O1" s="220"/>
    </row>
    <row r="2" spans="1:28" x14ac:dyDescent="0.3">
      <c r="A2" s="1"/>
      <c r="B2" s="2"/>
      <c r="C2" s="2"/>
      <c r="D2" s="2"/>
      <c r="E2" s="2"/>
      <c r="F2" s="3"/>
      <c r="G2" s="4"/>
      <c r="H2" s="4"/>
      <c r="I2" s="5"/>
      <c r="J2" s="8"/>
      <c r="K2" s="8"/>
      <c r="L2" s="9"/>
      <c r="M2" s="10"/>
      <c r="N2" s="10"/>
      <c r="O2" s="11"/>
    </row>
    <row r="3" spans="1:28" ht="58.5" customHeight="1" x14ac:dyDescent="0.3">
      <c r="A3" s="221" t="s">
        <v>0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</row>
    <row r="4" spans="1:28" s="14" customFormat="1" ht="42.75" customHeight="1" x14ac:dyDescent="0.3">
      <c r="A4" s="222" t="s">
        <v>1</v>
      </c>
      <c r="B4" s="223" t="s">
        <v>2</v>
      </c>
      <c r="C4" s="223" t="s">
        <v>3</v>
      </c>
      <c r="D4" s="223" t="s">
        <v>4</v>
      </c>
      <c r="E4" s="223"/>
      <c r="F4" s="223"/>
      <c r="G4" s="224" t="s">
        <v>5</v>
      </c>
      <c r="H4" s="224"/>
      <c r="I4" s="224"/>
      <c r="J4" s="225" t="s">
        <v>6</v>
      </c>
      <c r="K4" s="225"/>
      <c r="L4" s="225"/>
      <c r="M4" s="226" t="s">
        <v>7</v>
      </c>
      <c r="N4" s="226"/>
      <c r="O4" s="227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3"/>
    </row>
    <row r="5" spans="1:28" s="14" customFormat="1" ht="31.2" x14ac:dyDescent="0.3">
      <c r="A5" s="222"/>
      <c r="B5" s="223"/>
      <c r="C5" s="223"/>
      <c r="D5" s="15" t="s">
        <v>8</v>
      </c>
      <c r="E5" s="15" t="s">
        <v>9</v>
      </c>
      <c r="F5" s="16" t="s">
        <v>10</v>
      </c>
      <c r="G5" s="17" t="s">
        <v>8</v>
      </c>
      <c r="H5" s="17" t="s">
        <v>9</v>
      </c>
      <c r="I5" s="18" t="s">
        <v>10</v>
      </c>
      <c r="J5" s="19" t="s">
        <v>8</v>
      </c>
      <c r="K5" s="19" t="s">
        <v>9</v>
      </c>
      <c r="L5" s="20" t="s">
        <v>10</v>
      </c>
      <c r="M5" s="15" t="s">
        <v>8</v>
      </c>
      <c r="N5" s="15" t="s">
        <v>9</v>
      </c>
      <c r="O5" s="21" t="s">
        <v>10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3"/>
    </row>
    <row r="6" spans="1:28" s="14" customFormat="1" x14ac:dyDescent="0.3">
      <c r="A6" s="22">
        <v>1</v>
      </c>
      <c r="B6" s="23">
        <v>2</v>
      </c>
      <c r="C6" s="23">
        <v>3</v>
      </c>
      <c r="D6" s="15">
        <v>4</v>
      </c>
      <c r="E6" s="23">
        <v>5</v>
      </c>
      <c r="F6" s="23">
        <v>6</v>
      </c>
      <c r="G6" s="24">
        <v>7</v>
      </c>
      <c r="H6" s="24">
        <v>8</v>
      </c>
      <c r="I6" s="25">
        <v>9</v>
      </c>
      <c r="J6" s="26">
        <v>10</v>
      </c>
      <c r="K6" s="26">
        <v>11</v>
      </c>
      <c r="L6" s="27">
        <v>12</v>
      </c>
      <c r="M6" s="23">
        <v>13</v>
      </c>
      <c r="N6" s="23">
        <v>14</v>
      </c>
      <c r="O6" s="28">
        <v>15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3"/>
    </row>
    <row r="7" spans="1:28" s="65" customFormat="1" ht="18.75" customHeight="1" x14ac:dyDescent="0.3">
      <c r="A7" s="218" t="s">
        <v>59</v>
      </c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9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  <c r="AB7" s="64"/>
    </row>
    <row r="8" spans="1:28" s="65" customFormat="1" ht="18.75" customHeight="1" x14ac:dyDescent="0.3">
      <c r="A8" s="210" t="s">
        <v>60</v>
      </c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1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4"/>
      <c r="AB8" s="64"/>
    </row>
    <row r="9" spans="1:28" s="65" customFormat="1" ht="54" customHeight="1" x14ac:dyDescent="0.3">
      <c r="A9" s="67" t="s">
        <v>61</v>
      </c>
      <c r="B9" s="68" t="s">
        <v>11</v>
      </c>
      <c r="C9" s="69" t="s">
        <v>40</v>
      </c>
      <c r="D9" s="73">
        <v>0.1552</v>
      </c>
      <c r="E9" s="70">
        <v>673232.35</v>
      </c>
      <c r="F9" s="70">
        <v>104485.66</v>
      </c>
      <c r="G9" s="39"/>
      <c r="H9" s="39">
        <f>E9</f>
        <v>673232.35</v>
      </c>
      <c r="I9" s="39">
        <f>ROUND(G9*H9,2)</f>
        <v>0</v>
      </c>
      <c r="J9" s="75">
        <v>1.9889999999999999E-3</v>
      </c>
      <c r="K9" s="30">
        <f>E9</f>
        <v>673232.35</v>
      </c>
      <c r="L9" s="30">
        <f>ROUND(J9*K9,2)</f>
        <v>1339.06</v>
      </c>
      <c r="M9" s="82">
        <f>D9-G9+J9</f>
        <v>0.157189</v>
      </c>
      <c r="N9" s="71">
        <f>E9</f>
        <v>673232.35</v>
      </c>
      <c r="O9" s="72">
        <f>F9-I9+L9</f>
        <v>105824.72</v>
      </c>
      <c r="P9" s="202"/>
      <c r="Q9" s="63">
        <f>ROUND(M9*N9,2)</f>
        <v>105824.72</v>
      </c>
      <c r="R9" s="83">
        <f>Q9-O9</f>
        <v>0</v>
      </c>
      <c r="S9" s="63"/>
      <c r="T9" s="63"/>
      <c r="U9" s="70">
        <v>673232.34536082472</v>
      </c>
      <c r="V9" s="63"/>
      <c r="W9" s="63"/>
      <c r="X9" s="63"/>
      <c r="Y9" s="63"/>
      <c r="Z9" s="63"/>
      <c r="AA9" s="64"/>
      <c r="AB9" s="64"/>
    </row>
    <row r="10" spans="1:28" s="94" customFormat="1" ht="107.4" customHeight="1" x14ac:dyDescent="0.3">
      <c r="A10" s="175" t="s">
        <v>62</v>
      </c>
      <c r="B10" s="176" t="s">
        <v>12</v>
      </c>
      <c r="C10" s="177" t="s">
        <v>13</v>
      </c>
      <c r="D10" s="178">
        <v>0.1552</v>
      </c>
      <c r="E10" s="179">
        <v>254579.96</v>
      </c>
      <c r="F10" s="179"/>
      <c r="G10" s="180"/>
      <c r="H10" s="180"/>
      <c r="I10" s="180"/>
      <c r="J10" s="181"/>
      <c r="K10" s="182"/>
      <c r="L10" s="182"/>
      <c r="M10" s="183"/>
      <c r="N10" s="182"/>
      <c r="O10" s="184"/>
      <c r="P10" s="91"/>
      <c r="Q10" s="91">
        <f>ROUND(M10*N10,2)</f>
        <v>0</v>
      </c>
      <c r="R10" s="92">
        <f>Q10-O10</f>
        <v>0</v>
      </c>
      <c r="S10" s="91"/>
      <c r="T10" s="91"/>
      <c r="U10" s="88">
        <v>254579.96134020615</v>
      </c>
      <c r="V10" s="91"/>
      <c r="W10" s="91"/>
      <c r="X10" s="91"/>
      <c r="Y10" s="91"/>
      <c r="Z10" s="91"/>
      <c r="AA10" s="93"/>
      <c r="AB10" s="93"/>
    </row>
    <row r="11" spans="1:28" s="94" customFormat="1" ht="46.8" x14ac:dyDescent="0.3">
      <c r="A11" s="166" t="s">
        <v>126</v>
      </c>
      <c r="B11" s="167" t="s">
        <v>124</v>
      </c>
      <c r="C11" s="168" t="s">
        <v>13</v>
      </c>
      <c r="D11" s="169">
        <v>0.1552</v>
      </c>
      <c r="E11" s="170">
        <v>86019.97</v>
      </c>
      <c r="F11" s="170">
        <f>ROUND(D11*E11,2)</f>
        <v>13350.3</v>
      </c>
      <c r="G11" s="187">
        <v>4.2023999999999999E-2</v>
      </c>
      <c r="H11" s="89">
        <f>E11</f>
        <v>86019.97</v>
      </c>
      <c r="I11" s="89">
        <f>ROUND(G11*H11,2)</f>
        <v>3614.9</v>
      </c>
      <c r="J11" s="171"/>
      <c r="K11" s="172">
        <f>E11</f>
        <v>86019.97</v>
      </c>
      <c r="L11" s="172">
        <f>ROUND(J11*K11,2)</f>
        <v>0</v>
      </c>
      <c r="M11" s="173">
        <f>D11-G11+J11</f>
        <v>0.113176</v>
      </c>
      <c r="N11" s="172">
        <f>E11</f>
        <v>86019.97</v>
      </c>
      <c r="O11" s="174">
        <f>F11-I11+L11</f>
        <v>9735.4</v>
      </c>
      <c r="P11" s="199"/>
      <c r="Q11" s="91">
        <f>ROUND(M11*N11,2)</f>
        <v>9735.4</v>
      </c>
      <c r="R11" s="92">
        <f>Q11-O11</f>
        <v>0</v>
      </c>
      <c r="S11" s="91"/>
      <c r="T11" s="91"/>
      <c r="U11" s="88">
        <v>254579.96134020615</v>
      </c>
      <c r="V11" s="91"/>
      <c r="W11" s="91"/>
      <c r="X11" s="91"/>
      <c r="Y11" s="91"/>
      <c r="Z11" s="91"/>
      <c r="AA11" s="93"/>
      <c r="AB11" s="93"/>
    </row>
    <row r="12" spans="1:28" s="94" customFormat="1" ht="65.400000000000006" customHeight="1" x14ac:dyDescent="0.3">
      <c r="A12" s="166" t="s">
        <v>127</v>
      </c>
      <c r="B12" s="167" t="s">
        <v>125</v>
      </c>
      <c r="C12" s="168" t="s">
        <v>13</v>
      </c>
      <c r="D12" s="169">
        <v>0.1552</v>
      </c>
      <c r="E12" s="170">
        <v>168559.99</v>
      </c>
      <c r="F12" s="170">
        <f>ROUND(D12*E12,2)</f>
        <v>26160.51</v>
      </c>
      <c r="G12" s="185"/>
      <c r="H12" s="89">
        <f>E12</f>
        <v>168559.99</v>
      </c>
      <c r="I12" s="89">
        <f>ROUND(G12*H12,2)</f>
        <v>0</v>
      </c>
      <c r="J12" s="171">
        <v>3.9326E-2</v>
      </c>
      <c r="K12" s="172">
        <f>E12</f>
        <v>168559.99</v>
      </c>
      <c r="L12" s="172">
        <f>ROUND(J12*K12,2)</f>
        <v>6628.79</v>
      </c>
      <c r="M12" s="186">
        <f>D12-G12+J12</f>
        <v>0.194526</v>
      </c>
      <c r="N12" s="172">
        <f>E12</f>
        <v>168559.99</v>
      </c>
      <c r="O12" s="174">
        <f>F12-I12+L12</f>
        <v>32789.299999999996</v>
      </c>
      <c r="P12" s="199"/>
      <c r="Q12" s="91">
        <f>ROUND(M12*N12,2)</f>
        <v>32789.300000000003</v>
      </c>
      <c r="R12" s="92">
        <f>Q12-O12</f>
        <v>0</v>
      </c>
      <c r="S12" s="91"/>
      <c r="T12" s="91"/>
      <c r="U12" s="88">
        <v>254579.96134020615</v>
      </c>
      <c r="V12" s="91"/>
      <c r="W12" s="91"/>
      <c r="X12" s="91"/>
      <c r="Y12" s="91"/>
      <c r="Z12" s="91"/>
      <c r="AA12" s="93"/>
      <c r="AB12" s="93"/>
    </row>
    <row r="13" spans="1:28" s="65" customFormat="1" ht="31.2" x14ac:dyDescent="0.3">
      <c r="A13" s="67" t="s">
        <v>63</v>
      </c>
      <c r="B13" s="68" t="s">
        <v>14</v>
      </c>
      <c r="C13" s="69" t="s">
        <v>15</v>
      </c>
      <c r="D13" s="73">
        <v>0.46600000000000003</v>
      </c>
      <c r="E13" s="70">
        <v>27379.79</v>
      </c>
      <c r="F13" s="70">
        <v>12758.98</v>
      </c>
      <c r="G13" s="39"/>
      <c r="H13" s="39">
        <f>E13</f>
        <v>27379.79</v>
      </c>
      <c r="I13" s="39">
        <f>ROUND(G13*H13,2)</f>
        <v>0</v>
      </c>
      <c r="J13" s="75">
        <v>6.0000000000000001E-3</v>
      </c>
      <c r="K13" s="30">
        <f>E13</f>
        <v>27379.79</v>
      </c>
      <c r="L13" s="30">
        <f>ROUND(J13*K13,2)</f>
        <v>164.28</v>
      </c>
      <c r="M13" s="82">
        <f>D13-G13+J13</f>
        <v>0.47200000000000003</v>
      </c>
      <c r="N13" s="71">
        <f>E13</f>
        <v>27379.79</v>
      </c>
      <c r="O13" s="72">
        <f>F13-I13+L13</f>
        <v>12923.26</v>
      </c>
      <c r="P13" s="63"/>
      <c r="Q13" s="63">
        <f t="shared" ref="Q13:Q60" si="0">ROUND(M13*N13,2)</f>
        <v>12923.26</v>
      </c>
      <c r="R13" s="83">
        <f t="shared" ref="R13:R67" si="1">Q13-O13</f>
        <v>0</v>
      </c>
      <c r="S13" s="63"/>
      <c r="T13" s="63"/>
      <c r="U13" s="70">
        <v>27379.785407725318</v>
      </c>
      <c r="V13" s="63"/>
      <c r="W13" s="63"/>
      <c r="X13" s="63"/>
      <c r="Y13" s="63"/>
      <c r="Z13" s="63"/>
      <c r="AA13" s="64"/>
      <c r="AB13" s="64"/>
    </row>
    <row r="14" spans="1:28" s="65" customFormat="1" ht="62.4" x14ac:dyDescent="0.3">
      <c r="A14" s="67" t="s">
        <v>64</v>
      </c>
      <c r="B14" s="68" t="s">
        <v>16</v>
      </c>
      <c r="C14" s="69" t="s">
        <v>40</v>
      </c>
      <c r="D14" s="73">
        <v>0.1552</v>
      </c>
      <c r="E14" s="70">
        <v>11514932.67</v>
      </c>
      <c r="F14" s="70">
        <v>1787117.55</v>
      </c>
      <c r="G14" s="39"/>
      <c r="H14" s="39">
        <f>E14</f>
        <v>11514932.67</v>
      </c>
      <c r="I14" s="39">
        <f>ROUND(G14*H14,2)</f>
        <v>0</v>
      </c>
      <c r="J14" s="75">
        <v>1.9889999999999999E-3</v>
      </c>
      <c r="K14" s="30">
        <f>E14</f>
        <v>11514932.67</v>
      </c>
      <c r="L14" s="30">
        <f>ROUND(J14*K14,2)</f>
        <v>22903.200000000001</v>
      </c>
      <c r="M14" s="82">
        <f>D14-G14+J14</f>
        <v>0.157189</v>
      </c>
      <c r="N14" s="71">
        <f>E14</f>
        <v>11514932.67</v>
      </c>
      <c r="O14" s="72">
        <f>F14-I14+L14</f>
        <v>1810020.75</v>
      </c>
      <c r="P14" s="63"/>
      <c r="Q14" s="63">
        <f t="shared" si="0"/>
        <v>1810020.75</v>
      </c>
      <c r="R14" s="83">
        <f t="shared" si="1"/>
        <v>0</v>
      </c>
      <c r="S14" s="63"/>
      <c r="T14" s="63"/>
      <c r="U14" s="70">
        <v>11514932.667525774</v>
      </c>
      <c r="V14" s="63"/>
      <c r="W14" s="63"/>
      <c r="X14" s="63"/>
      <c r="Y14" s="63"/>
      <c r="Z14" s="63"/>
      <c r="AA14" s="64"/>
      <c r="AB14" s="64"/>
    </row>
    <row r="15" spans="1:28" s="65" customFormat="1" ht="37.200000000000003" customHeight="1" x14ac:dyDescent="0.3">
      <c r="A15" s="67" t="s">
        <v>65</v>
      </c>
      <c r="B15" s="68" t="s">
        <v>17</v>
      </c>
      <c r="C15" s="69" t="s">
        <v>66</v>
      </c>
      <c r="D15" s="73">
        <v>0.51200000000000001</v>
      </c>
      <c r="E15" s="70">
        <v>435693.05</v>
      </c>
      <c r="F15" s="70">
        <v>223074.84</v>
      </c>
      <c r="G15" s="95">
        <v>0.300674</v>
      </c>
      <c r="H15" s="39">
        <f>E15</f>
        <v>435693.05</v>
      </c>
      <c r="I15" s="39">
        <f>ROUND(G15*H15,2)</f>
        <v>131001.57</v>
      </c>
      <c r="J15" s="75"/>
      <c r="K15" s="30">
        <f>E15</f>
        <v>435693.05</v>
      </c>
      <c r="L15" s="30">
        <f>ROUND(J15*K15,2)</f>
        <v>0</v>
      </c>
      <c r="M15" s="82">
        <f>D15-G15+J15</f>
        <v>0.21132600000000001</v>
      </c>
      <c r="N15" s="71">
        <f>E15</f>
        <v>435693.05</v>
      </c>
      <c r="O15" s="72">
        <f>F15-I15+L15</f>
        <v>92073.26999999999</v>
      </c>
      <c r="P15" s="202"/>
      <c r="Q15" s="63">
        <f t="shared" si="0"/>
        <v>92073.27</v>
      </c>
      <c r="R15" s="83">
        <f t="shared" si="1"/>
        <v>0</v>
      </c>
      <c r="S15" s="63"/>
      <c r="T15" s="63"/>
      <c r="U15" s="70">
        <v>435693.046875</v>
      </c>
      <c r="V15" s="63"/>
      <c r="W15" s="63"/>
      <c r="X15" s="63"/>
      <c r="Y15" s="63"/>
      <c r="Z15" s="63"/>
      <c r="AA15" s="64"/>
      <c r="AB15" s="64"/>
    </row>
    <row r="16" spans="1:28" s="65" customFormat="1" x14ac:dyDescent="0.3">
      <c r="A16" s="48" t="s">
        <v>67</v>
      </c>
      <c r="B16" s="37"/>
      <c r="C16" s="40"/>
      <c r="D16" s="41"/>
      <c r="E16" s="41"/>
      <c r="F16" s="42">
        <f>SUM(F9:F15)</f>
        <v>2166947.8399999999</v>
      </c>
      <c r="G16" s="36"/>
      <c r="H16" s="36"/>
      <c r="I16" s="42">
        <f>SUM(I9:I15)</f>
        <v>134616.47</v>
      </c>
      <c r="J16" s="36"/>
      <c r="K16" s="36"/>
      <c r="L16" s="42">
        <f>SUM(L9:L15)</f>
        <v>31035.33</v>
      </c>
      <c r="M16" s="36"/>
      <c r="N16" s="36"/>
      <c r="O16" s="43">
        <f>SUM(O9:O15)</f>
        <v>2063366.7</v>
      </c>
      <c r="P16" s="63"/>
      <c r="Q16" s="83">
        <f>F16-I16+L16</f>
        <v>2063366.7</v>
      </c>
      <c r="R16" s="83">
        <f t="shared" si="1"/>
        <v>0</v>
      </c>
      <c r="S16" s="63"/>
      <c r="T16" s="63"/>
      <c r="U16" s="63"/>
      <c r="V16" s="63"/>
      <c r="W16" s="63"/>
      <c r="X16" s="63"/>
      <c r="Y16" s="63"/>
      <c r="Z16" s="63"/>
      <c r="AA16" s="64"/>
      <c r="AB16" s="64"/>
    </row>
    <row r="17" spans="1:28" s="65" customFormat="1" ht="18.75" customHeight="1" x14ac:dyDescent="0.3">
      <c r="A17" s="210" t="s">
        <v>68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1"/>
      <c r="P17" s="63"/>
      <c r="Q17" s="63">
        <f t="shared" si="0"/>
        <v>0</v>
      </c>
      <c r="R17" s="83">
        <f t="shared" si="1"/>
        <v>0</v>
      </c>
      <c r="S17" s="63"/>
      <c r="T17" s="63"/>
      <c r="U17" s="63"/>
      <c r="V17" s="63"/>
      <c r="W17" s="63"/>
      <c r="X17" s="63"/>
      <c r="Y17" s="63"/>
      <c r="Z17" s="63"/>
      <c r="AA17" s="64"/>
      <c r="AB17" s="64"/>
    </row>
    <row r="18" spans="1:28" s="65" customFormat="1" ht="73.8" customHeight="1" x14ac:dyDescent="0.3">
      <c r="A18" s="67" t="s">
        <v>69</v>
      </c>
      <c r="B18" s="68" t="s">
        <v>11</v>
      </c>
      <c r="C18" s="69" t="s">
        <v>46</v>
      </c>
      <c r="D18" s="73">
        <v>0.16800000000000001</v>
      </c>
      <c r="E18" s="70">
        <f>F18/D18</f>
        <v>67323.392857142855</v>
      </c>
      <c r="F18" s="70">
        <v>11310.33</v>
      </c>
      <c r="G18" s="39"/>
      <c r="H18" s="39">
        <f>E18</f>
        <v>67323.392857142855</v>
      </c>
      <c r="I18" s="39">
        <f>ROUND(G18*H18,2)</f>
        <v>0</v>
      </c>
      <c r="J18" s="75">
        <v>6.8419999999999995E-2</v>
      </c>
      <c r="K18" s="30">
        <f>E18</f>
        <v>67323.392857142855</v>
      </c>
      <c r="L18" s="30">
        <f>ROUND(J18*K18,2)</f>
        <v>4606.2700000000004</v>
      </c>
      <c r="M18" s="82">
        <f>D18-G18+J18</f>
        <v>0.23642000000000002</v>
      </c>
      <c r="N18" s="71">
        <f>E18</f>
        <v>67323.392857142855</v>
      </c>
      <c r="O18" s="72">
        <f>F18-I18+L18</f>
        <v>15916.6</v>
      </c>
      <c r="P18" s="202"/>
      <c r="Q18" s="63">
        <f t="shared" si="0"/>
        <v>15916.6</v>
      </c>
      <c r="R18" s="83">
        <f t="shared" si="1"/>
        <v>0</v>
      </c>
      <c r="S18" s="63"/>
      <c r="T18" s="63"/>
      <c r="U18" s="63"/>
      <c r="V18" s="63"/>
      <c r="W18" s="63"/>
      <c r="X18" s="63"/>
      <c r="Y18" s="63"/>
      <c r="Z18" s="63"/>
      <c r="AA18" s="64"/>
      <c r="AB18" s="64"/>
    </row>
    <row r="19" spans="1:28" s="94" customFormat="1" ht="108.6" customHeight="1" x14ac:dyDescent="0.3">
      <c r="A19" s="175" t="s">
        <v>70</v>
      </c>
      <c r="B19" s="176" t="s">
        <v>12</v>
      </c>
      <c r="C19" s="177" t="s">
        <v>19</v>
      </c>
      <c r="D19" s="178">
        <v>0.16800000000000001</v>
      </c>
      <c r="E19" s="179">
        <f>F19/D19</f>
        <v>0</v>
      </c>
      <c r="F19" s="179"/>
      <c r="G19" s="180"/>
      <c r="H19" s="180"/>
      <c r="I19" s="180"/>
      <c r="J19" s="181"/>
      <c r="K19" s="182"/>
      <c r="L19" s="182"/>
      <c r="M19" s="183"/>
      <c r="N19" s="182"/>
      <c r="O19" s="184"/>
      <c r="P19" s="91"/>
      <c r="Q19" s="91">
        <f t="shared" si="0"/>
        <v>0</v>
      </c>
      <c r="R19" s="92">
        <f t="shared" si="1"/>
        <v>0</v>
      </c>
      <c r="S19" s="91"/>
      <c r="T19" s="91"/>
      <c r="U19" s="91"/>
      <c r="V19" s="91"/>
      <c r="W19" s="91"/>
      <c r="X19" s="91"/>
      <c r="Y19" s="91"/>
      <c r="Z19" s="91"/>
      <c r="AA19" s="93"/>
      <c r="AB19" s="93"/>
    </row>
    <row r="20" spans="1:28" s="94" customFormat="1" ht="46.8" x14ac:dyDescent="0.3">
      <c r="A20" s="166" t="s">
        <v>134</v>
      </c>
      <c r="B20" s="167" t="s">
        <v>124</v>
      </c>
      <c r="C20" s="168" t="s">
        <v>19</v>
      </c>
      <c r="D20" s="87">
        <v>0.16800000000000001</v>
      </c>
      <c r="E20" s="170">
        <v>8602.02</v>
      </c>
      <c r="F20" s="170">
        <f>ROUND(D20*E20,2)</f>
        <v>1445.14</v>
      </c>
      <c r="G20" s="89"/>
      <c r="H20" s="89">
        <f>E20</f>
        <v>8602.02</v>
      </c>
      <c r="I20" s="89">
        <f>ROUND(G20*H20,2)</f>
        <v>0</v>
      </c>
      <c r="J20" s="90">
        <v>2.2200000000000002E-3</v>
      </c>
      <c r="K20" s="189">
        <f>E20</f>
        <v>8602.02</v>
      </c>
      <c r="L20" s="189">
        <f>ROUND(J20*K20,2)</f>
        <v>19.100000000000001</v>
      </c>
      <c r="M20" s="173">
        <f>D20-G20+J20</f>
        <v>0.17022000000000001</v>
      </c>
      <c r="N20" s="172">
        <f>E20</f>
        <v>8602.02</v>
      </c>
      <c r="O20" s="174">
        <f>F20-I20+L20</f>
        <v>1464.24</v>
      </c>
      <c r="P20" s="199"/>
      <c r="Q20" s="91">
        <f>ROUND(M20*N20,2)</f>
        <v>1464.24</v>
      </c>
      <c r="R20" s="92">
        <f>Q20-O20</f>
        <v>0</v>
      </c>
      <c r="S20" s="91"/>
      <c r="T20" s="91"/>
      <c r="U20" s="88">
        <v>254579.96134020615</v>
      </c>
      <c r="V20" s="91"/>
      <c r="W20" s="91"/>
      <c r="X20" s="91"/>
      <c r="Y20" s="91"/>
      <c r="Z20" s="91"/>
      <c r="AA20" s="93"/>
      <c r="AB20" s="93"/>
    </row>
    <row r="21" spans="1:28" s="94" customFormat="1" ht="65.400000000000006" customHeight="1" x14ac:dyDescent="0.3">
      <c r="A21" s="166" t="s">
        <v>135</v>
      </c>
      <c r="B21" s="167" t="s">
        <v>125</v>
      </c>
      <c r="C21" s="168" t="s">
        <v>19</v>
      </c>
      <c r="D21" s="87">
        <v>0.16800000000000001</v>
      </c>
      <c r="E21" s="170">
        <v>16856.009999999998</v>
      </c>
      <c r="F21" s="170">
        <f>ROUND(D21*E21,2)</f>
        <v>2831.81</v>
      </c>
      <c r="G21" s="89"/>
      <c r="H21" s="89">
        <f>E21</f>
        <v>16856.009999999998</v>
      </c>
      <c r="I21" s="89">
        <f>ROUND(G21*H21,2)</f>
        <v>0</v>
      </c>
      <c r="J21" s="90"/>
      <c r="K21" s="189">
        <f>E21</f>
        <v>16856.009999999998</v>
      </c>
      <c r="L21" s="189">
        <f>ROUND(J21*K21,2)</f>
        <v>0</v>
      </c>
      <c r="M21" s="203">
        <f>D21-G21+J21</f>
        <v>0.16800000000000001</v>
      </c>
      <c r="N21" s="172">
        <f>E21</f>
        <v>16856.009999999998</v>
      </c>
      <c r="O21" s="174">
        <f>F21-I21+L21</f>
        <v>2831.81</v>
      </c>
      <c r="P21" s="199"/>
      <c r="Q21" s="91">
        <f>ROUND(M21*N21,2)</f>
        <v>2831.81</v>
      </c>
      <c r="R21" s="92">
        <f>Q21-O21</f>
        <v>0</v>
      </c>
      <c r="S21" s="91"/>
      <c r="T21" s="91"/>
      <c r="U21" s="88">
        <v>254579.96134020615</v>
      </c>
      <c r="V21" s="91"/>
      <c r="W21" s="91"/>
      <c r="X21" s="91"/>
      <c r="Y21" s="91"/>
      <c r="Z21" s="91"/>
      <c r="AA21" s="93"/>
      <c r="AB21" s="93"/>
    </row>
    <row r="22" spans="1:28" s="65" customFormat="1" ht="38.4" customHeight="1" x14ac:dyDescent="0.3">
      <c r="A22" s="67" t="s">
        <v>71</v>
      </c>
      <c r="B22" s="68" t="s">
        <v>72</v>
      </c>
      <c r="C22" s="69" t="s">
        <v>15</v>
      </c>
      <c r="D22" s="73">
        <v>0.05</v>
      </c>
      <c r="E22" s="70">
        <f>F22/D22</f>
        <v>27379.399999999998</v>
      </c>
      <c r="F22" s="70">
        <v>1368.97</v>
      </c>
      <c r="G22" s="39"/>
      <c r="H22" s="39">
        <f>E22</f>
        <v>27379.399999999998</v>
      </c>
      <c r="I22" s="39">
        <f>ROUND(G22*H22,2)</f>
        <v>0</v>
      </c>
      <c r="J22" s="75">
        <v>2.1000000000000001E-2</v>
      </c>
      <c r="K22" s="30">
        <f>E22</f>
        <v>27379.399999999998</v>
      </c>
      <c r="L22" s="30">
        <f>ROUND(J22*K22,2)</f>
        <v>574.97</v>
      </c>
      <c r="M22" s="188">
        <f>D22-G22+J22</f>
        <v>7.1000000000000008E-2</v>
      </c>
      <c r="N22" s="71">
        <f>E22</f>
        <v>27379.399999999998</v>
      </c>
      <c r="O22" s="72">
        <f>F22-I22+L22</f>
        <v>1943.94</v>
      </c>
      <c r="P22" s="63"/>
      <c r="Q22" s="63">
        <f t="shared" si="0"/>
        <v>1943.94</v>
      </c>
      <c r="R22" s="83">
        <f t="shared" si="1"/>
        <v>0</v>
      </c>
      <c r="S22" s="63"/>
      <c r="T22" s="63"/>
      <c r="U22" s="63"/>
      <c r="V22" s="63"/>
      <c r="W22" s="63"/>
      <c r="X22" s="63"/>
      <c r="Y22" s="63"/>
      <c r="Z22" s="63"/>
      <c r="AA22" s="64"/>
      <c r="AB22" s="64"/>
    </row>
    <row r="23" spans="1:28" s="65" customFormat="1" ht="62.4" x14ac:dyDescent="0.3">
      <c r="A23" s="67" t="s">
        <v>73</v>
      </c>
      <c r="B23" s="68" t="s">
        <v>16</v>
      </c>
      <c r="C23" s="69" t="s">
        <v>46</v>
      </c>
      <c r="D23" s="73">
        <v>0.16800000000000001</v>
      </c>
      <c r="E23" s="70">
        <f>F23/D23</f>
        <v>1151335.2976190476</v>
      </c>
      <c r="F23" s="70">
        <v>193424.33</v>
      </c>
      <c r="G23" s="39"/>
      <c r="H23" s="39">
        <f>E23</f>
        <v>1151335.2976190476</v>
      </c>
      <c r="I23" s="39">
        <f>ROUND(G23*H23,2)</f>
        <v>0</v>
      </c>
      <c r="J23" s="75">
        <v>6.8419999999999995E-2</v>
      </c>
      <c r="K23" s="30">
        <f>E23</f>
        <v>1151335.2976190476</v>
      </c>
      <c r="L23" s="30">
        <f>ROUND(J23*K23,2)</f>
        <v>78774.36</v>
      </c>
      <c r="M23" s="77">
        <f>D23-G23+J23</f>
        <v>0.23642000000000002</v>
      </c>
      <c r="N23" s="71">
        <f>E23</f>
        <v>1151335.2976190476</v>
      </c>
      <c r="O23" s="72">
        <f>F23-I23+L23</f>
        <v>272198.69</v>
      </c>
      <c r="P23" s="63"/>
      <c r="Q23" s="63">
        <f t="shared" si="0"/>
        <v>272198.69</v>
      </c>
      <c r="R23" s="83">
        <f t="shared" si="1"/>
        <v>0</v>
      </c>
      <c r="S23" s="63"/>
      <c r="T23" s="63"/>
      <c r="U23" s="63"/>
      <c r="V23" s="63"/>
      <c r="W23" s="63"/>
      <c r="X23" s="63"/>
      <c r="Y23" s="63"/>
      <c r="Z23" s="63"/>
      <c r="AA23" s="64"/>
      <c r="AB23" s="64"/>
    </row>
    <row r="24" spans="1:28" s="65" customFormat="1" x14ac:dyDescent="0.3">
      <c r="A24" s="48" t="s">
        <v>74</v>
      </c>
      <c r="B24" s="37"/>
      <c r="C24" s="40"/>
      <c r="D24" s="41"/>
      <c r="E24" s="41"/>
      <c r="F24" s="42">
        <f>SUM(F18:F23)</f>
        <v>210380.58</v>
      </c>
      <c r="G24" s="36"/>
      <c r="H24" s="36"/>
      <c r="I24" s="42">
        <f>SUM(I18:I23)</f>
        <v>0</v>
      </c>
      <c r="J24" s="36"/>
      <c r="K24" s="36"/>
      <c r="L24" s="42">
        <f>SUM(L18:L23)</f>
        <v>83974.7</v>
      </c>
      <c r="M24" s="36"/>
      <c r="N24" s="36"/>
      <c r="O24" s="43">
        <f>SUM(O18:O23)</f>
        <v>294355.28000000003</v>
      </c>
      <c r="P24" s="63"/>
      <c r="Q24" s="83">
        <f>F24-I24+L24</f>
        <v>294355.27999999997</v>
      </c>
      <c r="R24" s="83">
        <f t="shared" si="1"/>
        <v>0</v>
      </c>
      <c r="S24" s="63"/>
      <c r="T24" s="63"/>
      <c r="U24" s="63"/>
      <c r="V24" s="63"/>
      <c r="W24" s="63"/>
      <c r="X24" s="63"/>
      <c r="Y24" s="63"/>
      <c r="Z24" s="63"/>
      <c r="AA24" s="64"/>
      <c r="AB24" s="64"/>
    </row>
    <row r="25" spans="1:28" s="65" customFormat="1" ht="18.75" customHeight="1" x14ac:dyDescent="0.3">
      <c r="A25" s="210" t="s">
        <v>75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1"/>
      <c r="P25" s="63"/>
      <c r="Q25" s="63">
        <f t="shared" si="0"/>
        <v>0</v>
      </c>
      <c r="R25" s="83">
        <f t="shared" si="1"/>
        <v>0</v>
      </c>
      <c r="S25" s="63"/>
      <c r="T25" s="63"/>
      <c r="U25" s="63"/>
      <c r="V25" s="63"/>
      <c r="W25" s="63"/>
      <c r="X25" s="63"/>
      <c r="Y25" s="63"/>
      <c r="Z25" s="63"/>
      <c r="AA25" s="64"/>
      <c r="AB25" s="64"/>
    </row>
    <row r="26" spans="1:28" s="65" customFormat="1" ht="46.8" x14ac:dyDescent="0.3">
      <c r="A26" s="67" t="s">
        <v>76</v>
      </c>
      <c r="B26" s="68" t="s">
        <v>20</v>
      </c>
      <c r="C26" s="69" t="s">
        <v>21</v>
      </c>
      <c r="D26" s="73">
        <v>1</v>
      </c>
      <c r="E26" s="70">
        <f t="shared" ref="E26:E42" si="2">F26/D26</f>
        <v>2911.1</v>
      </c>
      <c r="F26" s="70">
        <v>2911.1</v>
      </c>
      <c r="G26" s="39"/>
      <c r="H26" s="39">
        <f t="shared" ref="H26:H42" si="3">E26</f>
        <v>2911.1</v>
      </c>
      <c r="I26" s="39">
        <f t="shared" ref="I26:I42" si="4">ROUND(G26*H26,2)</f>
        <v>0</v>
      </c>
      <c r="J26" s="75">
        <v>1</v>
      </c>
      <c r="K26" s="30">
        <f t="shared" ref="K26:K42" si="5">E26</f>
        <v>2911.1</v>
      </c>
      <c r="L26" s="30">
        <f t="shared" ref="L26:L42" si="6">ROUND(J26*K26,2)</f>
        <v>2911.1</v>
      </c>
      <c r="M26" s="201">
        <f t="shared" ref="M26:M42" si="7">D26-G26+J26</f>
        <v>2</v>
      </c>
      <c r="N26" s="71">
        <f t="shared" ref="N26:N42" si="8">E26</f>
        <v>2911.1</v>
      </c>
      <c r="O26" s="72">
        <f t="shared" ref="O26:O42" si="9">F26-I26+L26</f>
        <v>5822.2</v>
      </c>
      <c r="P26" s="202"/>
      <c r="Q26" s="63">
        <f t="shared" si="0"/>
        <v>5822.2</v>
      </c>
      <c r="R26" s="83">
        <f t="shared" si="1"/>
        <v>0</v>
      </c>
      <c r="S26" s="63"/>
      <c r="T26" s="63"/>
      <c r="U26" s="63"/>
      <c r="V26" s="63"/>
      <c r="W26" s="63"/>
      <c r="X26" s="63"/>
      <c r="Y26" s="63"/>
      <c r="Z26" s="63"/>
      <c r="AA26" s="64"/>
      <c r="AB26" s="64"/>
    </row>
    <row r="27" spans="1:28" s="65" customFormat="1" ht="93" customHeight="1" x14ac:dyDescent="0.3">
      <c r="A27" s="67" t="s">
        <v>77</v>
      </c>
      <c r="B27" s="68" t="s">
        <v>78</v>
      </c>
      <c r="C27" s="69" t="s">
        <v>43</v>
      </c>
      <c r="D27" s="73">
        <v>0.254</v>
      </c>
      <c r="E27" s="70">
        <f t="shared" si="2"/>
        <v>108047.1653543307</v>
      </c>
      <c r="F27" s="70">
        <v>27443.98</v>
      </c>
      <c r="G27" s="39">
        <v>0.09</v>
      </c>
      <c r="H27" s="39">
        <f t="shared" si="3"/>
        <v>108047.1653543307</v>
      </c>
      <c r="I27" s="39">
        <f t="shared" si="4"/>
        <v>9724.24</v>
      </c>
      <c r="J27" s="75"/>
      <c r="K27" s="30">
        <f t="shared" si="5"/>
        <v>108047.1653543307</v>
      </c>
      <c r="L27" s="30">
        <f t="shared" si="6"/>
        <v>0</v>
      </c>
      <c r="M27" s="188">
        <f t="shared" si="7"/>
        <v>0.16400000000000001</v>
      </c>
      <c r="N27" s="71">
        <f t="shared" si="8"/>
        <v>108047.1653543307</v>
      </c>
      <c r="O27" s="72">
        <f t="shared" si="9"/>
        <v>17719.739999999998</v>
      </c>
      <c r="P27" s="202"/>
      <c r="Q27" s="63">
        <f t="shared" si="0"/>
        <v>17719.740000000002</v>
      </c>
      <c r="R27" s="83">
        <f t="shared" si="1"/>
        <v>0</v>
      </c>
      <c r="S27" s="63"/>
      <c r="T27" s="63"/>
      <c r="U27" s="63"/>
      <c r="V27" s="63"/>
      <c r="W27" s="63"/>
      <c r="X27" s="63"/>
      <c r="Y27" s="63"/>
      <c r="Z27" s="63"/>
      <c r="AA27" s="64"/>
      <c r="AB27" s="64"/>
    </row>
    <row r="28" spans="1:28" s="65" customFormat="1" ht="31.2" x14ac:dyDescent="0.3">
      <c r="A28" s="67" t="s">
        <v>79</v>
      </c>
      <c r="B28" s="68" t="s">
        <v>22</v>
      </c>
      <c r="C28" s="69" t="s">
        <v>41</v>
      </c>
      <c r="D28" s="73">
        <v>11.03</v>
      </c>
      <c r="E28" s="70">
        <f t="shared" si="2"/>
        <v>93.230281051677238</v>
      </c>
      <c r="F28" s="70">
        <v>1028.33</v>
      </c>
      <c r="G28" s="39">
        <v>5.14</v>
      </c>
      <c r="H28" s="39">
        <f t="shared" si="3"/>
        <v>93.230281051677238</v>
      </c>
      <c r="I28" s="39">
        <f t="shared" si="4"/>
        <v>479.2</v>
      </c>
      <c r="J28" s="75"/>
      <c r="K28" s="30">
        <f t="shared" si="5"/>
        <v>93.230281051677238</v>
      </c>
      <c r="L28" s="30">
        <f t="shared" si="6"/>
        <v>0</v>
      </c>
      <c r="M28" s="204">
        <f t="shared" si="7"/>
        <v>5.89</v>
      </c>
      <c r="N28" s="71">
        <f t="shared" si="8"/>
        <v>93.230281051677238</v>
      </c>
      <c r="O28" s="72">
        <f t="shared" si="9"/>
        <v>549.12999999999988</v>
      </c>
      <c r="P28" s="202"/>
      <c r="Q28" s="63">
        <f t="shared" si="0"/>
        <v>549.13</v>
      </c>
      <c r="R28" s="83">
        <f t="shared" si="1"/>
        <v>0</v>
      </c>
      <c r="S28" s="63"/>
      <c r="T28" s="63"/>
      <c r="U28" s="63"/>
      <c r="V28" s="63"/>
      <c r="W28" s="63"/>
      <c r="X28" s="63"/>
      <c r="Y28" s="63"/>
      <c r="Z28" s="63"/>
      <c r="AA28" s="64"/>
      <c r="AB28" s="64"/>
    </row>
    <row r="29" spans="1:28" s="65" customFormat="1" ht="65.400000000000006" customHeight="1" x14ac:dyDescent="0.3">
      <c r="A29" s="67" t="s">
        <v>80</v>
      </c>
      <c r="B29" s="68" t="s">
        <v>23</v>
      </c>
      <c r="C29" s="69" t="s">
        <v>18</v>
      </c>
      <c r="D29" s="73">
        <v>3.78E-2</v>
      </c>
      <c r="E29" s="70">
        <f t="shared" si="2"/>
        <v>411457.93650793651</v>
      </c>
      <c r="F29" s="70">
        <v>15553.11</v>
      </c>
      <c r="G29" s="39">
        <v>1.4239999999999999E-2</v>
      </c>
      <c r="H29" s="39">
        <f t="shared" si="3"/>
        <v>411457.93650793651</v>
      </c>
      <c r="I29" s="39">
        <f t="shared" si="4"/>
        <v>5859.16</v>
      </c>
      <c r="J29" s="75"/>
      <c r="K29" s="30">
        <f t="shared" si="5"/>
        <v>411457.93650793651</v>
      </c>
      <c r="L29" s="30">
        <f t="shared" si="6"/>
        <v>0</v>
      </c>
      <c r="M29" s="77">
        <f t="shared" si="7"/>
        <v>2.3560000000000001E-2</v>
      </c>
      <c r="N29" s="71">
        <f t="shared" si="8"/>
        <v>411457.93650793651</v>
      </c>
      <c r="O29" s="72">
        <f t="shared" si="9"/>
        <v>9693.9500000000007</v>
      </c>
      <c r="P29" s="202"/>
      <c r="Q29" s="63">
        <f t="shared" si="0"/>
        <v>9693.9500000000007</v>
      </c>
      <c r="R29" s="83">
        <f t="shared" si="1"/>
        <v>0</v>
      </c>
      <c r="S29" s="63"/>
      <c r="T29" s="63"/>
      <c r="U29" s="63"/>
      <c r="V29" s="63"/>
      <c r="W29" s="63"/>
      <c r="X29" s="63"/>
      <c r="Y29" s="63"/>
      <c r="Z29" s="63"/>
      <c r="AA29" s="64"/>
      <c r="AB29" s="64"/>
    </row>
    <row r="30" spans="1:28" s="65" customFormat="1" ht="43.8" customHeight="1" x14ac:dyDescent="0.3">
      <c r="A30" s="67" t="s">
        <v>81</v>
      </c>
      <c r="B30" s="68" t="s">
        <v>24</v>
      </c>
      <c r="C30" s="69" t="s">
        <v>45</v>
      </c>
      <c r="D30" s="73">
        <v>6.4000000000000001E-2</v>
      </c>
      <c r="E30" s="70">
        <f t="shared" si="2"/>
        <v>1923843.9062499998</v>
      </c>
      <c r="F30" s="70">
        <v>123126.01</v>
      </c>
      <c r="G30" s="39">
        <v>0.03</v>
      </c>
      <c r="H30" s="39">
        <f t="shared" si="3"/>
        <v>1923843.9062499998</v>
      </c>
      <c r="I30" s="39">
        <f t="shared" si="4"/>
        <v>57715.32</v>
      </c>
      <c r="J30" s="75"/>
      <c r="K30" s="30">
        <f t="shared" si="5"/>
        <v>1923843.9062499998</v>
      </c>
      <c r="L30" s="30">
        <f t="shared" si="6"/>
        <v>0</v>
      </c>
      <c r="M30" s="188">
        <f t="shared" si="7"/>
        <v>3.4000000000000002E-2</v>
      </c>
      <c r="N30" s="71">
        <f t="shared" si="8"/>
        <v>1923843.9062499998</v>
      </c>
      <c r="O30" s="72">
        <f t="shared" si="9"/>
        <v>65410.689999999995</v>
      </c>
      <c r="P30" s="202"/>
      <c r="Q30" s="63">
        <f t="shared" si="0"/>
        <v>65410.69</v>
      </c>
      <c r="R30" s="83">
        <f t="shared" si="1"/>
        <v>0</v>
      </c>
      <c r="S30" s="63"/>
      <c r="T30" s="63"/>
      <c r="U30" s="63"/>
      <c r="V30" s="63"/>
      <c r="W30" s="63"/>
      <c r="X30" s="63"/>
      <c r="Y30" s="63"/>
      <c r="Z30" s="63"/>
      <c r="AA30" s="64"/>
      <c r="AB30" s="64"/>
    </row>
    <row r="31" spans="1:28" s="65" customFormat="1" ht="47.4" customHeight="1" x14ac:dyDescent="0.3">
      <c r="A31" s="67" t="s">
        <v>82</v>
      </c>
      <c r="B31" s="68" t="s">
        <v>25</v>
      </c>
      <c r="C31" s="69" t="s">
        <v>45</v>
      </c>
      <c r="D31" s="73">
        <v>6.2E-2</v>
      </c>
      <c r="E31" s="70">
        <f t="shared" si="2"/>
        <v>1210036.6129032259</v>
      </c>
      <c r="F31" s="70">
        <v>75022.27</v>
      </c>
      <c r="G31" s="74">
        <v>2.4E-2</v>
      </c>
      <c r="H31" s="39">
        <f t="shared" si="3"/>
        <v>1210036.6129032259</v>
      </c>
      <c r="I31" s="39">
        <f t="shared" si="4"/>
        <v>29040.880000000001</v>
      </c>
      <c r="J31" s="75"/>
      <c r="K31" s="30">
        <f t="shared" si="5"/>
        <v>1210036.6129032259</v>
      </c>
      <c r="L31" s="30">
        <f t="shared" si="6"/>
        <v>0</v>
      </c>
      <c r="M31" s="188">
        <f t="shared" si="7"/>
        <v>3.7999999999999999E-2</v>
      </c>
      <c r="N31" s="71">
        <f t="shared" si="8"/>
        <v>1210036.6129032259</v>
      </c>
      <c r="O31" s="72">
        <f t="shared" si="9"/>
        <v>45981.39</v>
      </c>
      <c r="P31" s="202"/>
      <c r="Q31" s="63">
        <f t="shared" si="0"/>
        <v>45981.39</v>
      </c>
      <c r="R31" s="83">
        <f t="shared" si="1"/>
        <v>0</v>
      </c>
      <c r="S31" s="63"/>
      <c r="T31" s="63"/>
      <c r="U31" s="63"/>
      <c r="V31" s="63"/>
      <c r="W31" s="63"/>
      <c r="X31" s="63"/>
      <c r="Y31" s="63"/>
      <c r="Z31" s="63"/>
      <c r="AA31" s="64"/>
      <c r="AB31" s="64"/>
    </row>
    <row r="32" spans="1:28" s="65" customFormat="1" ht="64.2" customHeight="1" x14ac:dyDescent="0.3">
      <c r="A32" s="67" t="s">
        <v>83</v>
      </c>
      <c r="B32" s="68" t="s">
        <v>42</v>
      </c>
      <c r="C32" s="69" t="s">
        <v>43</v>
      </c>
      <c r="D32" s="73">
        <v>0.254</v>
      </c>
      <c r="E32" s="70">
        <f t="shared" si="2"/>
        <v>160887.79527559056</v>
      </c>
      <c r="F32" s="70">
        <v>40865.5</v>
      </c>
      <c r="G32" s="96">
        <v>0.1042</v>
      </c>
      <c r="H32" s="39">
        <f t="shared" si="3"/>
        <v>160887.79527559056</v>
      </c>
      <c r="I32" s="39">
        <f t="shared" si="4"/>
        <v>16764.509999999998</v>
      </c>
      <c r="J32" s="75"/>
      <c r="K32" s="30">
        <f t="shared" si="5"/>
        <v>160887.79527559056</v>
      </c>
      <c r="L32" s="30">
        <f t="shared" si="6"/>
        <v>0</v>
      </c>
      <c r="M32" s="82">
        <f t="shared" si="7"/>
        <v>0.14979999999999999</v>
      </c>
      <c r="N32" s="71">
        <f t="shared" si="8"/>
        <v>160887.79527559056</v>
      </c>
      <c r="O32" s="72">
        <f t="shared" si="9"/>
        <v>24100.99</v>
      </c>
      <c r="P32" s="202"/>
      <c r="Q32" s="63">
        <f t="shared" si="0"/>
        <v>24100.99</v>
      </c>
      <c r="R32" s="83">
        <f t="shared" si="1"/>
        <v>0</v>
      </c>
      <c r="S32" s="63"/>
      <c r="T32" s="63"/>
      <c r="U32" s="63"/>
      <c r="V32" s="63"/>
      <c r="W32" s="63"/>
      <c r="X32" s="63"/>
      <c r="Y32" s="63"/>
      <c r="Z32" s="63"/>
      <c r="AA32" s="64"/>
      <c r="AB32" s="64"/>
    </row>
    <row r="33" spans="1:28" s="65" customFormat="1" ht="93.6" x14ac:dyDescent="0.3">
      <c r="A33" s="175" t="s">
        <v>84</v>
      </c>
      <c r="B33" s="176" t="s">
        <v>85</v>
      </c>
      <c r="C33" s="193" t="s">
        <v>44</v>
      </c>
      <c r="D33" s="194">
        <v>0.127</v>
      </c>
      <c r="E33" s="195">
        <f t="shared" si="2"/>
        <v>674488.18897637795</v>
      </c>
      <c r="F33" s="195">
        <v>85660</v>
      </c>
      <c r="G33" s="197">
        <v>0.127</v>
      </c>
      <c r="H33" s="180">
        <f t="shared" si="3"/>
        <v>674488.18897637795</v>
      </c>
      <c r="I33" s="180">
        <f t="shared" si="4"/>
        <v>85660</v>
      </c>
      <c r="J33" s="181"/>
      <c r="K33" s="182">
        <f t="shared" si="5"/>
        <v>674488.18897637795</v>
      </c>
      <c r="L33" s="182">
        <f t="shared" si="6"/>
        <v>0</v>
      </c>
      <c r="M33" s="183">
        <f t="shared" si="7"/>
        <v>0</v>
      </c>
      <c r="N33" s="182">
        <f t="shared" si="8"/>
        <v>674488.18897637795</v>
      </c>
      <c r="O33" s="184">
        <f t="shared" si="9"/>
        <v>0</v>
      </c>
      <c r="P33" s="63"/>
      <c r="Q33" s="63">
        <f t="shared" si="0"/>
        <v>0</v>
      </c>
      <c r="R33" s="83">
        <f t="shared" si="1"/>
        <v>0</v>
      </c>
      <c r="S33" s="63"/>
      <c r="T33" s="63"/>
      <c r="U33" s="63"/>
      <c r="V33" s="63"/>
      <c r="W33" s="63"/>
      <c r="X33" s="63"/>
      <c r="Y33" s="63"/>
      <c r="Z33" s="63"/>
      <c r="AA33" s="64"/>
      <c r="AB33" s="64"/>
    </row>
    <row r="34" spans="1:28" s="94" customFormat="1" ht="62.4" x14ac:dyDescent="0.3">
      <c r="A34" s="84" t="s">
        <v>86</v>
      </c>
      <c r="B34" s="85" t="s">
        <v>26</v>
      </c>
      <c r="C34" s="86" t="s">
        <v>87</v>
      </c>
      <c r="D34" s="87"/>
      <c r="E34" s="88">
        <v>67445.02</v>
      </c>
      <c r="F34" s="88"/>
      <c r="G34" s="89"/>
      <c r="H34" s="39">
        <f t="shared" si="3"/>
        <v>67445.02</v>
      </c>
      <c r="I34" s="39">
        <f t="shared" si="4"/>
        <v>0</v>
      </c>
      <c r="J34" s="90">
        <v>0.78200000000000003</v>
      </c>
      <c r="K34" s="30">
        <f t="shared" si="5"/>
        <v>67445.02</v>
      </c>
      <c r="L34" s="30">
        <f t="shared" si="6"/>
        <v>52742.01</v>
      </c>
      <c r="M34" s="82">
        <f t="shared" si="7"/>
        <v>0.78200000000000003</v>
      </c>
      <c r="N34" s="71">
        <f t="shared" si="8"/>
        <v>67445.02</v>
      </c>
      <c r="O34" s="72">
        <f t="shared" si="9"/>
        <v>52742.01</v>
      </c>
      <c r="P34" s="199"/>
      <c r="Q34" s="63">
        <f t="shared" si="0"/>
        <v>52742.01</v>
      </c>
      <c r="R34" s="83">
        <f t="shared" si="1"/>
        <v>0</v>
      </c>
      <c r="S34" s="91"/>
      <c r="T34" s="91"/>
      <c r="U34" s="91"/>
      <c r="V34" s="91"/>
      <c r="W34" s="91"/>
      <c r="X34" s="91"/>
      <c r="Y34" s="91"/>
      <c r="Z34" s="91"/>
      <c r="AA34" s="93"/>
      <c r="AB34" s="93"/>
    </row>
    <row r="35" spans="1:28" s="94" customFormat="1" ht="62.4" x14ac:dyDescent="0.3">
      <c r="A35" s="84" t="s">
        <v>88</v>
      </c>
      <c r="B35" s="85" t="s">
        <v>49</v>
      </c>
      <c r="C35" s="86" t="s">
        <v>89</v>
      </c>
      <c r="D35" s="87"/>
      <c r="E35" s="88">
        <v>1608.88</v>
      </c>
      <c r="F35" s="88"/>
      <c r="G35" s="89"/>
      <c r="H35" s="39">
        <f t="shared" si="3"/>
        <v>1608.88</v>
      </c>
      <c r="I35" s="39">
        <f t="shared" si="4"/>
        <v>0</v>
      </c>
      <c r="J35" s="90">
        <v>2.3460000000000001</v>
      </c>
      <c r="K35" s="30">
        <f t="shared" si="5"/>
        <v>1608.88</v>
      </c>
      <c r="L35" s="30">
        <f t="shared" si="6"/>
        <v>3774.43</v>
      </c>
      <c r="M35" s="82">
        <f t="shared" si="7"/>
        <v>2.3460000000000001</v>
      </c>
      <c r="N35" s="71">
        <f t="shared" si="8"/>
        <v>1608.88</v>
      </c>
      <c r="O35" s="72">
        <f t="shared" si="9"/>
        <v>3774.43</v>
      </c>
      <c r="P35" s="199"/>
      <c r="Q35" s="63">
        <f t="shared" si="0"/>
        <v>3774.43</v>
      </c>
      <c r="R35" s="83">
        <f t="shared" si="1"/>
        <v>0</v>
      </c>
      <c r="S35" s="91"/>
      <c r="T35" s="91"/>
      <c r="U35" s="91"/>
      <c r="V35" s="91"/>
      <c r="W35" s="91"/>
      <c r="X35" s="91"/>
      <c r="Y35" s="91"/>
      <c r="Z35" s="91"/>
      <c r="AA35" s="93"/>
      <c r="AB35" s="93"/>
    </row>
    <row r="36" spans="1:28" s="65" customFormat="1" ht="62.4" x14ac:dyDescent="0.3">
      <c r="A36" s="175" t="s">
        <v>90</v>
      </c>
      <c r="B36" s="176" t="s">
        <v>91</v>
      </c>
      <c r="C36" s="193" t="s">
        <v>44</v>
      </c>
      <c r="D36" s="194">
        <v>0.127</v>
      </c>
      <c r="E36" s="195">
        <f t="shared" si="2"/>
        <v>1040407.4015748031</v>
      </c>
      <c r="F36" s="195">
        <v>132131.74</v>
      </c>
      <c r="G36" s="196">
        <v>0.127</v>
      </c>
      <c r="H36" s="180">
        <f t="shared" si="3"/>
        <v>1040407.4015748031</v>
      </c>
      <c r="I36" s="180">
        <f t="shared" si="4"/>
        <v>132131.74</v>
      </c>
      <c r="J36" s="181"/>
      <c r="K36" s="182">
        <f t="shared" si="5"/>
        <v>1040407.4015748031</v>
      </c>
      <c r="L36" s="182">
        <f t="shared" si="6"/>
        <v>0</v>
      </c>
      <c r="M36" s="183">
        <f t="shared" si="7"/>
        <v>0</v>
      </c>
      <c r="N36" s="182">
        <f t="shared" si="8"/>
        <v>1040407.4015748031</v>
      </c>
      <c r="O36" s="184">
        <f t="shared" si="9"/>
        <v>0</v>
      </c>
      <c r="P36" s="202"/>
      <c r="Q36" s="63">
        <f t="shared" si="0"/>
        <v>0</v>
      </c>
      <c r="R36" s="83">
        <f t="shared" si="1"/>
        <v>0</v>
      </c>
      <c r="S36" s="63"/>
      <c r="T36" s="63"/>
      <c r="U36" s="63"/>
      <c r="V36" s="63"/>
      <c r="W36" s="63"/>
      <c r="X36" s="63"/>
      <c r="Y36" s="63"/>
      <c r="Z36" s="63"/>
      <c r="AA36" s="64"/>
      <c r="AB36" s="64"/>
    </row>
    <row r="37" spans="1:28" s="94" customFormat="1" ht="66" customHeight="1" x14ac:dyDescent="0.3">
      <c r="A37" s="84" t="s">
        <v>129</v>
      </c>
      <c r="B37" s="85" t="s">
        <v>92</v>
      </c>
      <c r="C37" s="86" t="s">
        <v>15</v>
      </c>
      <c r="D37" s="87"/>
      <c r="E37" s="88">
        <v>6681.47</v>
      </c>
      <c r="F37" s="88">
        <v>67883.740000000005</v>
      </c>
      <c r="G37" s="89"/>
      <c r="H37" s="89">
        <f t="shared" si="3"/>
        <v>6681.47</v>
      </c>
      <c r="I37" s="89">
        <f t="shared" si="4"/>
        <v>0</v>
      </c>
      <c r="J37" s="90">
        <v>6.15</v>
      </c>
      <c r="K37" s="189">
        <f t="shared" si="5"/>
        <v>6681.47</v>
      </c>
      <c r="L37" s="189">
        <f t="shared" si="6"/>
        <v>41091.040000000001</v>
      </c>
      <c r="M37" s="190">
        <f t="shared" si="7"/>
        <v>6.15</v>
      </c>
      <c r="N37" s="191">
        <f t="shared" si="8"/>
        <v>6681.47</v>
      </c>
      <c r="O37" s="192">
        <f t="shared" si="9"/>
        <v>108974.78</v>
      </c>
      <c r="P37" s="199"/>
      <c r="Q37" s="88">
        <f t="shared" si="0"/>
        <v>41091.040000000001</v>
      </c>
      <c r="R37" s="92">
        <f t="shared" si="1"/>
        <v>-67883.739999999991</v>
      </c>
      <c r="S37" s="91"/>
      <c r="T37" s="91"/>
      <c r="U37" s="88">
        <v>6681.4704724409457</v>
      </c>
      <c r="V37" s="91"/>
      <c r="W37" s="91"/>
      <c r="X37" s="91"/>
      <c r="Y37" s="91"/>
      <c r="Z37" s="91"/>
      <c r="AA37" s="93"/>
      <c r="AB37" s="93"/>
    </row>
    <row r="38" spans="1:28" s="94" customFormat="1" ht="136.80000000000001" customHeight="1" x14ac:dyDescent="0.3">
      <c r="A38" s="84" t="s">
        <v>130</v>
      </c>
      <c r="B38" s="85" t="s">
        <v>50</v>
      </c>
      <c r="C38" s="86" t="s">
        <v>133</v>
      </c>
      <c r="D38" s="87"/>
      <c r="E38" s="88">
        <v>3379.46</v>
      </c>
      <c r="F38" s="88"/>
      <c r="G38" s="89"/>
      <c r="H38" s="89">
        <f t="shared" si="3"/>
        <v>3379.46</v>
      </c>
      <c r="I38" s="89">
        <f t="shared" si="4"/>
        <v>0</v>
      </c>
      <c r="J38" s="90">
        <v>76.5</v>
      </c>
      <c r="K38" s="189">
        <f t="shared" si="5"/>
        <v>3379.46</v>
      </c>
      <c r="L38" s="189">
        <f t="shared" si="6"/>
        <v>258528.69</v>
      </c>
      <c r="M38" s="191">
        <f t="shared" si="7"/>
        <v>76.5</v>
      </c>
      <c r="N38" s="191">
        <f t="shared" si="8"/>
        <v>3379.46</v>
      </c>
      <c r="O38" s="192">
        <f t="shared" si="9"/>
        <v>258528.69</v>
      </c>
      <c r="P38" s="199"/>
      <c r="Q38" s="91">
        <f t="shared" si="0"/>
        <v>258528.69</v>
      </c>
      <c r="R38" s="92">
        <f t="shared" si="1"/>
        <v>0</v>
      </c>
      <c r="S38" s="91"/>
      <c r="T38" s="91"/>
      <c r="U38" s="91"/>
      <c r="V38" s="91"/>
      <c r="W38" s="91"/>
      <c r="X38" s="91"/>
      <c r="Y38" s="91"/>
      <c r="Z38" s="91"/>
      <c r="AA38" s="93"/>
      <c r="AB38" s="93"/>
    </row>
    <row r="39" spans="1:28" s="94" customFormat="1" ht="87" customHeight="1" x14ac:dyDescent="0.3">
      <c r="A39" s="84" t="s">
        <v>132</v>
      </c>
      <c r="B39" s="85" t="s">
        <v>131</v>
      </c>
      <c r="C39" s="86" t="s">
        <v>52</v>
      </c>
      <c r="D39" s="87"/>
      <c r="E39" s="88"/>
      <c r="F39" s="88"/>
      <c r="G39" s="89"/>
      <c r="H39" s="89"/>
      <c r="I39" s="89"/>
      <c r="J39" s="90">
        <v>0.11</v>
      </c>
      <c r="K39" s="198">
        <v>98441.818181818191</v>
      </c>
      <c r="L39" s="189">
        <f t="shared" si="6"/>
        <v>10828.6</v>
      </c>
      <c r="M39" s="191">
        <f t="shared" si="7"/>
        <v>0.11</v>
      </c>
      <c r="N39" s="88">
        <v>98441.818181818191</v>
      </c>
      <c r="O39" s="72">
        <f t="shared" si="9"/>
        <v>10828.6</v>
      </c>
      <c r="P39" s="199"/>
      <c r="Q39" s="91"/>
      <c r="R39" s="91"/>
      <c r="S39" s="91"/>
      <c r="T39" s="88">
        <v>98441.818181818191</v>
      </c>
      <c r="U39" s="91"/>
      <c r="V39" s="91"/>
      <c r="W39" s="91"/>
      <c r="X39" s="91"/>
      <c r="Y39" s="91"/>
      <c r="Z39" s="91"/>
      <c r="AA39" s="93"/>
      <c r="AB39" s="93"/>
    </row>
    <row r="40" spans="1:28" s="65" customFormat="1" ht="101.4" customHeight="1" x14ac:dyDescent="0.3">
      <c r="A40" s="67" t="s">
        <v>93</v>
      </c>
      <c r="B40" s="68" t="s">
        <v>27</v>
      </c>
      <c r="C40" s="69" t="s">
        <v>18</v>
      </c>
      <c r="D40" s="73">
        <v>2.24E-2</v>
      </c>
      <c r="E40" s="70">
        <f t="shared" si="2"/>
        <v>343633.92857142858</v>
      </c>
      <c r="F40" s="70">
        <v>7697.4</v>
      </c>
      <c r="G40" s="39">
        <v>1.0500000000000001E-2</v>
      </c>
      <c r="H40" s="39">
        <f t="shared" si="3"/>
        <v>343633.92857142858</v>
      </c>
      <c r="I40" s="39">
        <f t="shared" si="4"/>
        <v>3608.16</v>
      </c>
      <c r="J40" s="75"/>
      <c r="K40" s="30">
        <f t="shared" si="5"/>
        <v>343633.92857142858</v>
      </c>
      <c r="L40" s="30">
        <f t="shared" si="6"/>
        <v>0</v>
      </c>
      <c r="M40" s="200">
        <f t="shared" si="7"/>
        <v>1.1899999999999999E-2</v>
      </c>
      <c r="N40" s="71">
        <f t="shared" si="8"/>
        <v>343633.92857142858</v>
      </c>
      <c r="O40" s="72">
        <f t="shared" si="9"/>
        <v>4089.24</v>
      </c>
      <c r="P40" s="63"/>
      <c r="Q40" s="63">
        <f t="shared" si="0"/>
        <v>4089.24</v>
      </c>
      <c r="R40" s="83">
        <f t="shared" si="1"/>
        <v>0</v>
      </c>
      <c r="S40" s="63"/>
      <c r="T40" s="63"/>
      <c r="U40" s="63"/>
      <c r="V40" s="63"/>
      <c r="W40" s="63"/>
      <c r="X40" s="63"/>
      <c r="Y40" s="63"/>
      <c r="Z40" s="63"/>
      <c r="AA40" s="64"/>
      <c r="AB40" s="64"/>
    </row>
    <row r="41" spans="1:28" s="65" customFormat="1" ht="78" customHeight="1" x14ac:dyDescent="0.3">
      <c r="A41" s="67" t="s">
        <v>94</v>
      </c>
      <c r="B41" s="68" t="s">
        <v>28</v>
      </c>
      <c r="C41" s="69" t="s">
        <v>43</v>
      </c>
      <c r="D41" s="73">
        <v>0.1103</v>
      </c>
      <c r="E41" s="70">
        <f t="shared" si="2"/>
        <v>63754.397098821399</v>
      </c>
      <c r="F41" s="70">
        <v>7032.11</v>
      </c>
      <c r="G41" s="39"/>
      <c r="H41" s="39">
        <f t="shared" si="3"/>
        <v>63754.397098821399</v>
      </c>
      <c r="I41" s="39">
        <f t="shared" si="4"/>
        <v>0</v>
      </c>
      <c r="J41" s="75">
        <v>8.3000000000000004E-2</v>
      </c>
      <c r="K41" s="30">
        <f t="shared" si="5"/>
        <v>63754.397098821399</v>
      </c>
      <c r="L41" s="30">
        <f t="shared" si="6"/>
        <v>5291.61</v>
      </c>
      <c r="M41" s="200">
        <f t="shared" si="7"/>
        <v>0.1933</v>
      </c>
      <c r="N41" s="71">
        <f t="shared" si="8"/>
        <v>63754.397098821399</v>
      </c>
      <c r="O41" s="72">
        <f t="shared" si="9"/>
        <v>12323.72</v>
      </c>
      <c r="P41" s="202"/>
      <c r="Q41" s="63">
        <f t="shared" si="0"/>
        <v>12323.72</v>
      </c>
      <c r="R41" s="83">
        <f t="shared" si="1"/>
        <v>0</v>
      </c>
      <c r="S41" s="63"/>
      <c r="T41" s="63"/>
      <c r="U41" s="63"/>
      <c r="V41" s="63"/>
      <c r="W41" s="63"/>
      <c r="X41" s="63"/>
      <c r="Y41" s="63"/>
      <c r="Z41" s="63"/>
      <c r="AA41" s="64"/>
      <c r="AB41" s="64"/>
    </row>
    <row r="42" spans="1:28" s="65" customFormat="1" ht="39" customHeight="1" x14ac:dyDescent="0.3">
      <c r="A42" s="67" t="s">
        <v>95</v>
      </c>
      <c r="B42" s="68" t="s">
        <v>29</v>
      </c>
      <c r="C42" s="69" t="s">
        <v>21</v>
      </c>
      <c r="D42" s="73">
        <v>2</v>
      </c>
      <c r="E42" s="70">
        <f t="shared" si="2"/>
        <v>267274.46000000002</v>
      </c>
      <c r="F42" s="70">
        <v>534548.92000000004</v>
      </c>
      <c r="G42" s="39"/>
      <c r="H42" s="39">
        <f t="shared" si="3"/>
        <v>267274.46000000002</v>
      </c>
      <c r="I42" s="39">
        <f t="shared" si="4"/>
        <v>0</v>
      </c>
      <c r="J42" s="75"/>
      <c r="K42" s="30">
        <f t="shared" si="5"/>
        <v>267274.46000000002</v>
      </c>
      <c r="L42" s="30">
        <f t="shared" si="6"/>
        <v>0</v>
      </c>
      <c r="M42" s="201">
        <f t="shared" si="7"/>
        <v>2</v>
      </c>
      <c r="N42" s="71">
        <f t="shared" si="8"/>
        <v>267274.46000000002</v>
      </c>
      <c r="O42" s="72">
        <f t="shared" si="9"/>
        <v>534548.92000000004</v>
      </c>
      <c r="P42" s="202"/>
      <c r="Q42" s="63">
        <f t="shared" si="0"/>
        <v>534548.92000000004</v>
      </c>
      <c r="R42" s="83">
        <f t="shared" si="1"/>
        <v>0</v>
      </c>
      <c r="S42" s="63"/>
      <c r="T42" s="63"/>
      <c r="U42" s="63"/>
      <c r="V42" s="63"/>
      <c r="W42" s="63"/>
      <c r="X42" s="63"/>
      <c r="Y42" s="63"/>
      <c r="Z42" s="63"/>
      <c r="AA42" s="64"/>
      <c r="AB42" s="64"/>
    </row>
    <row r="43" spans="1:28" s="65" customFormat="1" ht="31.2" customHeight="1" x14ac:dyDescent="0.3">
      <c r="A43" s="48" t="s">
        <v>96</v>
      </c>
      <c r="B43" s="37"/>
      <c r="C43" s="40"/>
      <c r="D43" s="41"/>
      <c r="E43" s="41"/>
      <c r="F43" s="42">
        <f>SUM(F26:F42)</f>
        <v>1120904.21</v>
      </c>
      <c r="G43" s="36"/>
      <c r="H43" s="36"/>
      <c r="I43" s="42">
        <f>SUM(I26:I42)</f>
        <v>340983.20999999996</v>
      </c>
      <c r="J43" s="36"/>
      <c r="K43" s="36"/>
      <c r="L43" s="42">
        <f>SUM(L26:L42)</f>
        <v>375167.48</v>
      </c>
      <c r="M43" s="36"/>
      <c r="N43" s="36"/>
      <c r="O43" s="43">
        <f>SUM(O26:O42)</f>
        <v>1155088.48</v>
      </c>
      <c r="P43" s="63"/>
      <c r="Q43" s="83">
        <f>F43-I43+L43</f>
        <v>1155088.48</v>
      </c>
      <c r="R43" s="83">
        <f t="shared" si="1"/>
        <v>0</v>
      </c>
      <c r="S43" s="63"/>
      <c r="T43" s="63"/>
      <c r="U43" s="63"/>
      <c r="V43" s="63"/>
      <c r="W43" s="63"/>
      <c r="X43" s="63"/>
      <c r="Y43" s="63"/>
      <c r="Z43" s="63"/>
      <c r="AA43" s="64"/>
      <c r="AB43" s="64"/>
    </row>
    <row r="44" spans="1:28" s="65" customFormat="1" ht="18.75" customHeight="1" x14ac:dyDescent="0.3">
      <c r="A44" s="210" t="s">
        <v>97</v>
      </c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1"/>
      <c r="P44" s="63"/>
      <c r="Q44" s="63">
        <f t="shared" si="0"/>
        <v>0</v>
      </c>
      <c r="R44" s="83">
        <f t="shared" si="1"/>
        <v>0</v>
      </c>
      <c r="S44" s="63"/>
      <c r="T44" s="63"/>
      <c r="U44" s="63"/>
      <c r="V44" s="63"/>
      <c r="W44" s="63"/>
      <c r="X44" s="63"/>
      <c r="Y44" s="63"/>
      <c r="Z44" s="63"/>
      <c r="AA44" s="64"/>
      <c r="AB44" s="64"/>
    </row>
    <row r="45" spans="1:28" s="65" customFormat="1" ht="54.6" customHeight="1" x14ac:dyDescent="0.3">
      <c r="A45" s="67" t="s">
        <v>98</v>
      </c>
      <c r="B45" s="68" t="s">
        <v>33</v>
      </c>
      <c r="C45" s="69" t="s">
        <v>48</v>
      </c>
      <c r="D45" s="73">
        <v>0.56999999999999995</v>
      </c>
      <c r="E45" s="70">
        <f t="shared" ref="E45:E51" si="10">F45/D45</f>
        <v>85631.982456140366</v>
      </c>
      <c r="F45" s="70">
        <v>48810.23</v>
      </c>
      <c r="G45" s="76">
        <v>8.9950000000000002E-2</v>
      </c>
      <c r="H45" s="39">
        <f t="shared" ref="H45:H53" si="11">E45</f>
        <v>85631.982456140366</v>
      </c>
      <c r="I45" s="39">
        <f t="shared" ref="I45:I53" si="12">ROUND(G45*H45,2)</f>
        <v>7702.6</v>
      </c>
      <c r="J45" s="75"/>
      <c r="K45" s="30">
        <f t="shared" ref="K45:K53" si="13">E45</f>
        <v>85631.982456140366</v>
      </c>
      <c r="L45" s="30">
        <f t="shared" ref="L45:L53" si="14">ROUND(J45*K45,2)</f>
        <v>0</v>
      </c>
      <c r="M45" s="77">
        <f t="shared" ref="M45:M53" si="15">D45-G45+J45</f>
        <v>0.48004999999999998</v>
      </c>
      <c r="N45" s="71">
        <f t="shared" ref="N45:N53" si="16">E45</f>
        <v>85631.982456140366</v>
      </c>
      <c r="O45" s="72">
        <f t="shared" ref="O45:O53" si="17">F45-I45+L45</f>
        <v>41107.630000000005</v>
      </c>
      <c r="P45" s="202"/>
      <c r="Q45" s="63">
        <f t="shared" si="0"/>
        <v>41107.629999999997</v>
      </c>
      <c r="R45" s="83">
        <f t="shared" si="1"/>
        <v>0</v>
      </c>
      <c r="S45" s="63"/>
      <c r="T45" s="63"/>
      <c r="U45" s="63"/>
      <c r="V45" s="63"/>
      <c r="W45" s="63"/>
      <c r="X45" s="63"/>
      <c r="Y45" s="63"/>
      <c r="Z45" s="63"/>
      <c r="AA45" s="64"/>
      <c r="AB45" s="64"/>
    </row>
    <row r="46" spans="1:28" s="65" customFormat="1" ht="55.8" customHeight="1" x14ac:dyDescent="0.3">
      <c r="A46" s="67" t="s">
        <v>99</v>
      </c>
      <c r="B46" s="68" t="s">
        <v>36</v>
      </c>
      <c r="C46" s="69" t="s">
        <v>51</v>
      </c>
      <c r="D46" s="73">
        <v>1.05</v>
      </c>
      <c r="E46" s="70">
        <f t="shared" si="10"/>
        <v>877.80000000000007</v>
      </c>
      <c r="F46" s="70">
        <v>921.69</v>
      </c>
      <c r="G46" s="39"/>
      <c r="H46" s="39">
        <f t="shared" si="11"/>
        <v>877.80000000000007</v>
      </c>
      <c r="I46" s="39">
        <f t="shared" si="12"/>
        <v>0</v>
      </c>
      <c r="J46" s="75">
        <v>3.5855000000000001</v>
      </c>
      <c r="K46" s="30">
        <f t="shared" si="13"/>
        <v>877.80000000000007</v>
      </c>
      <c r="L46" s="30">
        <f t="shared" si="14"/>
        <v>3147.35</v>
      </c>
      <c r="M46" s="200">
        <f t="shared" si="15"/>
        <v>4.6355000000000004</v>
      </c>
      <c r="N46" s="71">
        <f t="shared" si="16"/>
        <v>877.80000000000007</v>
      </c>
      <c r="O46" s="72">
        <f t="shared" si="17"/>
        <v>4069.04</v>
      </c>
      <c r="P46" s="202"/>
      <c r="Q46" s="63">
        <f t="shared" si="0"/>
        <v>4069.04</v>
      </c>
      <c r="R46" s="83">
        <f t="shared" si="1"/>
        <v>0</v>
      </c>
      <c r="S46" s="63"/>
      <c r="T46" s="63"/>
      <c r="U46" s="63"/>
      <c r="V46" s="63"/>
      <c r="W46" s="63"/>
      <c r="X46" s="63"/>
      <c r="Y46" s="63"/>
      <c r="Z46" s="63"/>
      <c r="AA46" s="64"/>
      <c r="AB46" s="64"/>
    </row>
    <row r="47" spans="1:28" s="65" customFormat="1" ht="18.75" customHeight="1" x14ac:dyDescent="0.3">
      <c r="A47" s="212" t="s">
        <v>100</v>
      </c>
      <c r="B47" s="214" t="s">
        <v>54</v>
      </c>
      <c r="C47" s="69" t="s">
        <v>56</v>
      </c>
      <c r="D47" s="73">
        <v>8.5999999999999993E-2</v>
      </c>
      <c r="E47" s="70">
        <f t="shared" si="10"/>
        <v>85636.511627906977</v>
      </c>
      <c r="F47" s="70">
        <v>7364.74</v>
      </c>
      <c r="G47" s="39"/>
      <c r="H47" s="39">
        <f t="shared" si="11"/>
        <v>85636.511627906977</v>
      </c>
      <c r="I47" s="39">
        <f t="shared" si="12"/>
        <v>0</v>
      </c>
      <c r="J47" s="75">
        <v>2.46E-2</v>
      </c>
      <c r="K47" s="30">
        <f t="shared" si="13"/>
        <v>85636.511627906977</v>
      </c>
      <c r="L47" s="30">
        <f t="shared" si="14"/>
        <v>2106.66</v>
      </c>
      <c r="M47" s="200">
        <f t="shared" si="15"/>
        <v>0.11059999999999999</v>
      </c>
      <c r="N47" s="71">
        <f t="shared" si="16"/>
        <v>85636.511627906977</v>
      </c>
      <c r="O47" s="72">
        <f t="shared" si="17"/>
        <v>9471.4</v>
      </c>
      <c r="P47" s="202"/>
      <c r="Q47" s="63">
        <f t="shared" si="0"/>
        <v>9471.4</v>
      </c>
      <c r="R47" s="83">
        <f t="shared" si="1"/>
        <v>0</v>
      </c>
      <c r="S47" s="63"/>
      <c r="T47" s="63"/>
      <c r="U47" s="63"/>
      <c r="V47" s="63"/>
      <c r="W47" s="63"/>
      <c r="X47" s="63"/>
      <c r="Y47" s="63"/>
      <c r="Z47" s="63"/>
      <c r="AA47" s="64"/>
      <c r="AB47" s="64"/>
    </row>
    <row r="48" spans="1:28" s="65" customFormat="1" ht="63.75" customHeight="1" x14ac:dyDescent="0.3">
      <c r="A48" s="213"/>
      <c r="B48" s="215"/>
      <c r="C48" s="69" t="s">
        <v>56</v>
      </c>
      <c r="D48" s="73">
        <v>6.4500000000000002E-2</v>
      </c>
      <c r="E48" s="70">
        <f t="shared" si="10"/>
        <v>85829.147286821695</v>
      </c>
      <c r="F48" s="70">
        <v>5535.98</v>
      </c>
      <c r="G48" s="39"/>
      <c r="H48" s="39">
        <f t="shared" si="11"/>
        <v>85829.147286821695</v>
      </c>
      <c r="I48" s="39">
        <f t="shared" si="12"/>
        <v>0</v>
      </c>
      <c r="J48" s="75">
        <v>1.84E-2</v>
      </c>
      <c r="K48" s="30">
        <f t="shared" si="13"/>
        <v>85829.147286821695</v>
      </c>
      <c r="L48" s="30">
        <f t="shared" si="14"/>
        <v>1579.26</v>
      </c>
      <c r="M48" s="200">
        <f t="shared" si="15"/>
        <v>8.2900000000000001E-2</v>
      </c>
      <c r="N48" s="71">
        <f t="shared" si="16"/>
        <v>85829.147286821695</v>
      </c>
      <c r="O48" s="72">
        <f t="shared" si="17"/>
        <v>7115.24</v>
      </c>
      <c r="P48" s="202"/>
      <c r="Q48" s="63">
        <f t="shared" si="0"/>
        <v>7115.24</v>
      </c>
      <c r="R48" s="83">
        <f t="shared" si="1"/>
        <v>0</v>
      </c>
      <c r="S48" s="63"/>
      <c r="T48" s="63"/>
      <c r="U48" s="63"/>
      <c r="V48" s="63"/>
      <c r="W48" s="63"/>
      <c r="X48" s="63"/>
      <c r="Y48" s="63"/>
      <c r="Z48" s="63"/>
      <c r="AA48" s="64"/>
      <c r="AB48" s="64"/>
    </row>
    <row r="49" spans="1:28" s="65" customFormat="1" ht="62.4" x14ac:dyDescent="0.3">
      <c r="A49" s="67" t="s">
        <v>101</v>
      </c>
      <c r="B49" s="68" t="s">
        <v>37</v>
      </c>
      <c r="C49" s="69" t="s">
        <v>48</v>
      </c>
      <c r="D49" s="73">
        <v>0.112</v>
      </c>
      <c r="E49" s="70">
        <f t="shared" si="10"/>
        <v>404068.74999999994</v>
      </c>
      <c r="F49" s="70">
        <v>45255.7</v>
      </c>
      <c r="G49" s="39"/>
      <c r="H49" s="39">
        <f t="shared" si="11"/>
        <v>404068.74999999994</v>
      </c>
      <c r="I49" s="39">
        <f t="shared" si="12"/>
        <v>0</v>
      </c>
      <c r="J49" s="75">
        <v>1.6E-2</v>
      </c>
      <c r="K49" s="30">
        <f t="shared" si="13"/>
        <v>404068.74999999994</v>
      </c>
      <c r="L49" s="30">
        <f t="shared" si="14"/>
        <v>6465.1</v>
      </c>
      <c r="M49" s="188">
        <f t="shared" si="15"/>
        <v>0.128</v>
      </c>
      <c r="N49" s="71">
        <f t="shared" si="16"/>
        <v>404068.74999999994</v>
      </c>
      <c r="O49" s="72">
        <f t="shared" si="17"/>
        <v>51720.799999999996</v>
      </c>
      <c r="P49" s="202"/>
      <c r="Q49" s="63">
        <f t="shared" si="0"/>
        <v>51720.800000000003</v>
      </c>
      <c r="R49" s="83">
        <f t="shared" si="1"/>
        <v>0</v>
      </c>
      <c r="S49" s="63"/>
      <c r="T49" s="63"/>
      <c r="U49" s="63"/>
      <c r="V49" s="63"/>
      <c r="W49" s="63"/>
      <c r="X49" s="63"/>
      <c r="Y49" s="63"/>
      <c r="Z49" s="63"/>
      <c r="AA49" s="64"/>
      <c r="AB49" s="64"/>
    </row>
    <row r="50" spans="1:28" s="65" customFormat="1" ht="62.4" x14ac:dyDescent="0.3">
      <c r="A50" s="67" t="s">
        <v>102</v>
      </c>
      <c r="B50" s="68" t="s">
        <v>38</v>
      </c>
      <c r="C50" s="69" t="s">
        <v>51</v>
      </c>
      <c r="D50" s="73">
        <v>9.6</v>
      </c>
      <c r="E50" s="70">
        <f t="shared" si="10"/>
        <v>4181.2395833333339</v>
      </c>
      <c r="F50" s="70">
        <v>40139.9</v>
      </c>
      <c r="G50" s="39"/>
      <c r="H50" s="39">
        <f t="shared" si="11"/>
        <v>4181.2395833333339</v>
      </c>
      <c r="I50" s="39">
        <f t="shared" si="12"/>
        <v>0</v>
      </c>
      <c r="J50" s="75">
        <v>1.6</v>
      </c>
      <c r="K50" s="30">
        <f t="shared" si="13"/>
        <v>4181.2395833333339</v>
      </c>
      <c r="L50" s="30">
        <f t="shared" si="14"/>
        <v>6689.98</v>
      </c>
      <c r="M50" s="205">
        <f t="shared" si="15"/>
        <v>11.2</v>
      </c>
      <c r="N50" s="71">
        <f t="shared" si="16"/>
        <v>4181.2395833333339</v>
      </c>
      <c r="O50" s="72">
        <f t="shared" si="17"/>
        <v>46829.880000000005</v>
      </c>
      <c r="P50" s="206"/>
      <c r="Q50" s="63">
        <f t="shared" si="0"/>
        <v>46829.88</v>
      </c>
      <c r="R50" s="83">
        <f t="shared" si="1"/>
        <v>0</v>
      </c>
      <c r="S50" s="63"/>
      <c r="T50" s="63"/>
      <c r="U50" s="63"/>
      <c r="V50" s="63"/>
      <c r="W50" s="63"/>
      <c r="X50" s="63"/>
      <c r="Y50" s="63"/>
      <c r="Z50" s="63"/>
      <c r="AA50" s="64"/>
      <c r="AB50" s="64"/>
    </row>
    <row r="51" spans="1:28" s="65" customFormat="1" ht="75" customHeight="1" x14ac:dyDescent="0.3">
      <c r="A51" s="67" t="s">
        <v>103</v>
      </c>
      <c r="B51" s="68" t="s">
        <v>39</v>
      </c>
      <c r="C51" s="69" t="s">
        <v>48</v>
      </c>
      <c r="D51" s="73">
        <v>4.4600000000000001E-2</v>
      </c>
      <c r="E51" s="70">
        <f t="shared" si="10"/>
        <v>211088.78923766816</v>
      </c>
      <c r="F51" s="70">
        <v>9414.56</v>
      </c>
      <c r="G51" s="96">
        <v>2.5999999999999999E-3</v>
      </c>
      <c r="H51" s="39">
        <f t="shared" si="11"/>
        <v>211088.78923766816</v>
      </c>
      <c r="I51" s="39">
        <f t="shared" si="12"/>
        <v>548.83000000000004</v>
      </c>
      <c r="J51" s="75"/>
      <c r="K51" s="30">
        <f t="shared" si="13"/>
        <v>211088.78923766816</v>
      </c>
      <c r="L51" s="30">
        <f t="shared" si="14"/>
        <v>0</v>
      </c>
      <c r="M51" s="188">
        <f t="shared" si="15"/>
        <v>4.2000000000000003E-2</v>
      </c>
      <c r="N51" s="71">
        <f t="shared" si="16"/>
        <v>211088.78923766816</v>
      </c>
      <c r="O51" s="72">
        <f t="shared" si="17"/>
        <v>8865.73</v>
      </c>
      <c r="P51" s="202"/>
      <c r="Q51" s="63">
        <f t="shared" si="0"/>
        <v>8865.73</v>
      </c>
      <c r="R51" s="83">
        <f t="shared" si="1"/>
        <v>0</v>
      </c>
      <c r="S51" s="63"/>
      <c r="T51" s="63"/>
      <c r="U51" s="63"/>
      <c r="V51" s="63"/>
      <c r="W51" s="63"/>
      <c r="X51" s="63"/>
      <c r="Y51" s="63"/>
      <c r="Z51" s="63"/>
      <c r="AA51" s="64"/>
      <c r="AB51" s="64"/>
    </row>
    <row r="52" spans="1:28" s="65" customFormat="1" ht="57" customHeight="1" x14ac:dyDescent="0.3">
      <c r="A52" s="67" t="s">
        <v>57</v>
      </c>
      <c r="B52" s="68" t="s">
        <v>34</v>
      </c>
      <c r="C52" s="69" t="s">
        <v>56</v>
      </c>
      <c r="D52" s="73"/>
      <c r="E52" s="70">
        <v>93818.4</v>
      </c>
      <c r="F52" s="70"/>
      <c r="G52" s="39"/>
      <c r="H52" s="39">
        <f t="shared" si="11"/>
        <v>93818.4</v>
      </c>
      <c r="I52" s="39">
        <f t="shared" si="12"/>
        <v>0</v>
      </c>
      <c r="J52" s="75">
        <v>3.4500000000000003E-2</v>
      </c>
      <c r="K52" s="30">
        <f t="shared" si="13"/>
        <v>93818.4</v>
      </c>
      <c r="L52" s="30">
        <f t="shared" si="14"/>
        <v>3236.73</v>
      </c>
      <c r="M52" s="200">
        <f t="shared" si="15"/>
        <v>3.4500000000000003E-2</v>
      </c>
      <c r="N52" s="71">
        <f t="shared" si="16"/>
        <v>93818.4</v>
      </c>
      <c r="O52" s="72">
        <f t="shared" si="17"/>
        <v>3236.73</v>
      </c>
      <c r="P52" s="202"/>
      <c r="Q52" s="63">
        <f t="shared" si="0"/>
        <v>3236.73</v>
      </c>
      <c r="R52" s="83">
        <f t="shared" si="1"/>
        <v>0</v>
      </c>
      <c r="S52" s="63"/>
      <c r="T52" s="70">
        <v>93818.4</v>
      </c>
      <c r="U52" s="63"/>
      <c r="V52" s="63"/>
      <c r="W52" s="63"/>
      <c r="X52" s="63"/>
      <c r="Y52" s="63"/>
      <c r="Z52" s="63"/>
      <c r="AA52" s="64"/>
      <c r="AB52" s="64"/>
    </row>
    <row r="53" spans="1:28" s="65" customFormat="1" ht="58.2" customHeight="1" x14ac:dyDescent="0.3">
      <c r="A53" s="67" t="s">
        <v>58</v>
      </c>
      <c r="B53" s="68" t="s">
        <v>35</v>
      </c>
      <c r="C53" s="69" t="s">
        <v>55</v>
      </c>
      <c r="D53" s="73"/>
      <c r="E53" s="70">
        <v>8582.7466666666678</v>
      </c>
      <c r="F53" s="70"/>
      <c r="G53" s="39"/>
      <c r="H53" s="39">
        <f t="shared" si="11"/>
        <v>8582.7466666666678</v>
      </c>
      <c r="I53" s="39">
        <f t="shared" si="12"/>
        <v>0</v>
      </c>
      <c r="J53" s="75">
        <v>2.4169999999999998</v>
      </c>
      <c r="K53" s="30">
        <f t="shared" si="13"/>
        <v>8582.7466666666678</v>
      </c>
      <c r="L53" s="30">
        <f t="shared" si="14"/>
        <v>20744.5</v>
      </c>
      <c r="M53" s="188">
        <f t="shared" si="15"/>
        <v>2.4169999999999998</v>
      </c>
      <c r="N53" s="71">
        <f t="shared" si="16"/>
        <v>8582.7466666666678</v>
      </c>
      <c r="O53" s="72">
        <f t="shared" si="17"/>
        <v>20744.5</v>
      </c>
      <c r="P53" s="202"/>
      <c r="Q53" s="63">
        <f t="shared" si="0"/>
        <v>20744.5</v>
      </c>
      <c r="R53" s="83">
        <f t="shared" si="1"/>
        <v>0</v>
      </c>
      <c r="S53" s="63"/>
      <c r="T53" s="70">
        <v>8582.7466666666678</v>
      </c>
      <c r="U53" s="63"/>
      <c r="V53" s="63"/>
      <c r="W53" s="63"/>
      <c r="X53" s="63"/>
      <c r="Y53" s="63"/>
      <c r="Z53" s="63"/>
      <c r="AA53" s="64"/>
      <c r="AB53" s="64"/>
    </row>
    <row r="54" spans="1:28" s="65" customFormat="1" x14ac:dyDescent="0.3">
      <c r="A54" s="48" t="s">
        <v>104</v>
      </c>
      <c r="B54" s="37"/>
      <c r="C54" s="36"/>
      <c r="D54" s="38"/>
      <c r="E54" s="36"/>
      <c r="F54" s="31">
        <f>SUM(F45:F53)</f>
        <v>157442.79999999999</v>
      </c>
      <c r="G54" s="36"/>
      <c r="H54" s="36"/>
      <c r="I54" s="31">
        <f>SUM(I45:I53)</f>
        <v>8251.43</v>
      </c>
      <c r="J54" s="36"/>
      <c r="K54" s="36"/>
      <c r="L54" s="31">
        <f>SUM(L45:L53)</f>
        <v>43969.58</v>
      </c>
      <c r="M54" s="36"/>
      <c r="N54" s="36"/>
      <c r="O54" s="34">
        <f>SUM(O45:O53)</f>
        <v>193160.95</v>
      </c>
      <c r="P54" s="63"/>
      <c r="Q54" s="83">
        <f>F54-I54+L54</f>
        <v>193160.95</v>
      </c>
      <c r="R54" s="83">
        <f t="shared" si="1"/>
        <v>0</v>
      </c>
      <c r="S54" s="63"/>
      <c r="T54" s="63"/>
      <c r="U54" s="63"/>
      <c r="V54" s="63"/>
      <c r="W54" s="63"/>
      <c r="X54" s="63"/>
      <c r="Y54" s="63"/>
      <c r="Z54" s="63"/>
      <c r="AA54" s="64"/>
      <c r="AB54" s="64"/>
    </row>
    <row r="55" spans="1:28" s="65" customFormat="1" ht="16.2" customHeight="1" x14ac:dyDescent="0.3">
      <c r="A55" s="216" t="s">
        <v>105</v>
      </c>
      <c r="B55" s="217"/>
      <c r="C55" s="21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8"/>
      <c r="P55" s="63"/>
      <c r="Q55" s="63">
        <f t="shared" si="0"/>
        <v>0</v>
      </c>
      <c r="R55" s="83">
        <f t="shared" si="1"/>
        <v>0</v>
      </c>
      <c r="S55" s="63"/>
      <c r="T55" s="63"/>
      <c r="U55" s="63"/>
      <c r="V55" s="63"/>
      <c r="W55" s="63"/>
      <c r="X55" s="63"/>
      <c r="Y55" s="63"/>
      <c r="Z55" s="63"/>
      <c r="AA55" s="64"/>
      <c r="AB55" s="64"/>
    </row>
    <row r="56" spans="1:28" s="65" customFormat="1" ht="93" customHeight="1" x14ac:dyDescent="0.3">
      <c r="A56" s="67" t="s">
        <v>106</v>
      </c>
      <c r="B56" s="68" t="s">
        <v>30</v>
      </c>
      <c r="C56" s="69" t="s">
        <v>52</v>
      </c>
      <c r="D56" s="73"/>
      <c r="E56" s="70">
        <v>1038915.4000000001</v>
      </c>
      <c r="F56" s="70"/>
      <c r="G56" s="39"/>
      <c r="H56" s="39">
        <f t="shared" ref="H56:H60" si="18">E56</f>
        <v>1038915.4000000001</v>
      </c>
      <c r="I56" s="39">
        <f t="shared" ref="I56:I60" si="19">ROUND(G56*H56,2)</f>
        <v>0</v>
      </c>
      <c r="J56" s="47">
        <v>0.06</v>
      </c>
      <c r="K56" s="30">
        <f t="shared" ref="K56:K60" si="20">E56</f>
        <v>1038915.4000000001</v>
      </c>
      <c r="L56" s="30">
        <f t="shared" ref="L56:L60" si="21">ROUND(J56*K56,2)</f>
        <v>62334.92</v>
      </c>
      <c r="M56" s="204">
        <f t="shared" ref="M56:M60" si="22">D56-G56+J56</f>
        <v>0.06</v>
      </c>
      <c r="N56" s="71">
        <f t="shared" ref="N56:N60" si="23">E56</f>
        <v>1038915.4000000001</v>
      </c>
      <c r="O56" s="72">
        <f t="shared" ref="O56:O60" si="24">F56-I56+L56</f>
        <v>62334.92</v>
      </c>
      <c r="P56" s="202"/>
      <c r="Q56" s="63">
        <f t="shared" si="0"/>
        <v>62334.92</v>
      </c>
      <c r="R56" s="83">
        <f t="shared" si="1"/>
        <v>0</v>
      </c>
      <c r="S56" s="63"/>
      <c r="T56" s="63"/>
      <c r="U56" s="63"/>
      <c r="V56" s="63"/>
      <c r="W56" s="63"/>
      <c r="X56" s="63"/>
      <c r="Y56" s="63"/>
      <c r="Z56" s="63"/>
      <c r="AA56" s="64"/>
      <c r="AB56" s="64"/>
    </row>
    <row r="57" spans="1:28" s="65" customFormat="1" ht="76.2" customHeight="1" x14ac:dyDescent="0.3">
      <c r="A57" s="67" t="s">
        <v>107</v>
      </c>
      <c r="B57" s="68" t="s">
        <v>128</v>
      </c>
      <c r="C57" s="69" t="s">
        <v>21</v>
      </c>
      <c r="D57" s="73"/>
      <c r="E57" s="70">
        <v>3264.84</v>
      </c>
      <c r="F57" s="70"/>
      <c r="G57" s="39"/>
      <c r="H57" s="39">
        <f t="shared" si="18"/>
        <v>3264.84</v>
      </c>
      <c r="I57" s="39">
        <f t="shared" si="19"/>
        <v>0</v>
      </c>
      <c r="J57" s="47">
        <v>1</v>
      </c>
      <c r="K57" s="30">
        <f t="shared" si="20"/>
        <v>3264.84</v>
      </c>
      <c r="L57" s="30">
        <f t="shared" si="21"/>
        <v>3264.84</v>
      </c>
      <c r="M57" s="201">
        <f t="shared" si="22"/>
        <v>1</v>
      </c>
      <c r="N57" s="71">
        <f t="shared" si="23"/>
        <v>3264.84</v>
      </c>
      <c r="O57" s="72">
        <f t="shared" si="24"/>
        <v>3264.84</v>
      </c>
      <c r="P57" s="202"/>
      <c r="Q57" s="63">
        <f t="shared" si="0"/>
        <v>3264.84</v>
      </c>
      <c r="R57" s="83">
        <f t="shared" si="1"/>
        <v>0</v>
      </c>
      <c r="S57" s="63"/>
      <c r="T57" s="63"/>
      <c r="U57" s="63"/>
      <c r="V57" s="63"/>
      <c r="W57" s="63"/>
      <c r="X57" s="63"/>
      <c r="Y57" s="63"/>
      <c r="Z57" s="63"/>
      <c r="AA57" s="64"/>
      <c r="AB57" s="64"/>
    </row>
    <row r="58" spans="1:28" s="65" customFormat="1" ht="59.4" customHeight="1" x14ac:dyDescent="0.3">
      <c r="A58" s="67" t="s">
        <v>108</v>
      </c>
      <c r="B58" s="68" t="s">
        <v>32</v>
      </c>
      <c r="C58" s="69" t="s">
        <v>21</v>
      </c>
      <c r="D58" s="73"/>
      <c r="E58" s="70">
        <v>3290.4599999999996</v>
      </c>
      <c r="F58" s="70"/>
      <c r="G58" s="39"/>
      <c r="H58" s="39">
        <f t="shared" si="18"/>
        <v>3290.4599999999996</v>
      </c>
      <c r="I58" s="39">
        <f t="shared" si="19"/>
        <v>0</v>
      </c>
      <c r="J58" s="47">
        <v>4</v>
      </c>
      <c r="K58" s="30">
        <f t="shared" si="20"/>
        <v>3290.4599999999996</v>
      </c>
      <c r="L58" s="30">
        <f t="shared" si="21"/>
        <v>13161.84</v>
      </c>
      <c r="M58" s="201">
        <f t="shared" si="22"/>
        <v>4</v>
      </c>
      <c r="N58" s="71">
        <f t="shared" si="23"/>
        <v>3290.4599999999996</v>
      </c>
      <c r="O58" s="72">
        <f t="shared" si="24"/>
        <v>13161.84</v>
      </c>
      <c r="P58" s="202"/>
      <c r="Q58" s="63">
        <f t="shared" si="0"/>
        <v>13161.84</v>
      </c>
      <c r="R58" s="83">
        <f t="shared" si="1"/>
        <v>0</v>
      </c>
      <c r="S58" s="63"/>
      <c r="T58" s="63"/>
      <c r="U58" s="63"/>
      <c r="V58" s="63"/>
      <c r="W58" s="63"/>
      <c r="X58" s="63"/>
      <c r="Y58" s="63"/>
      <c r="Z58" s="63"/>
      <c r="AA58" s="64"/>
      <c r="AB58" s="64"/>
    </row>
    <row r="59" spans="1:28" s="65" customFormat="1" ht="62.4" x14ac:dyDescent="0.3">
      <c r="A59" s="67" t="s">
        <v>109</v>
      </c>
      <c r="B59" s="68" t="s">
        <v>31</v>
      </c>
      <c r="C59" s="69" t="s">
        <v>21</v>
      </c>
      <c r="D59" s="73"/>
      <c r="E59" s="70">
        <v>4548.8499999999995</v>
      </c>
      <c r="F59" s="70"/>
      <c r="G59" s="39"/>
      <c r="H59" s="39">
        <f t="shared" si="18"/>
        <v>4548.8499999999995</v>
      </c>
      <c r="I59" s="39">
        <f t="shared" si="19"/>
        <v>0</v>
      </c>
      <c r="J59" s="47">
        <v>4</v>
      </c>
      <c r="K59" s="30">
        <f t="shared" si="20"/>
        <v>4548.8499999999995</v>
      </c>
      <c r="L59" s="30">
        <f t="shared" si="21"/>
        <v>18195.400000000001</v>
      </c>
      <c r="M59" s="201">
        <f t="shared" si="22"/>
        <v>4</v>
      </c>
      <c r="N59" s="71">
        <f t="shared" si="23"/>
        <v>4548.8499999999995</v>
      </c>
      <c r="O59" s="72">
        <f t="shared" si="24"/>
        <v>18195.400000000001</v>
      </c>
      <c r="P59" s="202"/>
      <c r="Q59" s="63">
        <f t="shared" si="0"/>
        <v>18195.400000000001</v>
      </c>
      <c r="R59" s="83">
        <f t="shared" si="1"/>
        <v>0</v>
      </c>
      <c r="S59" s="63"/>
      <c r="T59" s="63"/>
      <c r="U59" s="63"/>
      <c r="V59" s="63"/>
      <c r="W59" s="63"/>
      <c r="X59" s="63"/>
      <c r="Y59" s="63"/>
      <c r="Z59" s="63"/>
      <c r="AA59" s="64"/>
      <c r="AB59" s="64"/>
    </row>
    <row r="60" spans="1:28" s="65" customFormat="1" ht="62.4" x14ac:dyDescent="0.3">
      <c r="A60" s="67" t="s">
        <v>110</v>
      </c>
      <c r="B60" s="68" t="s">
        <v>53</v>
      </c>
      <c r="C60" s="69" t="s">
        <v>21</v>
      </c>
      <c r="D60" s="73"/>
      <c r="E60" s="70">
        <v>3245.91</v>
      </c>
      <c r="F60" s="70"/>
      <c r="G60" s="39"/>
      <c r="H60" s="39">
        <f t="shared" si="18"/>
        <v>3245.91</v>
      </c>
      <c r="I60" s="39">
        <f t="shared" si="19"/>
        <v>0</v>
      </c>
      <c r="J60" s="47">
        <v>4</v>
      </c>
      <c r="K60" s="30">
        <f t="shared" si="20"/>
        <v>3245.91</v>
      </c>
      <c r="L60" s="30">
        <f t="shared" si="21"/>
        <v>12983.64</v>
      </c>
      <c r="M60" s="201">
        <f t="shared" si="22"/>
        <v>4</v>
      </c>
      <c r="N60" s="71">
        <f t="shared" si="23"/>
        <v>3245.91</v>
      </c>
      <c r="O60" s="72">
        <f t="shared" si="24"/>
        <v>12983.64</v>
      </c>
      <c r="P60" s="202"/>
      <c r="Q60" s="63">
        <f t="shared" si="0"/>
        <v>12983.64</v>
      </c>
      <c r="R60" s="83">
        <f t="shared" si="1"/>
        <v>0</v>
      </c>
      <c r="S60" s="63"/>
      <c r="T60" s="63"/>
      <c r="U60" s="63"/>
      <c r="V60" s="63"/>
      <c r="W60" s="63"/>
      <c r="X60" s="63"/>
      <c r="Y60" s="63"/>
      <c r="Z60" s="63"/>
      <c r="AA60" s="64"/>
      <c r="AB60" s="64"/>
    </row>
    <row r="61" spans="1:28" s="65" customFormat="1" x14ac:dyDescent="0.3">
      <c r="A61" s="48" t="s">
        <v>123</v>
      </c>
      <c r="B61" s="37"/>
      <c r="C61" s="36"/>
      <c r="D61" s="38"/>
      <c r="E61" s="36"/>
      <c r="F61" s="31"/>
      <c r="G61" s="36"/>
      <c r="H61" s="36"/>
      <c r="I61" s="31">
        <f>SUM(I56:I60)</f>
        <v>0</v>
      </c>
      <c r="J61" s="36"/>
      <c r="K61" s="36"/>
      <c r="L61" s="31">
        <f>SUM(L56:L60)</f>
        <v>109940.64</v>
      </c>
      <c r="M61" s="36"/>
      <c r="N61" s="36"/>
      <c r="O61" s="34">
        <f>SUM(O56:O60)</f>
        <v>109940.64</v>
      </c>
      <c r="P61" s="63"/>
      <c r="Q61" s="83">
        <f>F61-I61+L61</f>
        <v>109940.64</v>
      </c>
      <c r="R61" s="83">
        <f t="shared" si="1"/>
        <v>0</v>
      </c>
      <c r="S61" s="63"/>
      <c r="T61" s="63"/>
      <c r="U61" s="63"/>
      <c r="V61" s="63"/>
      <c r="W61" s="63"/>
      <c r="X61" s="63"/>
      <c r="Y61" s="63"/>
      <c r="Z61" s="63"/>
      <c r="AA61" s="64"/>
      <c r="AB61" s="64"/>
    </row>
    <row r="62" spans="1:28" s="65" customFormat="1" ht="18.75" customHeight="1" x14ac:dyDescent="0.3">
      <c r="A62" s="49" t="s">
        <v>111</v>
      </c>
      <c r="B62" s="50"/>
      <c r="C62" s="45"/>
      <c r="D62" s="51"/>
      <c r="E62" s="45"/>
      <c r="F62" s="44">
        <f>SUM(F54+F43+F24+F16+F61)</f>
        <v>3655675.4299999997</v>
      </c>
      <c r="G62" s="29"/>
      <c r="H62" s="29"/>
      <c r="I62" s="32">
        <f>SUM(I54+I43+I24+I16+I61)</f>
        <v>483851.11</v>
      </c>
      <c r="J62" s="35"/>
      <c r="K62" s="35"/>
      <c r="L62" s="33">
        <f>SUM(L54+L43+L24+L16+L61)</f>
        <v>644087.73</v>
      </c>
      <c r="M62" s="45"/>
      <c r="N62" s="45"/>
      <c r="O62" s="46">
        <f>SUM(O54+O43+O24+O16+O61)</f>
        <v>3815912.0500000003</v>
      </c>
      <c r="P62" s="63"/>
      <c r="Q62" s="83">
        <f>F62-I62+L62</f>
        <v>3815912.05</v>
      </c>
      <c r="R62" s="83">
        <f t="shared" si="1"/>
        <v>0</v>
      </c>
      <c r="S62" s="63"/>
      <c r="T62" s="63"/>
      <c r="U62" s="63"/>
      <c r="V62" s="63"/>
      <c r="W62" s="63"/>
      <c r="X62" s="63"/>
      <c r="Y62" s="63"/>
      <c r="Z62" s="83">
        <f>F63-I63+L63</f>
        <v>3815912.05</v>
      </c>
      <c r="AA62" s="228">
        <f>O62-Z62</f>
        <v>0</v>
      </c>
      <c r="AB62" s="64"/>
    </row>
    <row r="63" spans="1:28" s="65" customFormat="1" x14ac:dyDescent="0.3">
      <c r="A63" s="52"/>
      <c r="B63" s="53" t="s">
        <v>112</v>
      </c>
      <c r="C63" s="52"/>
      <c r="D63" s="54"/>
      <c r="E63" s="52"/>
      <c r="F63" s="55">
        <f>F62</f>
        <v>3655675.4299999997</v>
      </c>
      <c r="G63" s="29"/>
      <c r="H63" s="29"/>
      <c r="I63" s="32">
        <f>I62</f>
        <v>483851.11</v>
      </c>
      <c r="J63" s="35"/>
      <c r="K63" s="35"/>
      <c r="L63" s="33">
        <f>L62</f>
        <v>644087.73</v>
      </c>
      <c r="M63" s="52"/>
      <c r="N63" s="52"/>
      <c r="O63" s="56">
        <f>O62</f>
        <v>3815912.0500000003</v>
      </c>
      <c r="P63" s="63"/>
      <c r="Q63" s="83">
        <f t="shared" ref="Q63:Q67" si="25">F63-I63+L63</f>
        <v>3815912.05</v>
      </c>
      <c r="R63" s="83">
        <f t="shared" si="1"/>
        <v>0</v>
      </c>
      <c r="S63" s="63"/>
      <c r="T63" s="63"/>
      <c r="U63" s="63"/>
      <c r="V63" s="63"/>
      <c r="W63" s="63"/>
      <c r="X63" s="63"/>
      <c r="Y63" s="63"/>
      <c r="Z63" s="83">
        <f t="shared" ref="Z63:Z67" si="26">F64-I64+L64</f>
        <v>4086713.9699999997</v>
      </c>
      <c r="AA63" s="228">
        <f t="shared" ref="AA63:AA66" si="27">O63-Z63</f>
        <v>-270801.91999999946</v>
      </c>
      <c r="AB63" s="64"/>
    </row>
    <row r="64" spans="1:28" s="65" customFormat="1" x14ac:dyDescent="0.3">
      <c r="A64" s="78"/>
      <c r="B64" s="79" t="s">
        <v>47</v>
      </c>
      <c r="C64" s="99">
        <v>1.0709665000099999</v>
      </c>
      <c r="D64" s="66"/>
      <c r="E64" s="78"/>
      <c r="F64" s="80">
        <f>ROUND(F63*C64,2)</f>
        <v>3915105.92</v>
      </c>
      <c r="G64" s="29"/>
      <c r="H64" s="29"/>
      <c r="I64" s="32">
        <f>ROUND(I63*C64,2)</f>
        <v>518188.33</v>
      </c>
      <c r="J64" s="35"/>
      <c r="K64" s="35"/>
      <c r="L64" s="33">
        <f>ROUND(L63*C64,2)</f>
        <v>689796.38</v>
      </c>
      <c r="M64" s="78"/>
      <c r="N64" s="78"/>
      <c r="O64" s="81">
        <f>ROUND(O63*C64,2)</f>
        <v>4086713.97</v>
      </c>
      <c r="P64" s="63"/>
      <c r="Q64" s="83">
        <f t="shared" si="25"/>
        <v>4086713.9699999997</v>
      </c>
      <c r="R64" s="83">
        <f t="shared" si="1"/>
        <v>0</v>
      </c>
      <c r="S64" s="63"/>
      <c r="T64" s="63"/>
      <c r="U64" s="63"/>
      <c r="V64" s="63"/>
      <c r="W64" s="63"/>
      <c r="X64" s="63"/>
      <c r="Y64" s="63"/>
      <c r="Z64" s="83">
        <f t="shared" si="26"/>
        <v>4019718.67</v>
      </c>
      <c r="AA64" s="228">
        <f t="shared" si="27"/>
        <v>66995.300000000279</v>
      </c>
      <c r="AB64" s="64"/>
    </row>
    <row r="65" spans="1:28" s="65" customFormat="1" x14ac:dyDescent="0.3">
      <c r="A65" s="78"/>
      <c r="B65" s="79" t="s">
        <v>113</v>
      </c>
      <c r="C65" s="207">
        <v>0.98360655738000002</v>
      </c>
      <c r="D65" s="208"/>
      <c r="E65" s="78"/>
      <c r="F65" s="80">
        <f>ROUND(F64*C65,2)</f>
        <v>3850923.86</v>
      </c>
      <c r="G65" s="29"/>
      <c r="H65" s="29"/>
      <c r="I65" s="32">
        <f>ROUND(I64*C65,2)-0.01</f>
        <v>509693.43</v>
      </c>
      <c r="J65" s="35"/>
      <c r="K65" s="35"/>
      <c r="L65" s="33">
        <f>ROUND(L64*C65,2)</f>
        <v>678488.24</v>
      </c>
      <c r="M65" s="78"/>
      <c r="N65" s="78"/>
      <c r="O65" s="81">
        <f>ROUND(O64*C65,2)+0.01</f>
        <v>4019718.67</v>
      </c>
      <c r="P65" s="63"/>
      <c r="Q65" s="83">
        <f t="shared" si="25"/>
        <v>4019718.67</v>
      </c>
      <c r="R65" s="83">
        <f t="shared" si="1"/>
        <v>0</v>
      </c>
      <c r="S65" s="63"/>
      <c r="T65" s="63"/>
      <c r="U65" s="63"/>
      <c r="V65" s="63"/>
      <c r="W65" s="63"/>
      <c r="X65" s="63"/>
      <c r="Y65" s="63"/>
      <c r="Z65" s="83">
        <f t="shared" si="26"/>
        <v>884338.11</v>
      </c>
      <c r="AA65" s="228">
        <f t="shared" si="27"/>
        <v>3135380.56</v>
      </c>
      <c r="AB65" s="64"/>
    </row>
    <row r="66" spans="1:28" s="65" customFormat="1" x14ac:dyDescent="0.3">
      <c r="A66" s="78"/>
      <c r="B66" s="100" t="s">
        <v>114</v>
      </c>
      <c r="C66" s="100"/>
      <c r="D66" s="100"/>
      <c r="E66" s="100"/>
      <c r="F66" s="101">
        <f>ROUND(F65*0.22,2)</f>
        <v>847203.25</v>
      </c>
      <c r="G66" s="29"/>
      <c r="H66" s="29"/>
      <c r="I66" s="57">
        <f>ROUND(I65*0.22,2)</f>
        <v>112132.55</v>
      </c>
      <c r="J66" s="35"/>
      <c r="K66" s="35"/>
      <c r="L66" s="58">
        <f>ROUND(L65*0.22,2)</f>
        <v>149267.41</v>
      </c>
      <c r="M66" s="78"/>
      <c r="N66" s="78"/>
      <c r="O66" s="102">
        <f>ROUND(O65*0.22,2)</f>
        <v>884338.11</v>
      </c>
      <c r="P66" s="63"/>
      <c r="Q66" s="83">
        <f t="shared" si="25"/>
        <v>884338.11</v>
      </c>
      <c r="R66" s="83">
        <f t="shared" si="1"/>
        <v>0</v>
      </c>
      <c r="S66" s="63"/>
      <c r="T66" s="63"/>
      <c r="U66" s="63"/>
      <c r="V66" s="63"/>
      <c r="W66" s="63"/>
      <c r="X66" s="63"/>
      <c r="Y66" s="63"/>
      <c r="Z66" s="83">
        <f t="shared" si="26"/>
        <v>4904056.7799999993</v>
      </c>
      <c r="AA66" s="228">
        <f t="shared" si="27"/>
        <v>-4019718.6699999995</v>
      </c>
      <c r="AB66" s="64"/>
    </row>
    <row r="67" spans="1:28" s="65" customFormat="1" x14ac:dyDescent="0.3">
      <c r="A67" s="59"/>
      <c r="B67" s="60" t="s">
        <v>115</v>
      </c>
      <c r="C67" s="60"/>
      <c r="D67" s="60"/>
      <c r="E67" s="60"/>
      <c r="F67" s="61">
        <f>SUM(F65:F66)</f>
        <v>4698127.1099999994</v>
      </c>
      <c r="G67" s="29"/>
      <c r="H67" s="29"/>
      <c r="I67" s="57">
        <f>SUM(I65:I66)</f>
        <v>621825.98</v>
      </c>
      <c r="J67" s="35"/>
      <c r="K67" s="35"/>
      <c r="L67" s="58">
        <f>SUM(L65:L66)</f>
        <v>827755.65</v>
      </c>
      <c r="M67" s="59"/>
      <c r="N67" s="59"/>
      <c r="O67" s="62">
        <f>SUM(O65:O66)</f>
        <v>4904056.78</v>
      </c>
      <c r="P67" s="63"/>
      <c r="Q67" s="83">
        <f t="shared" si="25"/>
        <v>4904056.7799999993</v>
      </c>
      <c r="R67" s="83">
        <f t="shared" si="1"/>
        <v>0</v>
      </c>
      <c r="S67" s="63"/>
      <c r="T67" s="63"/>
      <c r="U67" s="63"/>
      <c r="V67" s="63"/>
      <c r="W67" s="63"/>
      <c r="X67" s="63"/>
      <c r="Y67" s="63"/>
      <c r="Z67" s="83">
        <f t="shared" si="26"/>
        <v>0</v>
      </c>
      <c r="AA67" s="64"/>
      <c r="AB67" s="64"/>
    </row>
    <row r="68" spans="1:28" s="65" customFormat="1" x14ac:dyDescent="0.3">
      <c r="A68" s="78"/>
      <c r="B68" s="100"/>
      <c r="C68" s="100"/>
      <c r="D68" s="100"/>
      <c r="E68" s="100"/>
      <c r="F68" s="101"/>
      <c r="G68" s="29"/>
      <c r="H68" s="29"/>
      <c r="I68" s="57"/>
      <c r="J68" s="35"/>
      <c r="K68" s="35"/>
      <c r="L68" s="58"/>
      <c r="M68" s="78"/>
      <c r="N68" s="78"/>
      <c r="O68" s="10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4"/>
      <c r="AB68" s="64"/>
    </row>
    <row r="69" spans="1:28" x14ac:dyDescent="0.3">
      <c r="A69" s="104"/>
      <c r="B69" s="105"/>
      <c r="C69" s="106"/>
      <c r="D69" s="106"/>
      <c r="E69" s="106"/>
      <c r="F69" s="107"/>
      <c r="G69" s="108"/>
      <c r="H69" s="108"/>
      <c r="I69" s="109"/>
      <c r="J69" s="110"/>
      <c r="K69" s="111"/>
      <c r="L69" s="9"/>
      <c r="M69" s="106"/>
      <c r="N69" s="112"/>
      <c r="O69" s="113"/>
    </row>
    <row r="70" spans="1:28" s="2" customFormat="1" ht="15.6" x14ac:dyDescent="0.3">
      <c r="A70" s="114"/>
      <c r="B70" s="79" t="s">
        <v>116</v>
      </c>
      <c r="C70" s="115"/>
      <c r="D70" s="116"/>
      <c r="E70" s="116"/>
      <c r="F70" s="117"/>
      <c r="G70" s="118"/>
      <c r="H70" s="119"/>
      <c r="I70" s="119"/>
      <c r="J70" s="120"/>
      <c r="K70" s="121" t="s">
        <v>117</v>
      </c>
      <c r="L70" s="122"/>
      <c r="M70" s="123"/>
      <c r="N70" s="117"/>
      <c r="O70" s="124"/>
      <c r="P70" s="6"/>
      <c r="Q70" s="6"/>
      <c r="R70" s="125"/>
      <c r="S70" s="126"/>
      <c r="T70" s="127"/>
      <c r="U70" s="128"/>
      <c r="V70" s="128"/>
      <c r="W70" s="6"/>
      <c r="X70" s="6"/>
      <c r="Y70" s="6"/>
      <c r="Z70" s="6"/>
      <c r="AA70" s="6"/>
    </row>
    <row r="71" spans="1:28" s="2" customFormat="1" ht="15.6" x14ac:dyDescent="0.3">
      <c r="A71" s="114"/>
      <c r="B71" s="115"/>
      <c r="C71" s="115"/>
      <c r="D71" s="116"/>
      <c r="E71" s="116"/>
      <c r="F71" s="117"/>
      <c r="G71" s="129"/>
      <c r="H71" s="119"/>
      <c r="I71" s="119"/>
      <c r="J71" s="120"/>
      <c r="K71" s="121"/>
      <c r="L71" s="122"/>
      <c r="M71" s="123"/>
      <c r="N71" s="117"/>
      <c r="O71" s="124"/>
      <c r="P71" s="6"/>
      <c r="Q71" s="6"/>
      <c r="R71" s="125"/>
      <c r="S71" s="126"/>
      <c r="T71" s="127"/>
      <c r="U71" s="128"/>
      <c r="V71" s="128"/>
      <c r="W71" s="6"/>
      <c r="X71" s="6"/>
      <c r="Y71" s="6"/>
      <c r="Z71" s="6"/>
      <c r="AA71" s="6"/>
    </row>
    <row r="72" spans="1:28" s="2" customFormat="1" ht="15.6" x14ac:dyDescent="0.3">
      <c r="A72" s="114"/>
      <c r="B72" s="130"/>
      <c r="C72" s="131" t="s">
        <v>118</v>
      </c>
      <c r="D72" s="132"/>
      <c r="E72" s="132"/>
      <c r="F72" s="133"/>
      <c r="G72" s="134"/>
      <c r="H72" s="119"/>
      <c r="I72" s="119"/>
      <c r="J72" s="120"/>
      <c r="K72" s="135"/>
      <c r="L72" s="136"/>
      <c r="M72" s="137"/>
      <c r="N72" s="117" t="s">
        <v>119</v>
      </c>
      <c r="O72" s="124"/>
      <c r="P72" s="6"/>
      <c r="Q72" s="6"/>
      <c r="R72" s="125"/>
      <c r="S72" s="126"/>
      <c r="T72" s="127"/>
      <c r="U72" s="128"/>
      <c r="V72" s="128"/>
      <c r="W72" s="6"/>
      <c r="X72" s="6"/>
      <c r="Y72" s="6"/>
      <c r="Z72" s="6"/>
      <c r="AA72" s="6"/>
    </row>
    <row r="73" spans="1:28" s="2" customFormat="1" ht="15.6" x14ac:dyDescent="0.3">
      <c r="A73" s="114"/>
      <c r="B73" s="115" t="s">
        <v>120</v>
      </c>
      <c r="C73" s="115"/>
      <c r="D73" s="132"/>
      <c r="E73" s="132"/>
      <c r="F73" s="138"/>
      <c r="G73" s="139"/>
      <c r="H73" s="140"/>
      <c r="I73" s="140"/>
      <c r="J73" s="120"/>
      <c r="K73" s="141" t="s">
        <v>120</v>
      </c>
      <c r="L73" s="142"/>
      <c r="M73" s="143"/>
      <c r="N73" s="138"/>
      <c r="O73" s="144"/>
      <c r="P73" s="6"/>
      <c r="Q73" s="6"/>
      <c r="R73" s="125"/>
      <c r="S73" s="126"/>
      <c r="T73" s="127"/>
      <c r="U73" s="128"/>
      <c r="V73" s="128"/>
      <c r="W73" s="6"/>
      <c r="X73" s="6"/>
      <c r="Y73" s="6"/>
      <c r="Z73" s="6"/>
      <c r="AA73" s="6"/>
    </row>
    <row r="74" spans="1:28" s="6" customFormat="1" x14ac:dyDescent="0.3">
      <c r="A74" s="104"/>
      <c r="B74" s="7"/>
      <c r="C74" s="145"/>
      <c r="D74" s="7"/>
      <c r="E74" s="7"/>
      <c r="F74" s="7"/>
      <c r="G74" s="146"/>
      <c r="H74" s="147"/>
      <c r="I74" s="147"/>
      <c r="J74" s="148"/>
      <c r="K74" s="149"/>
      <c r="L74" s="149"/>
      <c r="M74" s="150"/>
      <c r="N74" s="7"/>
      <c r="O74" s="151"/>
      <c r="AA74" s="2"/>
      <c r="AB74" s="2"/>
    </row>
    <row r="75" spans="1:28" s="6" customFormat="1" x14ac:dyDescent="0.25">
      <c r="A75" s="152"/>
      <c r="B75" s="115" t="s">
        <v>121</v>
      </c>
      <c r="C75" s="115"/>
      <c r="D75" s="115"/>
      <c r="E75" s="115"/>
      <c r="F75" s="115"/>
      <c r="G75" s="153"/>
      <c r="H75" s="153"/>
      <c r="I75" s="154"/>
      <c r="J75" s="148"/>
      <c r="K75" s="149"/>
      <c r="L75" s="149"/>
      <c r="M75" s="150"/>
      <c r="N75" s="7"/>
      <c r="O75" s="151"/>
      <c r="AA75" s="2"/>
      <c r="AB75" s="2"/>
    </row>
    <row r="76" spans="1:28" s="6" customFormat="1" x14ac:dyDescent="0.25">
      <c r="A76" s="152"/>
      <c r="B76" s="155"/>
      <c r="C76" s="156"/>
      <c r="D76" s="155"/>
      <c r="E76" s="155"/>
      <c r="F76" s="155"/>
      <c r="G76" s="157"/>
      <c r="H76" s="157"/>
      <c r="I76" s="158"/>
      <c r="J76" s="148"/>
      <c r="K76" s="149"/>
      <c r="L76" s="149"/>
      <c r="M76" s="150"/>
      <c r="N76" s="7"/>
      <c r="O76" s="159"/>
      <c r="AA76" s="2"/>
      <c r="AB76" s="2"/>
    </row>
    <row r="77" spans="1:28" s="6" customFormat="1" x14ac:dyDescent="0.25">
      <c r="A77" s="152"/>
      <c r="B77" s="115" t="s">
        <v>122</v>
      </c>
      <c r="C77" s="115"/>
      <c r="D77" s="115"/>
      <c r="E77" s="115"/>
      <c r="F77" s="115"/>
      <c r="G77" s="157"/>
      <c r="H77" s="157"/>
      <c r="I77" s="147"/>
      <c r="J77" s="148"/>
      <c r="K77" s="149"/>
      <c r="L77" s="149"/>
      <c r="M77" s="150"/>
      <c r="N77" s="7"/>
      <c r="O77" s="151"/>
      <c r="AA77" s="2"/>
      <c r="AB77" s="2"/>
    </row>
    <row r="78" spans="1:28" s="6" customFormat="1" x14ac:dyDescent="0.3">
      <c r="A78" s="152"/>
      <c r="B78" s="160"/>
      <c r="C78" s="160"/>
      <c r="D78" s="160"/>
      <c r="E78" s="160"/>
      <c r="F78" s="160"/>
      <c r="G78" s="161"/>
      <c r="H78" s="161"/>
      <c r="I78" s="147"/>
      <c r="J78" s="148"/>
      <c r="K78" s="149"/>
      <c r="L78" s="149"/>
      <c r="M78" s="150"/>
      <c r="N78" s="7"/>
      <c r="O78" s="151"/>
      <c r="AA78" s="2"/>
      <c r="AB78" s="2"/>
    </row>
    <row r="81" spans="1:28" s="6" customFormat="1" x14ac:dyDescent="0.3">
      <c r="A81" s="152"/>
      <c r="B81" s="7"/>
      <c r="C81" s="7"/>
      <c r="D81" s="7"/>
      <c r="E81" s="7"/>
      <c r="F81" s="150"/>
      <c r="G81" s="147"/>
      <c r="H81" s="147"/>
      <c r="I81" s="162"/>
      <c r="J81" s="149"/>
      <c r="K81" s="149"/>
      <c r="L81" s="165"/>
      <c r="M81" s="7"/>
      <c r="N81" s="7"/>
      <c r="O81" s="164"/>
      <c r="AA81" s="2"/>
      <c r="AB81" s="2"/>
    </row>
    <row r="82" spans="1:28" x14ac:dyDescent="0.3">
      <c r="G82" s="162"/>
    </row>
    <row r="83" spans="1:28" s="6" customFormat="1" x14ac:dyDescent="0.3">
      <c r="A83" s="152"/>
      <c r="B83" s="7"/>
      <c r="C83" s="7"/>
      <c r="D83" s="7"/>
      <c r="E83" s="7"/>
      <c r="F83" s="150"/>
      <c r="G83" s="147"/>
      <c r="H83" s="209"/>
      <c r="I83" s="209"/>
      <c r="J83" s="149"/>
      <c r="K83" s="149"/>
      <c r="L83" s="163"/>
      <c r="M83" s="7"/>
      <c r="N83" s="7"/>
      <c r="O83" s="164"/>
      <c r="AA83" s="2"/>
      <c r="AB83" s="2"/>
    </row>
    <row r="84" spans="1:28" s="6" customFormat="1" x14ac:dyDescent="0.3">
      <c r="A84" s="152"/>
      <c r="B84" s="7"/>
      <c r="C84" s="7"/>
      <c r="D84" s="7"/>
      <c r="E84" s="7"/>
      <c r="F84" s="150"/>
      <c r="G84" s="147"/>
      <c r="H84" s="147"/>
      <c r="I84" s="162"/>
      <c r="J84" s="149"/>
      <c r="K84" s="149"/>
      <c r="L84" s="163"/>
      <c r="M84" s="7"/>
      <c r="N84" s="7"/>
      <c r="O84" s="164"/>
      <c r="AA84" s="2"/>
      <c r="AB84" s="2"/>
    </row>
    <row r="85" spans="1:28" s="6" customFormat="1" x14ac:dyDescent="0.3">
      <c r="A85" s="152"/>
      <c r="B85" s="7"/>
      <c r="C85" s="7"/>
      <c r="D85" s="7"/>
      <c r="E85" s="7"/>
      <c r="F85" s="150"/>
      <c r="G85" s="147"/>
      <c r="H85" s="147"/>
      <c r="I85" s="162"/>
      <c r="J85" s="149"/>
      <c r="K85" s="149"/>
      <c r="L85" s="163"/>
      <c r="M85" s="7"/>
      <c r="N85" s="7"/>
      <c r="O85" s="164"/>
      <c r="AA85" s="2"/>
      <c r="AB85" s="2"/>
    </row>
  </sheetData>
  <mergeCells count="19">
    <mergeCell ref="A7:O7"/>
    <mergeCell ref="A8:O8"/>
    <mergeCell ref="A17:O17"/>
    <mergeCell ref="J1:O1"/>
    <mergeCell ref="A3:O3"/>
    <mergeCell ref="A4:A5"/>
    <mergeCell ref="B4:B5"/>
    <mergeCell ref="C4:C5"/>
    <mergeCell ref="D4:F4"/>
    <mergeCell ref="G4:I4"/>
    <mergeCell ref="J4:L4"/>
    <mergeCell ref="M4:O4"/>
    <mergeCell ref="C65:D65"/>
    <mergeCell ref="H83:I83"/>
    <mergeCell ref="A25:O25"/>
    <mergeCell ref="A44:O44"/>
    <mergeCell ref="A47:A48"/>
    <mergeCell ref="B47:B48"/>
    <mergeCell ref="A55:C55"/>
  </mergeCells>
  <pageMargins left="0.7" right="0.7" top="0.75" bottom="0.75" header="0.3" footer="0.3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2026-09-10T11:35:15Z</dcterms:modified>
</cp:coreProperties>
</file>