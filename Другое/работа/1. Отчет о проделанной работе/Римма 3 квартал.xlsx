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PROG\Git\Repository_1\Другое\работа\1. Отчет о проделанной работе\"/>
    </mc:Choice>
  </mc:AlternateContent>
  <bookViews>
    <workbookView xWindow="0" yWindow="0" windowWidth="13530" windowHeight="11625"/>
  </bookViews>
  <sheets>
    <sheet name="сентябрь" sheetId="1" r:id="rId1"/>
    <sheet name="третий квартал" sheetId="2" r:id="rId2"/>
    <sheet name="9 месяцев" sheetId="3" r:id="rId3"/>
  </sheets>
  <definedNames>
    <definedName name="_xlnm.Print_Area" localSheetId="2">'9 месяцев'!$E$1:$I$56</definedName>
    <definedName name="_xlnm.Print_Area" localSheetId="0">сентябрь!$E$1:$I$46</definedName>
    <definedName name="_xlnm.Print_Area" localSheetId="1">'третий квартал'!$E$1:$I$48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1" i="1" l="1"/>
  <c r="G28" i="1"/>
  <c r="G16" i="3" l="1"/>
  <c r="G17" i="3" s="1"/>
  <c r="G18" i="3"/>
  <c r="G18" i="2"/>
  <c r="J39" i="1"/>
  <c r="G50" i="3" l="1"/>
  <c r="G49" i="3"/>
  <c r="J49" i="3" s="1"/>
  <c r="J48" i="3"/>
  <c r="J47" i="3"/>
  <c r="J46" i="3"/>
  <c r="J45" i="3"/>
  <c r="J44" i="3"/>
  <c r="J43" i="3"/>
  <c r="J42" i="3"/>
  <c r="J41" i="3"/>
  <c r="J40" i="3"/>
  <c r="H39" i="3"/>
  <c r="J39" i="3" s="1"/>
  <c r="H38" i="3"/>
  <c r="J38" i="3" s="1"/>
  <c r="J37" i="3"/>
  <c r="J36" i="3"/>
  <c r="J35" i="3"/>
  <c r="J34" i="3"/>
  <c r="G28" i="3"/>
  <c r="G43" i="2"/>
  <c r="J42" i="2"/>
  <c r="J41" i="2"/>
  <c r="H39" i="2"/>
  <c r="J37" i="2"/>
  <c r="J36" i="2"/>
  <c r="J35" i="2"/>
  <c r="J34" i="2"/>
  <c r="G28" i="2"/>
  <c r="G41" i="1"/>
  <c r="G18" i="1" s="1"/>
  <c r="J40" i="1"/>
  <c r="J38" i="1"/>
  <c r="J37" i="1"/>
  <c r="J36" i="1"/>
  <c r="J35" i="1"/>
  <c r="J34" i="1"/>
  <c r="J39" i="2" l="1"/>
  <c r="G16" i="2"/>
  <c r="G17" i="2" s="1"/>
  <c r="G19" i="2" s="1"/>
  <c r="F6" i="2" s="1"/>
  <c r="G27" i="3"/>
  <c r="G29" i="3" s="1"/>
  <c r="F7" i="3" s="1"/>
  <c r="G16" i="1"/>
  <c r="G19" i="3"/>
  <c r="F6" i="3" s="1"/>
  <c r="J38" i="2"/>
  <c r="G17" i="1" l="1"/>
  <c r="G19" i="1" s="1"/>
  <c r="F6" i="1" s="1"/>
  <c r="J43" i="2"/>
  <c r="G27" i="2" s="1"/>
  <c r="G29" i="2" s="1"/>
  <c r="F7" i="2" s="1"/>
  <c r="G27" i="1"/>
  <c r="G29" i="1" s="1"/>
  <c r="F7" i="1" l="1"/>
</calcChain>
</file>

<file path=xl/sharedStrings.xml><?xml version="1.0" encoding="utf-8"?>
<sst xmlns="http://schemas.openxmlformats.org/spreadsheetml/2006/main" count="149" uniqueCount="75">
  <si>
    <t>Отчет о проделанной работе (ежемесячный)</t>
  </si>
  <si>
    <t>Должность:</t>
  </si>
  <si>
    <t>Ведущий инженер отдела
ценообразования контрактов и торгов</t>
  </si>
  <si>
    <t>ФИО:</t>
  </si>
  <si>
    <t>Жарова Римма Фаргатовна</t>
  </si>
  <si>
    <t>Период:</t>
  </si>
  <si>
    <t>Показатели KPI:</t>
  </si>
  <si>
    <t>Расчет и обоснование показателей KPI</t>
  </si>
  <si>
    <t>1. Произовдительность труда</t>
  </si>
  <si>
    <t>Обоснование показателя:</t>
  </si>
  <si>
    <t>Методика расчета производительности строится на определении фактической трудоемкости одной задачи (на основе хронометража). Утвержденная трудоемкость служит базой для расчета плановой дневной нормы выработки. По итогам отчетного периода фиксируется фактическое среднедневное количество выполненных задач. Итоговый показатель эффективности (Индекс продуктивности) рассчитывается как отношение фактической выработки к плановой норме за аналогичный период</t>
  </si>
  <si>
    <t>№</t>
  </si>
  <si>
    <t>Показатель</t>
  </si>
  <si>
    <t>Значение</t>
  </si>
  <si>
    <t>Количество рабочих дней за отчетный период</t>
  </si>
  <si>
    <r>
      <rPr>
        <b/>
        <sz val="14"/>
        <color theme="1"/>
        <rFont val="Times New Roman"/>
      </rPr>
      <t>Хронометраж</t>
    </r>
    <r>
      <rPr>
        <sz val="14"/>
        <color theme="1"/>
        <rFont val="Times New Roman"/>
      </rPr>
      <t xml:space="preserve"> </t>
    </r>
    <r>
      <rPr>
        <i/>
        <sz val="14"/>
        <color theme="1"/>
        <rFont val="Times New Roman"/>
      </rPr>
      <t>(Среднее время выполнения 1-ой задачи), ч</t>
    </r>
  </si>
  <si>
    <r>
      <rPr>
        <b/>
        <sz val="14"/>
        <color theme="1"/>
        <rFont val="Times New Roman"/>
      </rPr>
      <t>Норма выработки</t>
    </r>
    <r>
      <rPr>
        <sz val="14"/>
        <color theme="1"/>
        <rFont val="Times New Roman"/>
      </rPr>
      <t xml:space="preserve"> </t>
    </r>
    <r>
      <rPr>
        <i/>
        <sz val="14"/>
        <color theme="1"/>
        <rFont val="Times New Roman"/>
      </rPr>
      <t>(Плановое кол.во задач в день)</t>
    </r>
  </si>
  <si>
    <r>
      <rPr>
        <b/>
        <sz val="14"/>
        <color theme="1"/>
        <rFont val="Times New Roman"/>
      </rPr>
      <t>Отчетный показатель</t>
    </r>
    <r>
      <rPr>
        <sz val="14"/>
        <color theme="1"/>
        <rFont val="Times New Roman"/>
      </rPr>
      <t xml:space="preserve"> </t>
    </r>
    <r>
      <rPr>
        <i/>
        <sz val="14"/>
        <color theme="1"/>
        <rFont val="Times New Roman"/>
      </rPr>
      <t>(Среднее кол.во задач в день по факту)</t>
    </r>
  </si>
  <si>
    <t>Индекс произоводительности труда:</t>
  </si>
  <si>
    <t>2. Интенсивность труда</t>
  </si>
  <si>
    <t>Методика расчета интенсивноси труда базируется на принципе учета чистого операционного времени, очищенного от регламентированных перерывов и организационных потерь. За базовый норматив принимается 8-часовой рабочий день, из которого вычитаются социально-обоснованные паузы (подготовка рабочего места, отдых, технические перерывы). Полученный показатель позволяет оценить реальную вовлеченность сотрудника в производственный процесс без искажения данных за счет неизбежных в любой деятельности пауз. Данный подход исключает штрафы за физическое отсутствие и фокусируется на продуктивности в чистом виде</t>
  </si>
  <si>
    <r>
      <rPr>
        <b/>
        <sz val="14"/>
        <color theme="1"/>
        <rFont val="Times New Roman"/>
      </rPr>
      <t>Оперативное время</t>
    </r>
    <r>
      <rPr>
        <sz val="14"/>
        <color theme="1"/>
        <rFont val="Times New Roman"/>
      </rPr>
      <t xml:space="preserve"> </t>
    </r>
    <r>
      <rPr>
        <i/>
        <sz val="14"/>
        <color theme="1"/>
        <rFont val="Times New Roman"/>
      </rPr>
      <t>(Общее количество часов, потраченное на решение задач), ч</t>
    </r>
  </si>
  <si>
    <r>
      <rPr>
        <b/>
        <sz val="14"/>
        <color theme="1"/>
        <rFont val="Times New Roman"/>
      </rPr>
      <t>Нормтивный показатель</t>
    </r>
    <r>
      <rPr>
        <sz val="14"/>
        <color theme="1"/>
        <rFont val="Times New Roman"/>
      </rPr>
      <t xml:space="preserve"> </t>
    </r>
    <r>
      <rPr>
        <i/>
        <sz val="14"/>
        <color theme="1"/>
        <rFont val="Times New Roman"/>
      </rPr>
      <t>(Нормативное кол.во часов день, исходя из 8-часового рабочего дня и социаольно обоснованных издрежек)</t>
    </r>
  </si>
  <si>
    <r>
      <t xml:space="preserve">Индекс интенсивности труда </t>
    </r>
    <r>
      <rPr>
        <b/>
        <i/>
        <sz val="14"/>
        <color theme="1"/>
        <rFont val="Times New Roman"/>
      </rPr>
      <t>((Факт / План) * 100)</t>
    </r>
    <r>
      <rPr>
        <b/>
        <sz val="14"/>
        <color theme="1"/>
        <rFont val="Times New Roman"/>
      </rPr>
      <t>:</t>
    </r>
  </si>
  <si>
    <t>Перечень выполненных задач за отчетный период</t>
  </si>
  <si>
    <t>Наименование показателя / задачи</t>
  </si>
  <si>
    <t>Количество</t>
  </si>
  <si>
    <t>Среднее время единицы работы, ч.</t>
  </si>
  <si>
    <t xml:space="preserve">Подготовка проектов государственных контрактов </t>
  </si>
  <si>
    <t>Сбор данных и подготовка документов, необходимых для отражения позиции заказчика при рассмотрении 5 жалоб в ФАС, а также сопровождение процедуры подтверждения исполнения полученных предписаний ФАС.</t>
  </si>
  <si>
    <t xml:space="preserve">Обоснование позиции по согласовании. Заказчиком состава асфальтобетонных смесей  ввиду отсутствия предоставления данного обоснования от  производственного отдела </t>
  </si>
  <si>
    <t>Итого</t>
  </si>
  <si>
    <t>Выводы о проделанной работе на основании показателй KPI:</t>
  </si>
  <si>
    <t>Жарова Р.Ф. ___________________________</t>
  </si>
  <si>
    <t>Отчет о проделанной работе (квартальный)</t>
  </si>
  <si>
    <r>
      <rPr>
        <b/>
        <sz val="14"/>
        <color theme="1"/>
        <rFont val="Times New Roman"/>
      </rPr>
      <t>Хронометраж</t>
    </r>
    <r>
      <rPr>
        <sz val="14"/>
        <color theme="1"/>
        <rFont val="Times New Roman"/>
      </rPr>
      <t xml:space="preserve"> </t>
    </r>
    <r>
      <rPr>
        <i/>
        <sz val="14"/>
        <color theme="1"/>
        <rFont val="Times New Roman"/>
      </rPr>
      <t>(Среднее время выполнения 1-ой задачи), ч</t>
    </r>
  </si>
  <si>
    <r>
      <rPr>
        <b/>
        <sz val="14"/>
        <color theme="1"/>
        <rFont val="Times New Roman"/>
      </rPr>
      <t>Норма выработки</t>
    </r>
    <r>
      <rPr>
        <sz val="14"/>
        <color theme="1"/>
        <rFont val="Times New Roman"/>
      </rPr>
      <t xml:space="preserve"> </t>
    </r>
    <r>
      <rPr>
        <i/>
        <sz val="14"/>
        <color theme="1"/>
        <rFont val="Times New Roman"/>
      </rPr>
      <t>(Плановое кол.во задач в день)</t>
    </r>
  </si>
  <si>
    <r>
      <rPr>
        <b/>
        <sz val="14"/>
        <color theme="1"/>
        <rFont val="Times New Roman"/>
      </rPr>
      <t>Отчетный показатель</t>
    </r>
    <r>
      <rPr>
        <sz val="14"/>
        <color theme="1"/>
        <rFont val="Times New Roman"/>
      </rPr>
      <t xml:space="preserve"> </t>
    </r>
    <r>
      <rPr>
        <i/>
        <sz val="14"/>
        <color theme="1"/>
        <rFont val="Times New Roman"/>
      </rPr>
      <t>(Среднее кол.во задач в день по факту)</t>
    </r>
  </si>
  <si>
    <r>
      <rPr>
        <b/>
        <sz val="14"/>
        <color theme="1"/>
        <rFont val="Times New Roman"/>
      </rPr>
      <t>Оперативное время</t>
    </r>
    <r>
      <rPr>
        <sz val="14"/>
        <color theme="1"/>
        <rFont val="Times New Roman"/>
      </rPr>
      <t xml:space="preserve"> </t>
    </r>
    <r>
      <rPr>
        <i/>
        <sz val="14"/>
        <color theme="1"/>
        <rFont val="Times New Roman"/>
      </rPr>
      <t>(Общее количество часов, потраченное на решение задач), ч</t>
    </r>
  </si>
  <si>
    <r>
      <rPr>
        <b/>
        <sz val="14"/>
        <color theme="1"/>
        <rFont val="Times New Roman"/>
      </rPr>
      <t>Нормтивный показатель</t>
    </r>
    <r>
      <rPr>
        <sz val="14"/>
        <color theme="1"/>
        <rFont val="Times New Roman"/>
      </rPr>
      <t xml:space="preserve"> </t>
    </r>
    <r>
      <rPr>
        <i/>
        <sz val="14"/>
        <color theme="1"/>
        <rFont val="Times New Roman"/>
      </rPr>
      <t>(Нормативное кол.во часов день, исходя из 8-часового рабочего дня и социаольно обоснованных издрежек)</t>
    </r>
  </si>
  <si>
    <r>
      <t xml:space="preserve">Индекс интенсивности труда </t>
    </r>
    <r>
      <rPr>
        <b/>
        <i/>
        <sz val="14"/>
        <color theme="1"/>
        <rFont val="Times New Roman"/>
      </rPr>
      <t>((Факт / План) * 100)</t>
    </r>
    <r>
      <rPr>
        <b/>
        <sz val="14"/>
        <color theme="1"/>
        <rFont val="Times New Roman"/>
      </rPr>
      <t>:</t>
    </r>
  </si>
  <si>
    <t>Ведение договоров с арендаторами в административном здании, расположенным по адресу: г. Тверь, ул. Желябова, д. 21.</t>
  </si>
  <si>
    <t>Подготовка (сбор) и предоставления документов, запрашиваемых по проверкам Росдортехнологии, Счётной палаты РФ</t>
  </si>
  <si>
    <t xml:space="preserve">Консультации работникам юридического отдела (подбор нормативной базы и практики судов и ФАС) о правилах направления уведомления об одностороннем расторжении контракта с единственном поставщиком, в случае заключения контракта на бумажном носителе и определении органа для направления сведений в РНП. </t>
  </si>
  <si>
    <t>Проработка вопроса по публичным сервитутам, в части написания обращения в МИЗО по оплате и вопроса об определении понятия заявителя и уполномоченного орган по установлению публичного сервитута в соответствии с Земельным кодексом РФ</t>
  </si>
  <si>
    <t>Участие в проводимых инвентаризациях</t>
  </si>
  <si>
    <t>Отчет о проделанной работе (полугодовой)</t>
  </si>
  <si>
    <r>
      <rPr>
        <b/>
        <sz val="14"/>
        <color theme="1"/>
        <rFont val="Times New Roman"/>
      </rPr>
      <t>Хронометраж</t>
    </r>
    <r>
      <rPr>
        <sz val="14"/>
        <color theme="1"/>
        <rFont val="Times New Roman"/>
      </rPr>
      <t xml:space="preserve"> </t>
    </r>
    <r>
      <rPr>
        <i/>
        <sz val="14"/>
        <color theme="1"/>
        <rFont val="Times New Roman"/>
      </rPr>
      <t>(Среднее время выполнения 1-ой задачи), ч</t>
    </r>
  </si>
  <si>
    <r>
      <rPr>
        <b/>
        <sz val="14"/>
        <color theme="1"/>
        <rFont val="Times New Roman"/>
      </rPr>
      <t>Норма выработки</t>
    </r>
    <r>
      <rPr>
        <sz val="14"/>
        <color theme="1"/>
        <rFont val="Times New Roman"/>
      </rPr>
      <t xml:space="preserve"> </t>
    </r>
    <r>
      <rPr>
        <i/>
        <sz val="14"/>
        <color theme="1"/>
        <rFont val="Times New Roman"/>
      </rPr>
      <t>(Плановое кол.во задач в день)</t>
    </r>
  </si>
  <si>
    <r>
      <rPr>
        <b/>
        <sz val="14"/>
        <color theme="1"/>
        <rFont val="Times New Roman"/>
      </rPr>
      <t>Отчетный показатель</t>
    </r>
    <r>
      <rPr>
        <sz val="14"/>
        <color theme="1"/>
        <rFont val="Times New Roman"/>
      </rPr>
      <t xml:space="preserve"> </t>
    </r>
    <r>
      <rPr>
        <i/>
        <sz val="14"/>
        <color theme="1"/>
        <rFont val="Times New Roman"/>
      </rPr>
      <t>(Среднее кол.во задач в день по факту)</t>
    </r>
  </si>
  <si>
    <r>
      <rPr>
        <b/>
        <sz val="14"/>
        <color theme="1"/>
        <rFont val="Times New Roman"/>
      </rPr>
      <t>Оперативное время</t>
    </r>
    <r>
      <rPr>
        <sz val="14"/>
        <color theme="1"/>
        <rFont val="Times New Roman"/>
      </rPr>
      <t xml:space="preserve"> </t>
    </r>
    <r>
      <rPr>
        <i/>
        <sz val="14"/>
        <color theme="1"/>
        <rFont val="Times New Roman"/>
      </rPr>
      <t>(Общее количество часов, потраченное на решение задач), ч</t>
    </r>
  </si>
  <si>
    <r>
      <rPr>
        <b/>
        <sz val="14"/>
        <color theme="1"/>
        <rFont val="Times New Roman"/>
      </rPr>
      <t>Нормтивный показатель</t>
    </r>
    <r>
      <rPr>
        <sz val="14"/>
        <color theme="1"/>
        <rFont val="Times New Roman"/>
      </rPr>
      <t xml:space="preserve"> </t>
    </r>
    <r>
      <rPr>
        <i/>
        <sz val="14"/>
        <color theme="1"/>
        <rFont val="Times New Roman"/>
      </rPr>
      <t>(Нормативное кол.во часов день, исходя из 8-часового рабочего дня и социаольно обоснованных издрежек)</t>
    </r>
  </si>
  <si>
    <r>
      <t xml:space="preserve">Индекс интенсивности труда </t>
    </r>
    <r>
      <rPr>
        <b/>
        <i/>
        <sz val="14"/>
        <color theme="1"/>
        <rFont val="Times New Roman"/>
      </rPr>
      <t>((Факт / План) * 100)</t>
    </r>
    <r>
      <rPr>
        <b/>
        <sz val="14"/>
        <color theme="1"/>
        <rFont val="Times New Roman"/>
      </rPr>
      <t>:</t>
    </r>
  </si>
  <si>
    <t>Подготовлены служебных записок по государственным контрактам для направления претензий подрядчикам.</t>
  </si>
  <si>
    <t>Выполнение дополнительного функционала, на время отсутствия работника юридического отдела: внесение предложений и правок в технические задания (39) к контрактам, в т.ч. с исправлением орфографических ошибок, удаление ссылок на недействующие правовые акты, подготовка претензий по государственным контрактам (17); изучение претензий поступающих от контрагентов с последующим предложение по решению вопросов изложенных в претензиях и/или подготовка ответов на них; подготовка предложений по внесению изменений в правовые акты, по запросу органов государственной власти</t>
  </si>
  <si>
    <t>Анализируя итоги первого полугодия в контексте полугодовой динамики, хочу отметить, что этот период стал для меня одним из самых интенсивных и содержательных с точки зрения профессиональной нагрузки. Специфика поступавших задач требовала не просто оперативного реагирования, а серьезного аналитического погружения — каждая из них занимала в среднем более 10 часов сосредоточенной работы. Это не рутинные операции, а сложные, многоступенчатые проекты, требующие глубокой проработки данных, межфункционального взаимодействия и высокой степени ответственности за конечный результат.
Несмотря на столь высокую ресурсоемкость и максимально уплотненный график, мне удалось не только удержать все процессы под контролем, но и выйти на показатели, существенно превышающие плановые значения. Продуктивность составила 240,0% от норматива — это на 140,0% выше утвержденного плана. При этом уровень операционной вовлеченности достиг 199,88%, превысив базовый ориентир на 99,88%. Такие цифры — не случайность, а закономерный итог выстроенной системы работы: я четко расставляла приоритеты, оперативно адаптировалась к изменяющимся вводным, исключала нецелевые затраты времени и удерживала концентрацию на протяжении всего рабочего дня.
Особого внимания заслуживает тот факт, что высокий показатель интенсивности (199,88%) напрямую коррелирует со сложностью и трудоемкостью решаемых задач. Погружение в каждую из них требовало значительных временных затрат — более 10 часов в среднем, что в несколько раз превышает нормативную трудоемкость стандартных операций. Это подтверждает, что я работала не с поверхностными, а с глубинными задачами, требующими экспертного подхода. И тот факт, что при такой нагрузке мне удалось перекрыть плановые показатели по продуктивности на 140,0%, говорит о высоком уровне самоорганизации и эффективности.
Все поставленные задачи были закрыты в установленные сроки, без единого нарушения дедлайнов, качество выполнения подтверждено отсутствием замечаний со стороны руководства и смежных подразделений. Достигнутые результаты за полугодие подтверждают мою способность системно решать сложные, ресурсоемкие задачи в условиях высокой загрузки, сохраняя при этом высокую производительность и качество работы. Я намерена удерживать достигнутый уровень эффективности и в следующем полугодии, продолжая совершенствовать подходы к организации труда и распределению ресурсов.</t>
  </si>
  <si>
    <t>с 01 сентября  по 30 сентября (22 рабочих дней)</t>
  </si>
  <si>
    <t xml:space="preserve">Подготовке текста в проекты контрактов на выполнение работ по ремонту дорого в части обязанности согласования с заказчиком установления знаков о выполняемых работах </t>
  </si>
  <si>
    <t xml:space="preserve">подготовка текстов, в целях исключения рисков привлечения к административно ответственности с наложением штрафных санкций со стороны ФАС </t>
  </si>
  <si>
    <t>занесение сведений в реестр СМП, с разнесением поступивших документво по папкам</t>
  </si>
  <si>
    <t>письма подрядчикам с запросам не предсталенных документов по расчётам с субподрядчиками из числа СМП</t>
  </si>
  <si>
    <t>занесение в реестр субподрядчиков сведений о заключённых государственных контрактам, о привлечённых субподрядчиках, расчётах с ними.</t>
  </si>
  <si>
    <t>подготовка служебных записок для дальнейшей претензионной работы по выявленным нарушениями государственных контрактов в части, касающейся предоставления, предусмотренных контрактами документов</t>
  </si>
  <si>
    <t>Сбор данных и подготовка ответа для УФК по Тверской области, по ранее выявленным нарушениям по госдарственномк онтракту № 1-1</t>
  </si>
  <si>
    <t>3-ий квартал 2026 года (48 рабочих дня)</t>
  </si>
  <si>
    <t>9 -ть месяцев 2026 года (165 рабочих дня)</t>
  </si>
  <si>
    <t>подготовка замечаний к протоколам технических совещаний</t>
  </si>
  <si>
    <t xml:space="preserve">подготовка писем в различные органы госудасртвенной власти  Тверской области </t>
  </si>
  <si>
    <t xml:space="preserve">Подготовка ответов и\или предоставленияе документов, запрашиваемых органами власти Тверской области, связанными с предоставлением данных подрядчикам и субподрядчикам </t>
  </si>
  <si>
    <t>ведение  реестра субподрядчиков: занесение  сведений о заключённых государственных контрактам, о привлечённых субподрядчиках, расчётах с ними.</t>
  </si>
  <si>
    <t xml:space="preserve">подготовка и направление писем субподрядчикам с напоминаниями о надлежащем выполнении обязанностей по контрактам и\или предоставлении необходимых документов и\или информации </t>
  </si>
  <si>
    <t xml:space="preserve">участие в заседаниях Фас по жалобам </t>
  </si>
  <si>
    <t xml:space="preserve">
подготовка замечаний к протоколам технических совещаний</t>
  </si>
  <si>
    <t>2-ой квартал потребовал максимального погружения в каждую задачу — их сложность не позволяла работать поверхностно, каждая требовала около 10 часов (в среднем) сосредоточенного анализа и проработки. Несмотря на высокую ресурсоемкость и плотный график, я успешно закрыла весь объем и вышла на показатели выше плановых: продуктивность — 200,0% (прирост 100,0%), вовлеченность (загруженность в течение дня) — 215,31% (превышение норматива на 215,31%). Такой результат стал возможен благодаря системной концентрации на ключевых направлениях, быстрой адаптации к изменяющимся условиям и жесткому соблюдению дедлайнов. Достигнутые цифры подтверждают, что я способна глубоко погружаться в сложные задачи и доводить их до результата даже при высокой загрузке.</t>
  </si>
  <si>
    <t>Отчетный период прошел в режиме повышенной нагрузки: передо мной стояли задачи повышенной сложности, требующие глубокой проработки и значительных временных затрат — в среднем около 6 часов на одну задачу. Несмотря на высокую трудоемкость и плотный график, мне удалось успешно справиться со всем объемом и выйти на результаты выше плановых: продуктивность — 113,76% (перевыполнение на 13,76%), вовлеченность (интенсивность) — 140,75% (превышение норматива на 40,75%). Столь высокие показатели стали возможны благодаря максимальной концентрации на приоритетах, оперативному реагированию на запросы и четкому соблюдению всех сроков. Полученные результаты подтверждают мою способность эффективно решать сложные задачи в условиях высокой загрузки.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</si>
</sst>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1" x14ac:knownFonts="1">
    <font>
      <sz val="11"/>
      <name val="Calibri"/>
    </font>
    <font>
      <sz val="11"/>
      <color theme="1"/>
      <name val="Calibri"/>
      <scheme val="minor"/>
    </font>
    <font>
      <b/>
      <sz val="18"/>
      <color theme="1"/>
      <name val="Times New Roman"/>
    </font>
    <font>
      <b/>
      <sz val="14"/>
      <color theme="1"/>
      <name val="Times New Roman"/>
    </font>
    <font>
      <sz val="14"/>
      <color theme="1"/>
      <name val="Times New Roman"/>
    </font>
    <font>
      <sz val="12"/>
      <color theme="1"/>
      <name val="Times New Roman"/>
    </font>
    <font>
      <b/>
      <u/>
      <sz val="16"/>
      <color theme="1"/>
      <name val="Times New Roman"/>
    </font>
    <font>
      <i/>
      <sz val="14"/>
      <color theme="1"/>
      <name val="Times New Roman"/>
    </font>
    <font>
      <b/>
      <sz val="12"/>
      <color theme="1"/>
      <name val="Times New Roman"/>
    </font>
    <font>
      <b/>
      <i/>
      <sz val="12"/>
      <color theme="1"/>
      <name val="Times New Roman"/>
    </font>
    <font>
      <b/>
      <i/>
      <sz val="14"/>
      <color theme="1"/>
      <name val="Times New Roman"/>
    </font>
  </fonts>
  <fills count="5">
    <fill>
      <patternFill patternType="none"/>
    </fill>
    <fill>
      <patternFill patternType="gray125"/>
    </fill>
    <fill>
      <patternFill patternType="solid">
        <fgColor theme="1" tint="0.34998626667073579"/>
        <bgColor indexed="65"/>
      </patternFill>
    </fill>
    <fill>
      <patternFill patternType="solid">
        <fgColor theme="0" tint="-0.14996795556505021"/>
        <bgColor indexed="65"/>
      </patternFill>
    </fill>
    <fill>
      <patternFill patternType="solid">
        <fgColor theme="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applyFont="0" applyFill="0" applyBorder="0"/>
  </cellStyleXfs>
  <cellXfs count="47">
    <xf numFmtId="0" fontId="1" fillId="0" borderId="0" xfId="0" applyFont="1"/>
    <xf numFmtId="0" fontId="1" fillId="2" borderId="0" xfId="0" applyFont="1" applyFill="1"/>
    <xf numFmtId="0" fontId="3" fillId="0" borderId="0" xfId="0" applyFont="1" applyAlignment="1">
      <alignment horizontal="left" vertical="center"/>
    </xf>
    <xf numFmtId="0" fontId="5" fillId="0" borderId="0" xfId="0" applyFont="1"/>
    <xf numFmtId="0" fontId="4" fillId="0" borderId="0" xfId="0" applyFont="1" applyAlignment="1">
      <alignment vertical="center" wrapText="1"/>
    </xf>
    <xf numFmtId="49" fontId="4" fillId="0" borderId="0" xfId="0" applyNumberFormat="1" applyFont="1" applyAlignment="1">
      <alignment vertical="center" wrapText="1"/>
    </xf>
    <xf numFmtId="0" fontId="3" fillId="0" borderId="0" xfId="0" applyFont="1" applyAlignment="1">
      <alignment horizontal="left"/>
    </xf>
    <xf numFmtId="0" fontId="4" fillId="0" borderId="0" xfId="0" applyFont="1" applyAlignment="1">
      <alignment horizontal="left"/>
    </xf>
    <xf numFmtId="0" fontId="3"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right" vertical="center"/>
    </xf>
    <xf numFmtId="0" fontId="4" fillId="0" borderId="1" xfId="0" applyFont="1" applyBorder="1" applyAlignment="1">
      <alignment horizontal="left" vertical="center" wrapText="1"/>
    </xf>
    <xf numFmtId="0" fontId="3" fillId="0" borderId="1" xfId="0" applyFont="1" applyBorder="1" applyAlignment="1">
      <alignment horizontal="left" vertical="center"/>
    </xf>
    <xf numFmtId="10" fontId="3" fillId="0" borderId="1" xfId="0" applyNumberFormat="1" applyFont="1" applyBorder="1" applyAlignment="1">
      <alignment horizontal="right" vertical="center"/>
    </xf>
    <xf numFmtId="0" fontId="3" fillId="0" borderId="0" xfId="0" applyFont="1" applyAlignment="1">
      <alignment horizontal="center" vertical="center"/>
    </xf>
    <xf numFmtId="10" fontId="3" fillId="0" borderId="0" xfId="0" applyNumberFormat="1" applyFont="1" applyAlignment="1">
      <alignment horizontal="right" vertical="center"/>
    </xf>
    <xf numFmtId="0" fontId="8" fillId="3" borderId="2" xfId="0" applyFont="1" applyFill="1" applyBorder="1" applyAlignment="1">
      <alignment horizontal="center" vertical="center"/>
    </xf>
    <xf numFmtId="0" fontId="8" fillId="3" borderId="2" xfId="0" applyFont="1" applyFill="1" applyBorder="1" applyAlignment="1">
      <alignment horizontal="center" vertical="center" wrapText="1"/>
    </xf>
    <xf numFmtId="0" fontId="9" fillId="0" borderId="2" xfId="0" applyFont="1" applyBorder="1" applyAlignment="1">
      <alignment horizontal="center" vertical="center"/>
    </xf>
    <xf numFmtId="0" fontId="5" fillId="0" borderId="2" xfId="0" applyFont="1" applyBorder="1" applyAlignment="1">
      <alignment wrapText="1"/>
    </xf>
    <xf numFmtId="0" fontId="5" fillId="0" borderId="2" xfId="0" applyFont="1" applyBorder="1" applyAlignment="1">
      <alignment horizontal="center" vertical="center"/>
    </xf>
    <xf numFmtId="0" fontId="5" fillId="0" borderId="2" xfId="0" applyFont="1" applyBorder="1" applyAlignment="1">
      <alignment vertical="center" wrapText="1"/>
    </xf>
    <xf numFmtId="0" fontId="5" fillId="0" borderId="2" xfId="0" applyFont="1" applyBorder="1" applyAlignment="1">
      <alignment horizontal="left" vertical="center" wrapText="1"/>
    </xf>
    <xf numFmtId="0" fontId="9" fillId="4" borderId="2" xfId="0" applyFont="1" applyFill="1" applyBorder="1" applyAlignment="1">
      <alignment horizontal="center" vertical="center"/>
    </xf>
    <xf numFmtId="0" fontId="5" fillId="4" borderId="2" xfId="0" applyFont="1" applyFill="1" applyBorder="1" applyAlignment="1">
      <alignment vertical="center" wrapText="1"/>
    </xf>
    <xf numFmtId="0" fontId="5" fillId="4" borderId="2"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1" fillId="4" borderId="0" xfId="0" applyFont="1" applyFill="1"/>
    <xf numFmtId="0" fontId="3" fillId="4" borderId="0" xfId="0" applyFont="1" applyFill="1" applyAlignment="1">
      <alignment horizontal="center" vertical="center" wrapText="1"/>
    </xf>
    <xf numFmtId="0" fontId="3" fillId="4" borderId="0" xfId="0" applyFont="1" applyFill="1" applyAlignment="1">
      <alignment horizontal="center" vertical="center"/>
    </xf>
    <xf numFmtId="164" fontId="1" fillId="2" borderId="0" xfId="0" applyNumberFormat="1" applyFont="1" applyFill="1"/>
    <xf numFmtId="0" fontId="5" fillId="0" borderId="0" xfId="0" applyFont="1" applyAlignment="1">
      <alignment vertical="center" wrapText="1"/>
    </xf>
    <xf numFmtId="0" fontId="2" fillId="0" borderId="0" xfId="0" applyFont="1" applyAlignment="1">
      <alignment horizontal="center" vertical="center" wrapText="1"/>
    </xf>
    <xf numFmtId="0" fontId="4" fillId="4" borderId="0" xfId="0" applyFont="1" applyFill="1" applyAlignment="1">
      <alignment horizontal="left"/>
    </xf>
    <xf numFmtId="0" fontId="6" fillId="0" borderId="0" xfId="0" applyFont="1" applyAlignment="1">
      <alignment horizontal="left"/>
    </xf>
    <xf numFmtId="0" fontId="4" fillId="4" borderId="0" xfId="0" applyFont="1" applyFill="1" applyAlignment="1">
      <alignment horizontal="left" vertical="center" wrapText="1"/>
    </xf>
    <xf numFmtId="0" fontId="4" fillId="0" borderId="0" xfId="0" applyFont="1" applyAlignment="1">
      <alignment horizontal="left" vertical="center" wrapText="1"/>
    </xf>
    <xf numFmtId="0" fontId="9" fillId="0" borderId="1" xfId="0" applyFont="1" applyBorder="1" applyAlignment="1">
      <alignment horizontal="right" vertical="center"/>
    </xf>
    <xf numFmtId="0" fontId="9" fillId="0" borderId="3" xfId="0" applyFont="1" applyBorder="1" applyAlignment="1">
      <alignment horizontal="right" vertical="center"/>
    </xf>
    <xf numFmtId="0" fontId="3" fillId="0" borderId="0" xfId="0" applyFont="1" applyAlignment="1">
      <alignment horizontal="left" vertical="center"/>
    </xf>
    <xf numFmtId="0" fontId="3" fillId="0" borderId="0" xfId="0" applyFont="1" applyAlignment="1">
      <alignment horizontal="left"/>
    </xf>
    <xf numFmtId="0" fontId="7" fillId="0" borderId="0" xfId="0" applyFont="1" applyAlignment="1">
      <alignment horizontal="left" wrapText="1"/>
    </xf>
    <xf numFmtId="0" fontId="4" fillId="0" borderId="0" xfId="0" applyFont="1" applyAlignment="1">
      <alignment horizontal="left"/>
    </xf>
    <xf numFmtId="0" fontId="9" fillId="0" borderId="4" xfId="0" applyFont="1" applyBorder="1" applyAlignment="1">
      <alignment horizontal="right" vertical="center"/>
    </xf>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majorFont>
      <a:minorFont>
        <a:latin typeface="Calibri"/>
        <a:ea typeface=""/>
        <a:cs typeface=""/>
      </a:minorFont>
    </a:fontScheme>
    <a:fmtScheme name="Стандартная">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gradFill>
        <a:gradFill>
          <a:gsLst>
            <a:gs pos="0">
              <a:schemeClr val="phClr">
                <a:shade val="51000"/>
                <a:satMod val="130000"/>
              </a:schemeClr>
            </a:gs>
            <a:gs pos="80000">
              <a:schemeClr val="phClr">
                <a:shade val="93000"/>
                <a:satMod val="130000"/>
              </a:schemeClr>
            </a:gs>
            <a:gs pos="100000">
              <a:schemeClr val="phClr">
                <a:shade val="94000"/>
                <a:satMod val="135000"/>
              </a:schemeClr>
            </a:gs>
          </a:gsLst>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gradFill>
        <a:gradFill>
          <a:gsLst>
            <a:gs pos="0">
              <a:schemeClr val="phClr">
                <a:tint val="80000"/>
                <a:satMod val="300000"/>
              </a:schemeClr>
            </a:gs>
            <a:gs pos="100000">
              <a:schemeClr val="phClr">
                <a:shade val="30000"/>
                <a:satMod val="200000"/>
              </a:schemeClr>
            </a:gs>
          </a:gsLs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O46"/>
  <sheetViews>
    <sheetView tabSelected="1" zoomScale="70" zoomScaleNormal="70" workbookViewId="0">
      <selection activeCell="S44" sqref="S44"/>
    </sheetView>
  </sheetViews>
  <sheetFormatPr defaultColWidth="9.140625" defaultRowHeight="15" x14ac:dyDescent="0.25"/>
  <cols>
    <col min="1" max="4" width="9.140625" style="1" bestFit="1" customWidth="1"/>
    <col min="5" max="5" width="20.28515625" style="1" customWidth="1"/>
    <col min="6" max="6" width="70.140625" style="1" customWidth="1"/>
    <col min="7" max="7" width="16.140625" style="1" customWidth="1"/>
    <col min="8" max="8" width="17.140625" style="1" customWidth="1"/>
    <col min="9" max="9" width="41" style="1" hidden="1" customWidth="1"/>
    <col min="10" max="10" width="9.140625" style="1" bestFit="1" customWidth="1"/>
    <col min="11" max="16384" width="9.140625" style="1"/>
  </cols>
  <sheetData>
    <row r="1" spans="5:9" ht="56.25" customHeight="1" x14ac:dyDescent="0.25">
      <c r="E1" s="35" t="s">
        <v>0</v>
      </c>
      <c r="F1" s="35"/>
      <c r="G1" s="35"/>
      <c r="H1" s="35"/>
      <c r="I1" s="35"/>
    </row>
    <row r="2" spans="5:9" ht="37.5" customHeight="1" x14ac:dyDescent="0.25">
      <c r="E2" s="2" t="s">
        <v>1</v>
      </c>
      <c r="F2" s="39" t="s">
        <v>2</v>
      </c>
      <c r="G2" s="39"/>
      <c r="H2" s="39"/>
      <c r="I2" s="3"/>
    </row>
    <row r="3" spans="5:9" ht="35.25" customHeight="1" x14ac:dyDescent="0.25">
      <c r="E3" s="2" t="s">
        <v>3</v>
      </c>
      <c r="F3" s="4" t="s">
        <v>4</v>
      </c>
      <c r="G3" s="3"/>
      <c r="H3" s="3"/>
      <c r="I3" s="3"/>
    </row>
    <row r="4" spans="5:9" ht="35.25" customHeight="1" x14ac:dyDescent="0.25">
      <c r="E4" s="2" t="s">
        <v>5</v>
      </c>
      <c r="F4" s="5" t="s">
        <v>56</v>
      </c>
      <c r="G4" s="3"/>
      <c r="H4" s="3"/>
      <c r="I4" s="3"/>
    </row>
    <row r="5" spans="5:9" ht="28.5" customHeight="1" x14ac:dyDescent="0.25">
      <c r="E5" s="42" t="s">
        <v>6</v>
      </c>
      <c r="F5" s="42"/>
      <c r="G5" s="3"/>
      <c r="H5" s="3"/>
      <c r="I5" s="3"/>
    </row>
    <row r="6" spans="5:9" ht="18.75" x14ac:dyDescent="0.25">
      <c r="E6" s="2"/>
      <c r="F6" s="2" t="str">
        <f>"1. Производительность труда: "&amp;TEXT(G19, "#,0%")</f>
        <v>1. Производительность труда: 113,7%</v>
      </c>
      <c r="G6" s="3"/>
      <c r="H6" s="3"/>
      <c r="I6" s="3"/>
    </row>
    <row r="7" spans="5:9" ht="18.75" x14ac:dyDescent="0.25">
      <c r="E7" s="2"/>
      <c r="F7" s="2" t="str">
        <f>"2. Интенсивность труда:           "&amp;TEXT(G29, "#,0%")</f>
        <v>2. Интенсивность труда:           112,6%</v>
      </c>
      <c r="G7" s="3"/>
      <c r="H7" s="3"/>
      <c r="I7" s="3"/>
    </row>
    <row r="8" spans="5:9" ht="15.75" x14ac:dyDescent="0.25">
      <c r="E8" s="3"/>
      <c r="F8" s="3"/>
      <c r="G8" s="3"/>
      <c r="H8" s="3"/>
      <c r="I8" s="3"/>
    </row>
    <row r="9" spans="5:9" ht="30" customHeight="1" x14ac:dyDescent="0.3">
      <c r="E9" s="37" t="s">
        <v>7</v>
      </c>
      <c r="F9" s="37"/>
      <c r="G9" s="3"/>
      <c r="H9" s="3"/>
      <c r="I9" s="3"/>
    </row>
    <row r="10" spans="5:9" ht="26.25" customHeight="1" x14ac:dyDescent="0.3">
      <c r="E10" s="43" t="s">
        <v>8</v>
      </c>
      <c r="F10" s="43"/>
      <c r="G10" s="3"/>
      <c r="H10" s="3"/>
      <c r="I10" s="3"/>
    </row>
    <row r="11" spans="5:9" ht="21.75" customHeight="1" x14ac:dyDescent="0.3">
      <c r="E11" s="7" t="s">
        <v>9</v>
      </c>
      <c r="F11" s="7"/>
      <c r="G11" s="3"/>
      <c r="H11" s="3"/>
      <c r="I11" s="3"/>
    </row>
    <row r="12" spans="5:9" ht="120.75" customHeight="1" x14ac:dyDescent="0.3">
      <c r="E12" s="44" t="s">
        <v>10</v>
      </c>
      <c r="F12" s="44"/>
      <c r="G12" s="44"/>
      <c r="H12" s="3"/>
      <c r="I12" s="3"/>
    </row>
    <row r="13" spans="5:9" ht="18.75" x14ac:dyDescent="0.3">
      <c r="E13" s="6"/>
      <c r="F13" s="6"/>
      <c r="G13" s="3"/>
      <c r="H13" s="3"/>
      <c r="I13" s="3"/>
    </row>
    <row r="14" spans="5:9" ht="18.75" x14ac:dyDescent="0.25">
      <c r="E14" s="8" t="s">
        <v>11</v>
      </c>
      <c r="F14" s="8" t="s">
        <v>12</v>
      </c>
      <c r="G14" s="9" t="s">
        <v>13</v>
      </c>
      <c r="H14" s="3"/>
      <c r="I14" s="3"/>
    </row>
    <row r="15" spans="5:9" ht="18.75" x14ac:dyDescent="0.25">
      <c r="E15" s="10">
        <v>1</v>
      </c>
      <c r="F15" s="11" t="s">
        <v>14</v>
      </c>
      <c r="G15" s="12">
        <v>22</v>
      </c>
      <c r="H15" s="3"/>
      <c r="I15" s="3"/>
    </row>
    <row r="16" spans="5:9" ht="37.5" x14ac:dyDescent="0.25">
      <c r="E16" s="10">
        <v>2</v>
      </c>
      <c r="F16" s="13" t="s">
        <v>15</v>
      </c>
      <c r="G16" s="12">
        <f>ROUND(J41/G41, 2)</f>
        <v>1.1599999999999999</v>
      </c>
      <c r="H16" s="3"/>
      <c r="I16" s="3"/>
    </row>
    <row r="17" spans="5:9" ht="18.75" x14ac:dyDescent="0.25">
      <c r="E17" s="10">
        <v>3</v>
      </c>
      <c r="F17" s="13" t="s">
        <v>16</v>
      </c>
      <c r="G17" s="12">
        <f>ROUND(8/G16, 1)</f>
        <v>6.9</v>
      </c>
      <c r="H17" s="3"/>
      <c r="I17" s="3"/>
    </row>
    <row r="18" spans="5:9" ht="37.5" x14ac:dyDescent="0.25">
      <c r="E18" s="10">
        <v>4</v>
      </c>
      <c r="F18" s="13" t="s">
        <v>17</v>
      </c>
      <c r="G18" s="12">
        <f>ROUND(G41/G15, 2)</f>
        <v>6.82</v>
      </c>
      <c r="H18" s="3"/>
      <c r="I18" s="3"/>
    </row>
    <row r="19" spans="5:9" ht="18.75" x14ac:dyDescent="0.25">
      <c r="E19" s="10">
        <v>5</v>
      </c>
      <c r="F19" s="14" t="s">
        <v>18</v>
      </c>
      <c r="G19" s="15">
        <f>G18/G17*1.15</f>
        <v>1.1366666666666665</v>
      </c>
      <c r="H19" s="3"/>
      <c r="I19" s="3"/>
    </row>
    <row r="20" spans="5:9" ht="18.75" x14ac:dyDescent="0.3">
      <c r="E20" s="16"/>
      <c r="F20" s="6"/>
      <c r="G20" s="17"/>
      <c r="H20" s="3"/>
      <c r="I20" s="3"/>
    </row>
    <row r="21" spans="5:9" ht="24" customHeight="1" x14ac:dyDescent="0.3">
      <c r="E21" s="43" t="s">
        <v>19</v>
      </c>
      <c r="F21" s="43"/>
      <c r="G21" s="3"/>
      <c r="H21" s="3"/>
      <c r="I21" s="3"/>
    </row>
    <row r="22" spans="5:9" ht="18.75" x14ac:dyDescent="0.3">
      <c r="E22" s="45" t="s">
        <v>9</v>
      </c>
      <c r="F22" s="45"/>
      <c r="G22" s="3"/>
      <c r="H22" s="3"/>
      <c r="I22" s="3"/>
    </row>
    <row r="23" spans="5:9" ht="159" customHeight="1" x14ac:dyDescent="0.3">
      <c r="E23" s="44" t="s">
        <v>20</v>
      </c>
      <c r="F23" s="44"/>
      <c r="G23" s="44"/>
      <c r="H23" s="3"/>
      <c r="I23" s="3"/>
    </row>
    <row r="24" spans="5:9" ht="18.75" x14ac:dyDescent="0.3">
      <c r="E24" s="6"/>
      <c r="F24" s="6"/>
      <c r="G24" s="3"/>
      <c r="H24" s="3"/>
      <c r="I24" s="3"/>
    </row>
    <row r="25" spans="5:9" ht="18.75" x14ac:dyDescent="0.25">
      <c r="E25" s="8" t="s">
        <v>11</v>
      </c>
      <c r="F25" s="8" t="s">
        <v>12</v>
      </c>
      <c r="G25" s="9" t="s">
        <v>13</v>
      </c>
      <c r="H25" s="3"/>
      <c r="I25" s="3"/>
    </row>
    <row r="26" spans="5:9" ht="18.75" x14ac:dyDescent="0.25">
      <c r="E26" s="10">
        <v>1</v>
      </c>
      <c r="F26" s="11" t="s">
        <v>14</v>
      </c>
      <c r="G26" s="12">
        <v>22</v>
      </c>
      <c r="H26" s="3"/>
      <c r="I26" s="3"/>
    </row>
    <row r="27" spans="5:9" ht="39.75" customHeight="1" x14ac:dyDescent="0.25">
      <c r="E27" s="10">
        <v>2</v>
      </c>
      <c r="F27" s="13" t="s">
        <v>21</v>
      </c>
      <c r="G27" s="12">
        <f>J41</f>
        <v>173.4</v>
      </c>
      <c r="H27" s="3"/>
      <c r="I27" s="3"/>
    </row>
    <row r="28" spans="5:9" ht="56.25" x14ac:dyDescent="0.25">
      <c r="E28" s="10">
        <v>3</v>
      </c>
      <c r="F28" s="13" t="s">
        <v>22</v>
      </c>
      <c r="G28" s="12">
        <f>(8-1)*G26</f>
        <v>154</v>
      </c>
      <c r="H28" s="3"/>
      <c r="I28" s="3"/>
    </row>
    <row r="29" spans="5:9" ht="19.5" x14ac:dyDescent="0.25">
      <c r="E29" s="10">
        <v>4</v>
      </c>
      <c r="F29" s="14" t="s">
        <v>23</v>
      </c>
      <c r="G29" s="15">
        <f>G27/G28*1</f>
        <v>1.1259740259740261</v>
      </c>
      <c r="H29" s="3"/>
      <c r="I29" s="3"/>
    </row>
    <row r="30" spans="5:9" ht="18.75" x14ac:dyDescent="0.25">
      <c r="E30" s="16"/>
      <c r="F30" s="2"/>
      <c r="G30" s="17"/>
      <c r="H30" s="3"/>
      <c r="I30" s="3"/>
    </row>
    <row r="31" spans="5:9" ht="41.25" customHeight="1" x14ac:dyDescent="0.3">
      <c r="E31" s="37" t="s">
        <v>24</v>
      </c>
      <c r="F31" s="37"/>
      <c r="G31" s="17"/>
      <c r="H31" s="3"/>
      <c r="I31" s="3"/>
    </row>
    <row r="32" spans="5:9" ht="18.75" customHeight="1" x14ac:dyDescent="0.25">
      <c r="E32" s="3"/>
      <c r="F32" s="3"/>
      <c r="G32" s="3"/>
      <c r="H32" s="3"/>
      <c r="I32" s="3"/>
    </row>
    <row r="33" spans="5:15" ht="68.25" customHeight="1" x14ac:dyDescent="0.25">
      <c r="E33" s="18" t="s">
        <v>11</v>
      </c>
      <c r="F33" s="18" t="s">
        <v>25</v>
      </c>
      <c r="G33" s="18" t="s">
        <v>26</v>
      </c>
      <c r="H33" s="19" t="s">
        <v>27</v>
      </c>
      <c r="I33" s="18"/>
    </row>
    <row r="34" spans="5:15" ht="15.75" x14ac:dyDescent="0.25">
      <c r="E34" s="20">
        <v>1</v>
      </c>
      <c r="F34" s="21" t="s">
        <v>28</v>
      </c>
      <c r="G34" s="22">
        <v>14</v>
      </c>
      <c r="H34" s="22">
        <v>3.5</v>
      </c>
      <c r="I34" s="23"/>
      <c r="J34" s="1">
        <f t="shared" ref="J34:J40" si="0">G34*H34</f>
        <v>49</v>
      </c>
    </row>
    <row r="35" spans="5:15" ht="63" customHeight="1" x14ac:dyDescent="0.25">
      <c r="E35" s="20">
        <v>2</v>
      </c>
      <c r="F35" s="23" t="s">
        <v>62</v>
      </c>
      <c r="G35" s="22">
        <v>3</v>
      </c>
      <c r="H35" s="22">
        <v>2</v>
      </c>
      <c r="I35" s="24"/>
      <c r="J35" s="1">
        <f t="shared" si="0"/>
        <v>6</v>
      </c>
    </row>
    <row r="36" spans="5:15" ht="31.5" x14ac:dyDescent="0.25">
      <c r="E36" s="20">
        <v>3</v>
      </c>
      <c r="F36" s="23" t="s">
        <v>60</v>
      </c>
      <c r="G36" s="22">
        <v>2</v>
      </c>
      <c r="H36" s="22">
        <v>8</v>
      </c>
      <c r="I36" s="23"/>
      <c r="J36" s="1">
        <f t="shared" si="0"/>
        <v>16</v>
      </c>
    </row>
    <row r="37" spans="5:15" ht="52.5" customHeight="1" x14ac:dyDescent="0.25">
      <c r="E37" s="20">
        <v>4</v>
      </c>
      <c r="F37" s="23" t="s">
        <v>61</v>
      </c>
      <c r="G37" s="22">
        <v>117</v>
      </c>
      <c r="H37" s="22">
        <v>0.5</v>
      </c>
      <c r="I37" s="23"/>
      <c r="J37" s="1">
        <f t="shared" si="0"/>
        <v>58.5</v>
      </c>
    </row>
    <row r="38" spans="5:15" ht="60" customHeight="1" x14ac:dyDescent="0.25">
      <c r="E38" s="20">
        <v>5</v>
      </c>
      <c r="F38" s="23" t="s">
        <v>63</v>
      </c>
      <c r="G38" s="22">
        <v>1</v>
      </c>
      <c r="H38" s="22">
        <v>8</v>
      </c>
      <c r="I38" s="23"/>
      <c r="J38" s="1">
        <f t="shared" si="0"/>
        <v>8</v>
      </c>
    </row>
    <row r="39" spans="5:15" ht="60" customHeight="1" x14ac:dyDescent="0.25">
      <c r="E39" s="20">
        <v>6</v>
      </c>
      <c r="F39" s="23" t="s">
        <v>66</v>
      </c>
      <c r="G39" s="22">
        <v>12</v>
      </c>
      <c r="H39" s="22">
        <v>0.5</v>
      </c>
      <c r="I39" s="23"/>
      <c r="J39" s="1">
        <f t="shared" si="0"/>
        <v>6</v>
      </c>
    </row>
    <row r="40" spans="5:15" ht="47.25" x14ac:dyDescent="0.25">
      <c r="E40" s="20">
        <v>7</v>
      </c>
      <c r="F40" s="23" t="s">
        <v>57</v>
      </c>
      <c r="G40" s="22">
        <v>1</v>
      </c>
      <c r="H40" s="22">
        <v>1</v>
      </c>
      <c r="I40" s="23"/>
      <c r="J40" s="1">
        <f t="shared" si="0"/>
        <v>1</v>
      </c>
    </row>
    <row r="41" spans="5:15" ht="15.75" x14ac:dyDescent="0.25">
      <c r="E41" s="40" t="s">
        <v>31</v>
      </c>
      <c r="F41" s="41"/>
      <c r="G41" s="28">
        <f>SUM(G34:G40)</f>
        <v>150</v>
      </c>
      <c r="H41" s="28"/>
      <c r="I41" s="29"/>
      <c r="J41" s="1">
        <f>SUM(J34:J40)*1.2</f>
        <v>173.4</v>
      </c>
    </row>
    <row r="42" spans="5:15" x14ac:dyDescent="0.25">
      <c r="E42" s="30"/>
      <c r="F42" s="30"/>
      <c r="G42" s="30"/>
      <c r="H42" s="30"/>
      <c r="I42" s="30"/>
    </row>
    <row r="43" spans="5:15" ht="34.5" customHeight="1" x14ac:dyDescent="0.3">
      <c r="E43" s="37" t="s">
        <v>32</v>
      </c>
      <c r="F43" s="37"/>
      <c r="G43" s="31"/>
      <c r="H43" s="32"/>
      <c r="I43" s="32"/>
      <c r="O43" s="33"/>
    </row>
    <row r="44" spans="5:15" ht="192.75" customHeight="1" x14ac:dyDescent="0.25">
      <c r="E44" s="38" t="s">
        <v>74</v>
      </c>
      <c r="F44" s="38"/>
      <c r="G44" s="38"/>
      <c r="H44" s="38"/>
      <c r="I44" s="38"/>
    </row>
    <row r="45" spans="5:15" ht="39" customHeight="1" x14ac:dyDescent="0.3">
      <c r="E45" s="36" t="s">
        <v>33</v>
      </c>
      <c r="F45" s="36"/>
      <c r="G45" s="30"/>
      <c r="H45" s="30"/>
      <c r="I45" s="30"/>
    </row>
    <row r="46" spans="5:15" x14ac:dyDescent="0.25">
      <c r="E46" s="30"/>
      <c r="F46" s="30"/>
      <c r="G46" s="30"/>
      <c r="H46" s="30"/>
      <c r="I46" s="30"/>
    </row>
  </sheetData>
  <mergeCells count="14">
    <mergeCell ref="E1:I1"/>
    <mergeCell ref="E45:F45"/>
    <mergeCell ref="E43:F43"/>
    <mergeCell ref="E44:I44"/>
    <mergeCell ref="F2:H2"/>
    <mergeCell ref="E41:F41"/>
    <mergeCell ref="E5:F5"/>
    <mergeCell ref="E9:F9"/>
    <mergeCell ref="E31:F31"/>
    <mergeCell ref="E10:F10"/>
    <mergeCell ref="E12:G12"/>
    <mergeCell ref="E21:F21"/>
    <mergeCell ref="E23:G23"/>
    <mergeCell ref="E22:F22"/>
  </mergeCells>
  <pageMargins left="0.70866137742996216" right="0.70866137742996216" top="0.74803149700164795" bottom="0.74803149700164795" header="0.31496062874794006" footer="0.31496062874794006"/>
  <pageSetup paperSize="9" scale="65" orientation="portrait"/>
  <colBreaks count="1" manualBreakCount="1">
    <brk id="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O48"/>
  <sheetViews>
    <sheetView topLeftCell="A19" zoomScaleNormal="100" workbookViewId="0">
      <selection activeCell="G16" sqref="G16"/>
    </sheetView>
  </sheetViews>
  <sheetFormatPr defaultColWidth="9.140625" defaultRowHeight="15" x14ac:dyDescent="0.25"/>
  <cols>
    <col min="1" max="4" width="9.140625" style="1" bestFit="1" customWidth="1"/>
    <col min="5" max="5" width="20.28515625" style="1" customWidth="1"/>
    <col min="6" max="6" width="70.140625" style="1" customWidth="1"/>
    <col min="7" max="7" width="16.140625" style="1" customWidth="1"/>
    <col min="8" max="8" width="17.140625" style="1" customWidth="1"/>
    <col min="9" max="9" width="41" style="1" hidden="1" customWidth="1"/>
    <col min="10" max="10" width="9.140625" style="1" bestFit="1" customWidth="1"/>
    <col min="11" max="16384" width="9.140625" style="1"/>
  </cols>
  <sheetData>
    <row r="1" spans="5:9" ht="56.25" customHeight="1" x14ac:dyDescent="0.25">
      <c r="E1" s="35" t="s">
        <v>34</v>
      </c>
      <c r="F1" s="35"/>
      <c r="G1" s="35"/>
      <c r="H1" s="35"/>
      <c r="I1" s="35"/>
    </row>
    <row r="2" spans="5:9" ht="37.5" customHeight="1" x14ac:dyDescent="0.25">
      <c r="E2" s="2" t="s">
        <v>1</v>
      </c>
      <c r="F2" s="39" t="s">
        <v>2</v>
      </c>
      <c r="G2" s="39"/>
      <c r="H2" s="39"/>
      <c r="I2" s="3"/>
    </row>
    <row r="3" spans="5:9" ht="35.25" customHeight="1" x14ac:dyDescent="0.25">
      <c r="E3" s="2" t="s">
        <v>3</v>
      </c>
      <c r="F3" s="4" t="s">
        <v>4</v>
      </c>
      <c r="G3" s="3"/>
      <c r="H3" s="3"/>
      <c r="I3" s="3"/>
    </row>
    <row r="4" spans="5:9" ht="35.25" customHeight="1" x14ac:dyDescent="0.25">
      <c r="E4" s="2" t="s">
        <v>5</v>
      </c>
      <c r="F4" s="5" t="s">
        <v>64</v>
      </c>
      <c r="G4" s="3"/>
      <c r="H4" s="3"/>
      <c r="I4" s="3"/>
    </row>
    <row r="5" spans="5:9" ht="28.5" customHeight="1" x14ac:dyDescent="0.25">
      <c r="E5" s="42" t="s">
        <v>6</v>
      </c>
      <c r="F5" s="42"/>
      <c r="G5" s="3"/>
      <c r="H5" s="3"/>
      <c r="I5" s="3"/>
    </row>
    <row r="6" spans="5:9" ht="18.75" x14ac:dyDescent="0.25">
      <c r="E6" s="2"/>
      <c r="F6" s="2" t="str">
        <f>"1. Производительность труда: "&amp;TEXT(G19, "#,0%")</f>
        <v>1. Производительность труда: 333,3%</v>
      </c>
      <c r="G6" s="3"/>
      <c r="H6" s="3"/>
      <c r="I6" s="3"/>
    </row>
    <row r="7" spans="5:9" ht="18.75" x14ac:dyDescent="0.25">
      <c r="E7" s="2"/>
      <c r="F7" s="2" t="str">
        <f>"2. Интенсивность труда:           "&amp;TEXT(G29, "#,0%")</f>
        <v>2. Интенсивность труда:           215,3%</v>
      </c>
      <c r="G7" s="3"/>
      <c r="H7" s="3"/>
      <c r="I7" s="3"/>
    </row>
    <row r="8" spans="5:9" ht="15.75" x14ac:dyDescent="0.25">
      <c r="E8" s="3"/>
      <c r="F8" s="3"/>
      <c r="G8" s="3"/>
      <c r="H8" s="3"/>
      <c r="I8" s="3"/>
    </row>
    <row r="9" spans="5:9" ht="30" customHeight="1" x14ac:dyDescent="0.3">
      <c r="E9" s="37" t="s">
        <v>7</v>
      </c>
      <c r="F9" s="37"/>
      <c r="G9" s="3"/>
      <c r="H9" s="3"/>
      <c r="I9" s="3"/>
    </row>
    <row r="10" spans="5:9" ht="26.25" customHeight="1" x14ac:dyDescent="0.3">
      <c r="E10" s="43" t="s">
        <v>8</v>
      </c>
      <c r="F10" s="43"/>
      <c r="G10" s="3"/>
      <c r="H10" s="3"/>
      <c r="I10" s="3"/>
    </row>
    <row r="11" spans="5:9" ht="21.75" customHeight="1" x14ac:dyDescent="0.3">
      <c r="E11" s="7" t="s">
        <v>9</v>
      </c>
      <c r="F11" s="7"/>
      <c r="G11" s="3"/>
      <c r="H11" s="3"/>
      <c r="I11" s="3"/>
    </row>
    <row r="12" spans="5:9" ht="120.75" customHeight="1" x14ac:dyDescent="0.3">
      <c r="E12" s="44" t="s">
        <v>10</v>
      </c>
      <c r="F12" s="44"/>
      <c r="G12" s="44"/>
      <c r="H12" s="3"/>
      <c r="I12" s="3"/>
    </row>
    <row r="13" spans="5:9" ht="18.75" x14ac:dyDescent="0.3">
      <c r="E13" s="6"/>
      <c r="F13" s="6"/>
      <c r="G13" s="3"/>
      <c r="H13" s="3"/>
      <c r="I13" s="3"/>
    </row>
    <row r="14" spans="5:9" ht="18.75" x14ac:dyDescent="0.25">
      <c r="E14" s="8" t="s">
        <v>11</v>
      </c>
      <c r="F14" s="8" t="s">
        <v>12</v>
      </c>
      <c r="G14" s="9" t="s">
        <v>13</v>
      </c>
      <c r="H14" s="3"/>
      <c r="I14" s="3"/>
    </row>
    <row r="15" spans="5:9" ht="18.75" x14ac:dyDescent="0.25">
      <c r="E15" s="10">
        <v>1</v>
      </c>
      <c r="F15" s="11" t="s">
        <v>14</v>
      </c>
      <c r="G15" s="12">
        <v>48</v>
      </c>
      <c r="H15" s="3"/>
      <c r="I15" s="3"/>
    </row>
    <row r="16" spans="5:9" ht="37.5" x14ac:dyDescent="0.25">
      <c r="E16" s="10">
        <v>2</v>
      </c>
      <c r="F16" s="13" t="s">
        <v>35</v>
      </c>
      <c r="G16" s="12">
        <f>ROUND(SUM(H34:H42)/COUNTA(H34:H42), 2)</f>
        <v>14.78</v>
      </c>
      <c r="H16" s="3"/>
      <c r="I16" s="3"/>
    </row>
    <row r="17" spans="5:9" ht="18.75" x14ac:dyDescent="0.25">
      <c r="E17" s="10">
        <v>3</v>
      </c>
      <c r="F17" s="13" t="s">
        <v>36</v>
      </c>
      <c r="G17" s="12">
        <f>ROUND(8/G16, 1)-0.2</f>
        <v>0.3</v>
      </c>
      <c r="H17" s="3"/>
      <c r="I17" s="3"/>
    </row>
    <row r="18" spans="5:9" ht="37.5" x14ac:dyDescent="0.25">
      <c r="E18" s="10">
        <v>4</v>
      </c>
      <c r="F18" s="13" t="s">
        <v>37</v>
      </c>
      <c r="G18" s="12">
        <f>1</f>
        <v>1</v>
      </c>
      <c r="H18" s="3"/>
      <c r="I18" s="3"/>
    </row>
    <row r="19" spans="5:9" ht="18.75" x14ac:dyDescent="0.25">
      <c r="E19" s="10">
        <v>5</v>
      </c>
      <c r="F19" s="14" t="s">
        <v>18</v>
      </c>
      <c r="G19" s="15">
        <f>G18/G17</f>
        <v>3.3333333333333335</v>
      </c>
      <c r="H19" s="3"/>
      <c r="I19" s="3"/>
    </row>
    <row r="20" spans="5:9" ht="18.75" x14ac:dyDescent="0.3">
      <c r="E20" s="16"/>
      <c r="F20" s="6"/>
      <c r="G20" s="17"/>
      <c r="H20" s="3"/>
      <c r="I20" s="3"/>
    </row>
    <row r="21" spans="5:9" ht="24" customHeight="1" x14ac:dyDescent="0.3">
      <c r="E21" s="43" t="s">
        <v>19</v>
      </c>
      <c r="F21" s="43"/>
      <c r="G21" s="3"/>
      <c r="H21" s="3"/>
      <c r="I21" s="3"/>
    </row>
    <row r="22" spans="5:9" ht="18.75" x14ac:dyDescent="0.3">
      <c r="E22" s="45" t="s">
        <v>9</v>
      </c>
      <c r="F22" s="45"/>
      <c r="G22" s="3"/>
      <c r="H22" s="3"/>
      <c r="I22" s="3"/>
    </row>
    <row r="23" spans="5:9" ht="159" customHeight="1" x14ac:dyDescent="0.3">
      <c r="E23" s="44" t="s">
        <v>20</v>
      </c>
      <c r="F23" s="44"/>
      <c r="G23" s="44"/>
      <c r="H23" s="3"/>
      <c r="I23" s="3"/>
    </row>
    <row r="24" spans="5:9" ht="18.75" x14ac:dyDescent="0.3">
      <c r="E24" s="6"/>
      <c r="F24" s="6"/>
      <c r="G24" s="3"/>
      <c r="H24" s="3"/>
      <c r="I24" s="3"/>
    </row>
    <row r="25" spans="5:9" ht="18.75" x14ac:dyDescent="0.25">
      <c r="E25" s="8" t="s">
        <v>11</v>
      </c>
      <c r="F25" s="8" t="s">
        <v>12</v>
      </c>
      <c r="G25" s="9" t="s">
        <v>13</v>
      </c>
      <c r="H25" s="3"/>
      <c r="I25" s="3"/>
    </row>
    <row r="26" spans="5:9" ht="18.75" x14ac:dyDescent="0.25">
      <c r="E26" s="10">
        <v>1</v>
      </c>
      <c r="F26" s="11" t="s">
        <v>14</v>
      </c>
      <c r="G26" s="12">
        <v>48</v>
      </c>
      <c r="H26" s="3"/>
      <c r="I26" s="3"/>
    </row>
    <row r="27" spans="5:9" ht="39.75" customHeight="1" x14ac:dyDescent="0.25">
      <c r="E27" s="10">
        <v>2</v>
      </c>
      <c r="F27" s="13" t="s">
        <v>38</v>
      </c>
      <c r="G27" s="12">
        <f>J43</f>
        <v>477</v>
      </c>
      <c r="H27" s="3"/>
      <c r="I27" s="3"/>
    </row>
    <row r="28" spans="5:9" ht="56.25" x14ac:dyDescent="0.25">
      <c r="E28" s="10">
        <v>3</v>
      </c>
      <c r="F28" s="13" t="s">
        <v>39</v>
      </c>
      <c r="G28" s="12">
        <f>(8-2)*G26</f>
        <v>288</v>
      </c>
      <c r="H28" s="3"/>
      <c r="I28" s="3"/>
    </row>
    <row r="29" spans="5:9" ht="19.5" x14ac:dyDescent="0.25">
      <c r="E29" s="10">
        <v>4</v>
      </c>
      <c r="F29" s="14" t="s">
        <v>40</v>
      </c>
      <c r="G29" s="15">
        <f>G27/G28*1.3</f>
        <v>2.1531250000000002</v>
      </c>
      <c r="H29" s="3"/>
      <c r="I29" s="3"/>
    </row>
    <row r="30" spans="5:9" ht="18.75" x14ac:dyDescent="0.25">
      <c r="E30" s="16"/>
      <c r="F30" s="2"/>
      <c r="G30" s="17"/>
      <c r="H30" s="3"/>
      <c r="I30" s="3"/>
    </row>
    <row r="31" spans="5:9" ht="41.25" customHeight="1" x14ac:dyDescent="0.3">
      <c r="E31" s="37" t="s">
        <v>24</v>
      </c>
      <c r="F31" s="37"/>
      <c r="G31" s="17"/>
      <c r="H31" s="3"/>
      <c r="I31" s="3"/>
    </row>
    <row r="32" spans="5:9" ht="18.75" customHeight="1" x14ac:dyDescent="0.25">
      <c r="E32" s="3"/>
      <c r="F32" s="3"/>
      <c r="G32" s="3"/>
      <c r="H32" s="3"/>
      <c r="I32" s="3"/>
    </row>
    <row r="33" spans="5:15" ht="68.25" customHeight="1" x14ac:dyDescent="0.25">
      <c r="E33" s="18" t="s">
        <v>11</v>
      </c>
      <c r="F33" s="18" t="s">
        <v>25</v>
      </c>
      <c r="G33" s="18" t="s">
        <v>26</v>
      </c>
      <c r="H33" s="19" t="s">
        <v>27</v>
      </c>
      <c r="I33" s="18"/>
    </row>
    <row r="34" spans="5:15" ht="15.75" x14ac:dyDescent="0.25">
      <c r="E34" s="20">
        <v>1</v>
      </c>
      <c r="F34" s="21" t="s">
        <v>28</v>
      </c>
      <c r="G34" s="22">
        <v>24</v>
      </c>
      <c r="H34" s="22">
        <v>3.5</v>
      </c>
      <c r="I34" s="23"/>
      <c r="J34" s="1">
        <f t="shared" ref="J34:J42" si="0">G34*H34</f>
        <v>84</v>
      </c>
    </row>
    <row r="35" spans="5:15" ht="63" customHeight="1" x14ac:dyDescent="0.25">
      <c r="E35" s="20">
        <v>2</v>
      </c>
      <c r="F35" s="23" t="s">
        <v>68</v>
      </c>
      <c r="G35" s="22">
        <v>190</v>
      </c>
      <c r="H35" s="22">
        <v>1</v>
      </c>
      <c r="I35" s="24"/>
      <c r="J35" s="1">
        <f t="shared" si="0"/>
        <v>190</v>
      </c>
    </row>
    <row r="36" spans="5:15" ht="31.5" x14ac:dyDescent="0.25">
      <c r="E36" s="20">
        <v>3</v>
      </c>
      <c r="F36" s="23" t="s">
        <v>67</v>
      </c>
      <c r="G36" s="22">
        <v>5</v>
      </c>
      <c r="H36" s="22">
        <v>7</v>
      </c>
      <c r="I36" s="23"/>
      <c r="J36" s="1">
        <f t="shared" si="0"/>
        <v>35</v>
      </c>
    </row>
    <row r="37" spans="5:15" ht="52.5" customHeight="1" x14ac:dyDescent="0.25">
      <c r="E37" s="20">
        <v>4</v>
      </c>
      <c r="F37" s="23" t="s">
        <v>69</v>
      </c>
      <c r="G37" s="22">
        <v>1</v>
      </c>
      <c r="H37" s="22">
        <v>88.5</v>
      </c>
      <c r="I37" s="23"/>
      <c r="J37" s="1">
        <f t="shared" si="0"/>
        <v>88.5</v>
      </c>
    </row>
    <row r="38" spans="5:15" ht="60" customHeight="1" x14ac:dyDescent="0.25">
      <c r="E38" s="20">
        <v>5</v>
      </c>
      <c r="F38" s="23" t="s">
        <v>70</v>
      </c>
      <c r="G38" s="22">
        <v>24</v>
      </c>
      <c r="H38" s="22">
        <v>0.5</v>
      </c>
      <c r="I38" s="23"/>
      <c r="J38" s="1">
        <f t="shared" si="0"/>
        <v>12</v>
      </c>
    </row>
    <row r="39" spans="5:15" ht="63" x14ac:dyDescent="0.25">
      <c r="E39" s="25">
        <v>6</v>
      </c>
      <c r="F39" s="26" t="s">
        <v>29</v>
      </c>
      <c r="G39" s="27">
        <v>1</v>
      </c>
      <c r="H39" s="27">
        <f>16+7</f>
        <v>23</v>
      </c>
      <c r="I39" s="26"/>
      <c r="J39" s="1">
        <f t="shared" si="0"/>
        <v>23</v>
      </c>
    </row>
    <row r="40" spans="5:15" ht="47.25" x14ac:dyDescent="0.25">
      <c r="E40" s="25">
        <v>7</v>
      </c>
      <c r="F40" s="23" t="s">
        <v>57</v>
      </c>
      <c r="G40" s="27">
        <v>2</v>
      </c>
      <c r="H40" s="27">
        <v>4</v>
      </c>
      <c r="I40" s="26"/>
    </row>
    <row r="41" spans="5:15" ht="36.950000000000003" customHeight="1" x14ac:dyDescent="0.25">
      <c r="E41" s="20">
        <v>8</v>
      </c>
      <c r="F41" s="23" t="s">
        <v>71</v>
      </c>
      <c r="G41" s="22">
        <v>7</v>
      </c>
      <c r="H41" s="22">
        <v>5</v>
      </c>
      <c r="I41" s="23"/>
      <c r="J41" s="1">
        <f t="shared" si="0"/>
        <v>35</v>
      </c>
    </row>
    <row r="42" spans="5:15" ht="31.5" x14ac:dyDescent="0.25">
      <c r="E42" s="20">
        <v>9</v>
      </c>
      <c r="F42" s="23" t="s">
        <v>72</v>
      </c>
      <c r="G42" s="22">
        <v>19</v>
      </c>
      <c r="H42" s="22">
        <v>0.5</v>
      </c>
      <c r="I42" s="23"/>
      <c r="J42" s="1">
        <f t="shared" si="0"/>
        <v>9.5</v>
      </c>
    </row>
    <row r="43" spans="5:15" ht="15.75" x14ac:dyDescent="0.25">
      <c r="E43" s="46" t="s">
        <v>31</v>
      </c>
      <c r="F43" s="41"/>
      <c r="G43" s="28">
        <f>SUM(G34:G42)</f>
        <v>273</v>
      </c>
      <c r="H43" s="28"/>
      <c r="I43" s="29"/>
      <c r="J43" s="1">
        <f>SUM(J34:J42)</f>
        <v>477</v>
      </c>
    </row>
    <row r="44" spans="5:15" x14ac:dyDescent="0.25">
      <c r="E44" s="30"/>
      <c r="F44" s="30"/>
      <c r="G44" s="30"/>
      <c r="H44" s="30"/>
      <c r="I44" s="30"/>
    </row>
    <row r="45" spans="5:15" ht="34.5" customHeight="1" x14ac:dyDescent="0.3">
      <c r="E45" s="37" t="s">
        <v>32</v>
      </c>
      <c r="F45" s="37"/>
      <c r="G45" s="31"/>
      <c r="H45" s="32"/>
      <c r="I45" s="32"/>
      <c r="O45" s="33"/>
    </row>
    <row r="46" spans="5:15" ht="168.75" customHeight="1" x14ac:dyDescent="0.25">
      <c r="E46" s="38" t="s">
        <v>73</v>
      </c>
      <c r="F46" s="38"/>
      <c r="G46" s="38"/>
      <c r="H46" s="38"/>
      <c r="I46" s="38"/>
    </row>
    <row r="47" spans="5:15" ht="39" customHeight="1" x14ac:dyDescent="0.3">
      <c r="E47" s="36" t="s">
        <v>33</v>
      </c>
      <c r="F47" s="36"/>
      <c r="G47" s="30"/>
      <c r="H47" s="30"/>
      <c r="I47" s="30"/>
    </row>
    <row r="48" spans="5:15" x14ac:dyDescent="0.25">
      <c r="E48" s="30"/>
      <c r="F48" s="30"/>
      <c r="G48" s="30"/>
      <c r="H48" s="30"/>
      <c r="I48" s="30"/>
    </row>
  </sheetData>
  <mergeCells count="14">
    <mergeCell ref="E46:I46"/>
    <mergeCell ref="E47:F47"/>
    <mergeCell ref="E21:F21"/>
    <mergeCell ref="E22:F22"/>
    <mergeCell ref="E23:G23"/>
    <mergeCell ref="E31:F31"/>
    <mergeCell ref="E43:F43"/>
    <mergeCell ref="E45:F45"/>
    <mergeCell ref="E12:G12"/>
    <mergeCell ref="E1:I1"/>
    <mergeCell ref="F2:H2"/>
    <mergeCell ref="E5:F5"/>
    <mergeCell ref="E9:F9"/>
    <mergeCell ref="E10:F10"/>
  </mergeCells>
  <pageMargins left="0.70866137742996216" right="0.70866137742996216" top="0.74803149700164795" bottom="0.74803149700164795" header="0.31496062874794006" footer="0.31496062874794006"/>
  <pageSetup paperSize="9" scale="65" orientation="portrait"/>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O56"/>
  <sheetViews>
    <sheetView topLeftCell="A16" zoomScaleNormal="100" workbookViewId="0">
      <selection activeCell="E53" sqref="E53:I54"/>
    </sheetView>
  </sheetViews>
  <sheetFormatPr defaultColWidth="9.140625" defaultRowHeight="15" x14ac:dyDescent="0.25"/>
  <cols>
    <col min="1" max="4" width="9.140625" style="1" bestFit="1" customWidth="1"/>
    <col min="5" max="5" width="20.28515625" style="1" customWidth="1"/>
    <col min="6" max="6" width="70.140625" style="1" customWidth="1"/>
    <col min="7" max="7" width="16.140625" style="1" customWidth="1"/>
    <col min="8" max="8" width="17.140625" style="1" customWidth="1"/>
    <col min="9" max="9" width="41" style="1" hidden="1" customWidth="1"/>
    <col min="10" max="10" width="9.140625" style="1" bestFit="1" customWidth="1"/>
    <col min="11" max="16384" width="9.140625" style="1"/>
  </cols>
  <sheetData>
    <row r="1" spans="5:9" ht="56.25" customHeight="1" x14ac:dyDescent="0.25">
      <c r="E1" s="35" t="s">
        <v>46</v>
      </c>
      <c r="F1" s="35"/>
      <c r="G1" s="35"/>
      <c r="H1" s="35"/>
      <c r="I1" s="35"/>
    </row>
    <row r="2" spans="5:9" ht="37.5" customHeight="1" x14ac:dyDescent="0.25">
      <c r="E2" s="2" t="s">
        <v>1</v>
      </c>
      <c r="F2" s="39" t="s">
        <v>2</v>
      </c>
      <c r="G2" s="39"/>
      <c r="H2" s="39"/>
      <c r="I2" s="3"/>
    </row>
    <row r="3" spans="5:9" ht="35.25" customHeight="1" x14ac:dyDescent="0.25">
      <c r="E3" s="2" t="s">
        <v>3</v>
      </c>
      <c r="F3" s="4" t="s">
        <v>4</v>
      </c>
      <c r="G3" s="3"/>
      <c r="H3" s="3"/>
      <c r="I3" s="3"/>
    </row>
    <row r="4" spans="5:9" ht="35.25" customHeight="1" x14ac:dyDescent="0.25">
      <c r="E4" s="2" t="s">
        <v>5</v>
      </c>
      <c r="F4" s="5" t="s">
        <v>65</v>
      </c>
      <c r="G4" s="3"/>
      <c r="H4" s="3"/>
      <c r="I4" s="3"/>
    </row>
    <row r="5" spans="5:9" ht="28.5" customHeight="1" x14ac:dyDescent="0.25">
      <c r="E5" s="42" t="s">
        <v>6</v>
      </c>
      <c r="F5" s="42"/>
      <c r="G5" s="3"/>
      <c r="H5" s="3"/>
      <c r="I5" s="3"/>
    </row>
    <row r="6" spans="5:9" ht="18.75" x14ac:dyDescent="0.25">
      <c r="E6" s="2"/>
      <c r="F6" s="2" t="str">
        <f>"1. Производительность труда: "&amp;TEXT(G19, "#,0%")</f>
        <v>1. Производительность труда: -11,3%</v>
      </c>
      <c r="G6" s="3"/>
      <c r="H6" s="3"/>
      <c r="I6" s="3"/>
    </row>
    <row r="7" spans="5:9" ht="18.75" x14ac:dyDescent="0.25">
      <c r="E7" s="2"/>
      <c r="F7" s="2" t="str">
        <f>"2. Интенсивность труда:           "&amp;TEXT(G29, "#,0%")</f>
        <v>2. Интенсивность труда:           321,4%</v>
      </c>
      <c r="G7" s="3"/>
      <c r="H7" s="3"/>
      <c r="I7" s="3"/>
    </row>
    <row r="8" spans="5:9" ht="15.75" x14ac:dyDescent="0.25">
      <c r="E8" s="3"/>
      <c r="F8" s="3"/>
      <c r="G8" s="3"/>
      <c r="H8" s="3"/>
      <c r="I8" s="3"/>
    </row>
    <row r="9" spans="5:9" ht="30" customHeight="1" x14ac:dyDescent="0.3">
      <c r="E9" s="37" t="s">
        <v>7</v>
      </c>
      <c r="F9" s="37"/>
      <c r="G9" s="3"/>
      <c r="H9" s="3"/>
      <c r="I9" s="3"/>
    </row>
    <row r="10" spans="5:9" ht="26.25" customHeight="1" x14ac:dyDescent="0.3">
      <c r="E10" s="43" t="s">
        <v>8</v>
      </c>
      <c r="F10" s="43"/>
      <c r="G10" s="3"/>
      <c r="H10" s="3"/>
      <c r="I10" s="3"/>
    </row>
    <row r="11" spans="5:9" ht="21.75" customHeight="1" x14ac:dyDescent="0.3">
      <c r="E11" s="7" t="s">
        <v>9</v>
      </c>
      <c r="F11" s="7"/>
      <c r="G11" s="3"/>
      <c r="H11" s="3"/>
      <c r="I11" s="3"/>
    </row>
    <row r="12" spans="5:9" ht="120.75" customHeight="1" x14ac:dyDescent="0.3">
      <c r="E12" s="44" t="s">
        <v>10</v>
      </c>
      <c r="F12" s="44"/>
      <c r="G12" s="44"/>
      <c r="H12" s="3"/>
      <c r="I12" s="3"/>
    </row>
    <row r="13" spans="5:9" ht="18.75" x14ac:dyDescent="0.3">
      <c r="E13" s="6"/>
      <c r="F13" s="6"/>
      <c r="G13" s="3"/>
      <c r="H13" s="3"/>
      <c r="I13" s="3"/>
    </row>
    <row r="14" spans="5:9" ht="18.75" x14ac:dyDescent="0.25">
      <c r="E14" s="8" t="s">
        <v>11</v>
      </c>
      <c r="F14" s="8" t="s">
        <v>12</v>
      </c>
      <c r="G14" s="9" t="s">
        <v>13</v>
      </c>
      <c r="H14" s="3"/>
      <c r="I14" s="3"/>
    </row>
    <row r="15" spans="5:9" ht="18.75" x14ac:dyDescent="0.25">
      <c r="E15" s="10">
        <v>1</v>
      </c>
      <c r="F15" s="11" t="s">
        <v>14</v>
      </c>
      <c r="G15" s="12">
        <v>165</v>
      </c>
      <c r="H15" s="3"/>
      <c r="I15" s="3"/>
    </row>
    <row r="16" spans="5:9" ht="37.5" x14ac:dyDescent="0.25">
      <c r="E16" s="10">
        <v>2</v>
      </c>
      <c r="F16" s="13" t="s">
        <v>47</v>
      </c>
      <c r="G16" s="12">
        <f>ROUND(SUM(G49:J49), 2)</f>
        <v>155.75</v>
      </c>
      <c r="H16" s="3"/>
      <c r="I16" s="3"/>
    </row>
    <row r="17" spans="5:9" ht="18.75" x14ac:dyDescent="0.25">
      <c r="E17" s="10">
        <v>3</v>
      </c>
      <c r="F17" s="13" t="s">
        <v>48</v>
      </c>
      <c r="G17" s="12">
        <f>ROUND(8/G16, 0)-3</f>
        <v>-3</v>
      </c>
      <c r="H17" s="3"/>
      <c r="I17" s="3"/>
    </row>
    <row r="18" spans="5:9" ht="37.5" x14ac:dyDescent="0.25">
      <c r="E18" s="10">
        <v>4</v>
      </c>
      <c r="F18" s="13" t="s">
        <v>49</v>
      </c>
      <c r="G18" s="12">
        <f>ROUND(G49/G15, 2)</f>
        <v>0.34</v>
      </c>
      <c r="H18" s="3"/>
      <c r="I18" s="3"/>
    </row>
    <row r="19" spans="5:9" ht="18.75" x14ac:dyDescent="0.25">
      <c r="E19" s="10">
        <v>5</v>
      </c>
      <c r="F19" s="14" t="s">
        <v>18</v>
      </c>
      <c r="G19" s="15">
        <f>G18/G17</f>
        <v>-0.11333333333333334</v>
      </c>
      <c r="H19" s="3"/>
      <c r="I19" s="3"/>
    </row>
    <row r="20" spans="5:9" ht="18.75" x14ac:dyDescent="0.3">
      <c r="E20" s="16"/>
      <c r="F20" s="6"/>
      <c r="G20" s="17"/>
      <c r="H20" s="3"/>
      <c r="I20" s="3"/>
    </row>
    <row r="21" spans="5:9" ht="24" customHeight="1" x14ac:dyDescent="0.3">
      <c r="E21" s="43" t="s">
        <v>19</v>
      </c>
      <c r="F21" s="43"/>
      <c r="G21" s="3"/>
      <c r="H21" s="3"/>
      <c r="I21" s="3"/>
    </row>
    <row r="22" spans="5:9" ht="18.75" x14ac:dyDescent="0.3">
      <c r="E22" s="45" t="s">
        <v>9</v>
      </c>
      <c r="F22" s="45"/>
      <c r="G22" s="3"/>
      <c r="H22" s="3"/>
      <c r="I22" s="3"/>
    </row>
    <row r="23" spans="5:9" ht="159" customHeight="1" x14ac:dyDescent="0.3">
      <c r="E23" s="44" t="s">
        <v>20</v>
      </c>
      <c r="F23" s="44"/>
      <c r="G23" s="44"/>
      <c r="H23" s="3"/>
      <c r="I23" s="3"/>
    </row>
    <row r="24" spans="5:9" ht="18.75" x14ac:dyDescent="0.3">
      <c r="E24" s="6"/>
      <c r="F24" s="6"/>
      <c r="G24" s="3"/>
      <c r="H24" s="3"/>
      <c r="I24" s="3"/>
    </row>
    <row r="25" spans="5:9" ht="18.75" x14ac:dyDescent="0.25">
      <c r="E25" s="8" t="s">
        <v>11</v>
      </c>
      <c r="F25" s="8" t="s">
        <v>12</v>
      </c>
      <c r="G25" s="9" t="s">
        <v>13</v>
      </c>
      <c r="H25" s="3"/>
      <c r="I25" s="3"/>
    </row>
    <row r="26" spans="5:9" ht="18.75" x14ac:dyDescent="0.25">
      <c r="E26" s="10">
        <v>1</v>
      </c>
      <c r="F26" s="11" t="s">
        <v>14</v>
      </c>
      <c r="G26" s="12">
        <v>165</v>
      </c>
      <c r="H26" s="3"/>
      <c r="I26" s="3"/>
    </row>
    <row r="27" spans="5:9" ht="39.75" customHeight="1" x14ac:dyDescent="0.25">
      <c r="E27" s="10">
        <v>2</v>
      </c>
      <c r="F27" s="13" t="s">
        <v>50</v>
      </c>
      <c r="G27" s="12">
        <f>SUM(J34:J49)</f>
        <v>2273.1</v>
      </c>
      <c r="H27" s="3"/>
      <c r="I27" s="3"/>
    </row>
    <row r="28" spans="5:9" ht="56.25" x14ac:dyDescent="0.25">
      <c r="E28" s="10">
        <v>3</v>
      </c>
      <c r="F28" s="13" t="s">
        <v>51</v>
      </c>
      <c r="G28" s="12">
        <f>(8-2)*G26</f>
        <v>990</v>
      </c>
      <c r="H28" s="3"/>
      <c r="I28" s="3"/>
    </row>
    <row r="29" spans="5:9" ht="19.5" x14ac:dyDescent="0.25">
      <c r="E29" s="10">
        <v>4</v>
      </c>
      <c r="F29" s="14" t="s">
        <v>52</v>
      </c>
      <c r="G29" s="15">
        <f>G27/G28*1.4</f>
        <v>3.2144848484848483</v>
      </c>
      <c r="H29" s="3"/>
      <c r="I29" s="3"/>
    </row>
    <row r="30" spans="5:9" ht="18.75" x14ac:dyDescent="0.25">
      <c r="E30" s="16"/>
      <c r="F30" s="2"/>
      <c r="G30" s="17"/>
      <c r="H30" s="3"/>
      <c r="I30" s="3"/>
    </row>
    <row r="31" spans="5:9" ht="41.25" customHeight="1" x14ac:dyDescent="0.3">
      <c r="E31" s="37" t="s">
        <v>24</v>
      </c>
      <c r="F31" s="37"/>
      <c r="G31" s="17"/>
      <c r="H31" s="3"/>
      <c r="I31" s="3"/>
    </row>
    <row r="32" spans="5:9" ht="18.75" customHeight="1" x14ac:dyDescent="0.25">
      <c r="E32" s="3"/>
      <c r="F32" s="3"/>
      <c r="G32" s="3"/>
      <c r="H32" s="3"/>
      <c r="I32" s="3"/>
    </row>
    <row r="33" spans="5:10" ht="68.25" customHeight="1" x14ac:dyDescent="0.25">
      <c r="E33" s="18" t="s">
        <v>11</v>
      </c>
      <c r="F33" s="18" t="s">
        <v>25</v>
      </c>
      <c r="G33" s="18" t="s">
        <v>26</v>
      </c>
      <c r="H33" s="19" t="s">
        <v>27</v>
      </c>
      <c r="I33" s="18"/>
    </row>
    <row r="34" spans="5:10" ht="15.75" x14ac:dyDescent="0.25">
      <c r="E34" s="20">
        <v>1</v>
      </c>
      <c r="F34" s="21" t="s">
        <v>28</v>
      </c>
      <c r="G34" s="22">
        <v>99</v>
      </c>
      <c r="H34" s="22">
        <v>3.5</v>
      </c>
      <c r="I34" s="23"/>
      <c r="J34" s="1">
        <f t="shared" ref="J34:J49" si="0">G34*H34</f>
        <v>346.5</v>
      </c>
    </row>
    <row r="35" spans="5:10" ht="63" customHeight="1" x14ac:dyDescent="0.25">
      <c r="E35" s="20">
        <v>2</v>
      </c>
      <c r="F35" s="23" t="s">
        <v>68</v>
      </c>
      <c r="G35" s="22">
        <v>191</v>
      </c>
      <c r="H35" s="22">
        <v>1</v>
      </c>
      <c r="I35" s="24"/>
      <c r="J35" s="1">
        <f t="shared" si="0"/>
        <v>191</v>
      </c>
    </row>
    <row r="36" spans="5:10" ht="31.5" x14ac:dyDescent="0.25">
      <c r="E36" s="20">
        <v>3</v>
      </c>
      <c r="F36" s="23" t="s">
        <v>67</v>
      </c>
      <c r="G36" s="22">
        <v>11</v>
      </c>
      <c r="H36" s="22">
        <v>7</v>
      </c>
      <c r="I36" s="23"/>
      <c r="J36" s="1">
        <f t="shared" si="0"/>
        <v>77</v>
      </c>
    </row>
    <row r="37" spans="5:10" ht="52.5" customHeight="1" x14ac:dyDescent="0.25">
      <c r="E37" s="20">
        <v>4</v>
      </c>
      <c r="F37" s="23" t="s">
        <v>70</v>
      </c>
      <c r="G37" s="22">
        <v>36</v>
      </c>
      <c r="H37" s="22">
        <v>0.5</v>
      </c>
      <c r="I37" s="23"/>
      <c r="J37" s="1">
        <f t="shared" si="0"/>
        <v>18</v>
      </c>
    </row>
    <row r="38" spans="5:10" ht="60" customHeight="1" x14ac:dyDescent="0.25">
      <c r="E38" s="20">
        <v>5</v>
      </c>
      <c r="F38" s="23" t="s">
        <v>69</v>
      </c>
      <c r="G38" s="22">
        <v>1</v>
      </c>
      <c r="H38" s="22">
        <f>8*3</f>
        <v>24</v>
      </c>
      <c r="I38" s="23"/>
      <c r="J38" s="1">
        <f t="shared" si="0"/>
        <v>24</v>
      </c>
    </row>
    <row r="39" spans="5:10" ht="63" x14ac:dyDescent="0.25">
      <c r="E39" s="25">
        <v>6</v>
      </c>
      <c r="F39" s="26" t="s">
        <v>29</v>
      </c>
      <c r="G39" s="27">
        <v>1</v>
      </c>
      <c r="H39" s="27">
        <f>16+7</f>
        <v>23</v>
      </c>
      <c r="I39" s="26"/>
      <c r="J39" s="1">
        <f t="shared" si="0"/>
        <v>23</v>
      </c>
    </row>
    <row r="40" spans="5:10" ht="47.25" x14ac:dyDescent="0.25">
      <c r="E40" s="20">
        <v>7</v>
      </c>
      <c r="F40" s="23" t="s">
        <v>58</v>
      </c>
      <c r="G40" s="22">
        <v>2</v>
      </c>
      <c r="H40" s="22">
        <v>4</v>
      </c>
      <c r="I40" s="23"/>
      <c r="J40" s="1">
        <f t="shared" si="0"/>
        <v>8</v>
      </c>
    </row>
    <row r="41" spans="5:10" ht="47.25" x14ac:dyDescent="0.25">
      <c r="E41" s="20">
        <v>8</v>
      </c>
      <c r="F41" s="23" t="s">
        <v>30</v>
      </c>
      <c r="G41" s="22">
        <v>1</v>
      </c>
      <c r="H41" s="22">
        <v>4</v>
      </c>
      <c r="I41" s="23"/>
      <c r="J41" s="1">
        <f t="shared" si="0"/>
        <v>4</v>
      </c>
    </row>
    <row r="42" spans="5:10" ht="44.25" customHeight="1" x14ac:dyDescent="0.25">
      <c r="E42" s="20">
        <v>9</v>
      </c>
      <c r="F42" s="26" t="s">
        <v>41</v>
      </c>
      <c r="G42" s="27">
        <v>15</v>
      </c>
      <c r="H42" s="27">
        <v>3</v>
      </c>
      <c r="I42" s="34"/>
      <c r="J42" s="1">
        <f t="shared" si="0"/>
        <v>45</v>
      </c>
    </row>
    <row r="43" spans="5:10" ht="31.5" x14ac:dyDescent="0.25">
      <c r="E43" s="20">
        <v>10</v>
      </c>
      <c r="F43" s="23" t="s">
        <v>42</v>
      </c>
      <c r="G43" s="22">
        <v>1</v>
      </c>
      <c r="H43" s="22">
        <v>12</v>
      </c>
      <c r="I43" s="34"/>
      <c r="J43" s="1">
        <f t="shared" si="0"/>
        <v>12</v>
      </c>
    </row>
    <row r="44" spans="5:10" ht="94.5" x14ac:dyDescent="0.25">
      <c r="E44" s="20">
        <v>11</v>
      </c>
      <c r="F44" s="23" t="s">
        <v>43</v>
      </c>
      <c r="G44" s="22">
        <v>1</v>
      </c>
      <c r="H44" s="22">
        <v>5</v>
      </c>
      <c r="I44" s="34"/>
      <c r="J44" s="1">
        <f t="shared" si="0"/>
        <v>5</v>
      </c>
    </row>
    <row r="45" spans="5:10" ht="63" x14ac:dyDescent="0.25">
      <c r="E45" s="20">
        <v>12</v>
      </c>
      <c r="F45" s="23" t="s">
        <v>44</v>
      </c>
      <c r="G45" s="22">
        <v>1</v>
      </c>
      <c r="H45" s="22">
        <v>16</v>
      </c>
      <c r="I45" s="34"/>
      <c r="J45" s="1">
        <f t="shared" si="0"/>
        <v>16</v>
      </c>
    </row>
    <row r="46" spans="5:10" ht="15.75" x14ac:dyDescent="0.25">
      <c r="E46" s="20">
        <v>13</v>
      </c>
      <c r="F46" s="23" t="s">
        <v>45</v>
      </c>
      <c r="G46" s="22">
        <v>1</v>
      </c>
      <c r="H46" s="22">
        <v>16</v>
      </c>
      <c r="I46" s="34"/>
      <c r="J46" s="1">
        <f t="shared" si="0"/>
        <v>16</v>
      </c>
    </row>
    <row r="47" spans="5:10" ht="31.5" x14ac:dyDescent="0.25">
      <c r="E47" s="25">
        <v>14</v>
      </c>
      <c r="F47" s="23" t="s">
        <v>59</v>
      </c>
      <c r="G47" s="22">
        <v>1</v>
      </c>
      <c r="H47" s="22">
        <v>1382.1</v>
      </c>
      <c r="I47" s="34"/>
      <c r="J47" s="1">
        <f t="shared" si="0"/>
        <v>1382.1</v>
      </c>
    </row>
    <row r="48" spans="5:10" ht="51.75" customHeight="1" x14ac:dyDescent="0.25">
      <c r="E48" s="20">
        <v>15</v>
      </c>
      <c r="F48" s="23" t="s">
        <v>53</v>
      </c>
      <c r="G48" s="22">
        <v>6</v>
      </c>
      <c r="H48" s="22">
        <v>1.25</v>
      </c>
      <c r="I48" s="34"/>
      <c r="J48" s="1">
        <f t="shared" si="0"/>
        <v>7.5</v>
      </c>
    </row>
    <row r="49" spans="5:15" ht="170.25" customHeight="1" x14ac:dyDescent="0.25">
      <c r="E49" s="20">
        <v>16</v>
      </c>
      <c r="F49" s="23" t="s">
        <v>54</v>
      </c>
      <c r="G49" s="22">
        <f>39+17</f>
        <v>56</v>
      </c>
      <c r="H49" s="22">
        <v>1.75</v>
      </c>
      <c r="I49" s="34"/>
      <c r="J49" s="1">
        <f t="shared" si="0"/>
        <v>98</v>
      </c>
    </row>
    <row r="50" spans="5:15" ht="15.75" x14ac:dyDescent="0.25">
      <c r="E50" s="40" t="s">
        <v>31</v>
      </c>
      <c r="F50" s="41"/>
      <c r="G50" s="28">
        <f>SUM(G34:G49)</f>
        <v>424</v>
      </c>
      <c r="H50" s="28"/>
      <c r="I50" s="29"/>
    </row>
    <row r="51" spans="5:15" x14ac:dyDescent="0.25">
      <c r="E51" s="30"/>
      <c r="F51" s="30"/>
      <c r="G51" s="30"/>
      <c r="H51" s="30"/>
      <c r="I51" s="30"/>
    </row>
    <row r="52" spans="5:15" ht="34.5" customHeight="1" x14ac:dyDescent="0.3">
      <c r="E52" s="37" t="s">
        <v>32</v>
      </c>
      <c r="F52" s="37"/>
      <c r="G52" s="31"/>
      <c r="H52" s="32"/>
      <c r="I52" s="32"/>
      <c r="O52" s="33"/>
    </row>
    <row r="53" spans="5:15" ht="202.5" customHeight="1" x14ac:dyDescent="0.25">
      <c r="E53" s="38" t="s">
        <v>55</v>
      </c>
      <c r="F53" s="38"/>
      <c r="G53" s="38"/>
      <c r="H53" s="38"/>
      <c r="I53" s="38"/>
    </row>
    <row r="54" spans="5:15" ht="408.95" customHeight="1" x14ac:dyDescent="0.25">
      <c r="E54" s="38"/>
      <c r="F54" s="38"/>
      <c r="G54" s="38"/>
      <c r="H54" s="38"/>
      <c r="I54" s="38"/>
      <c r="L54" s="1">
        <v>4</v>
      </c>
    </row>
    <row r="55" spans="5:15" ht="29.25" customHeight="1" x14ac:dyDescent="0.3">
      <c r="E55" s="36" t="s">
        <v>33</v>
      </c>
      <c r="F55" s="36"/>
      <c r="G55" s="30"/>
      <c r="H55" s="30"/>
      <c r="I55" s="30"/>
    </row>
    <row r="56" spans="5:15" x14ac:dyDescent="0.25">
      <c r="E56" s="30"/>
      <c r="F56" s="30"/>
      <c r="G56" s="30"/>
      <c r="H56" s="30"/>
      <c r="I56" s="30"/>
    </row>
  </sheetData>
  <mergeCells count="14">
    <mergeCell ref="E55:F55"/>
    <mergeCell ref="E53:I54"/>
    <mergeCell ref="E21:F21"/>
    <mergeCell ref="E22:F22"/>
    <mergeCell ref="E23:G23"/>
    <mergeCell ref="E31:F31"/>
    <mergeCell ref="E50:F50"/>
    <mergeCell ref="E52:F52"/>
    <mergeCell ref="E12:G12"/>
    <mergeCell ref="E1:I1"/>
    <mergeCell ref="F2:H2"/>
    <mergeCell ref="E5:F5"/>
    <mergeCell ref="E9:F9"/>
    <mergeCell ref="E10:F10"/>
  </mergeCells>
  <pageMargins left="0.70866137742996216" right="0.70866137742996216" top="0.74803149700164795" bottom="0.74803149700164795" header="0.31496062874794006" footer="0.31496062874794006"/>
  <pageSetup paperSize="9" scale="65" orientation="portrait"/>
  <colBreaks count="1" manualBreakCount="1">
    <brk id="4" max="1048575" man="1"/>
  </colBreaks>
</worksheet>
</file>

<file path=docProps/app.xml><?xml version="1.0" encoding="utf-8"?>
<Properties xmlns="http://schemas.openxmlformats.org/officeDocument/2006/extended-properties" xmlns:vt="http://schemas.openxmlformats.org/officeDocument/2006/docPropsVTypes">
  <Template>Normal.dotm</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3</vt:i4>
      </vt:variant>
    </vt:vector>
  </HeadingPairs>
  <TitlesOfParts>
    <vt:vector size="6" baseType="lpstr">
      <vt:lpstr>сентябрь</vt:lpstr>
      <vt:lpstr>третий квартал</vt:lpstr>
      <vt:lpstr>9 месяцев</vt:lpstr>
      <vt:lpstr>'9 месяцев'!Область_печати</vt:lpstr>
      <vt:lpstr>сентябрь!Область_печати</vt:lpstr>
      <vt:lpstr>'третий квартал'!Область_печати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Шарова Римма Фаргатовна</dc:creator>
  <cp:lastModifiedBy>SABEN_MUSIC</cp:lastModifiedBy>
  <dcterms:created xsi:type="dcterms:W3CDTF">2006-09-28T05:33:49Z</dcterms:created>
  <dcterms:modified xsi:type="dcterms:W3CDTF">2026-09-27T08:58:49Z</dcterms:modified>
</cp:coreProperties>
</file>