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120" yWindow="105" windowWidth="15120" windowHeight="8010" activeTab="2"/>
  </bookViews>
  <sheets>
    <sheet name="июнь" sheetId="4" r:id="rId1"/>
    <sheet name="2ой квартал" sheetId="8" r:id="rId2"/>
    <sheet name="1ое полугодие" sheetId="9" r:id="rId3"/>
  </sheets>
  <definedNames>
    <definedName name="_xlnm.Print_Area" localSheetId="2">'1ое полугодие'!$E$1:$I$57</definedName>
    <definedName name="_xlnm.Print_Area" localSheetId="1">'2ой квартал'!$E$1:$I$51</definedName>
    <definedName name="_xlnm.Print_Area" localSheetId="0">июнь!$E$1:$I$48</definedName>
  </definedNames>
  <calcPr calcId="125725"/>
</workbook>
</file>

<file path=xl/calcChain.xml><?xml version="1.0" encoding="utf-8"?>
<calcChain xmlns="http://schemas.openxmlformats.org/spreadsheetml/2006/main">
  <c r="G29" i="9"/>
  <c r="G19"/>
  <c r="J52"/>
  <c r="J44"/>
  <c r="J45"/>
  <c r="J46"/>
  <c r="J47"/>
  <c r="J48"/>
  <c r="J49"/>
  <c r="J50"/>
  <c r="J51"/>
  <c r="G51"/>
  <c r="G40"/>
  <c r="G38"/>
  <c r="G37"/>
  <c r="G36"/>
  <c r="H34"/>
  <c r="G17" i="8"/>
  <c r="J46"/>
  <c r="J44"/>
  <c r="J45"/>
  <c r="G37"/>
  <c r="G36"/>
  <c r="G35"/>
  <c r="G29" i="4"/>
  <c r="G19"/>
  <c r="G35"/>
  <c r="G28" l="1"/>
  <c r="G28" i="9"/>
  <c r="G52" l="1"/>
  <c r="G18" s="1"/>
  <c r="J43"/>
  <c r="J42"/>
  <c r="J41"/>
  <c r="J40"/>
  <c r="J39"/>
  <c r="J38"/>
  <c r="J37"/>
  <c r="J36"/>
  <c r="J35"/>
  <c r="J34"/>
  <c r="G28" i="8"/>
  <c r="G46" l="1"/>
  <c r="G18" s="1"/>
  <c r="J43"/>
  <c r="J42"/>
  <c r="J41"/>
  <c r="J40"/>
  <c r="J39"/>
  <c r="J38"/>
  <c r="J37"/>
  <c r="J36"/>
  <c r="J35"/>
  <c r="J34"/>
  <c r="G27" i="9" l="1"/>
  <c r="G16"/>
  <c r="G27" i="8"/>
  <c r="J37" i="4"/>
  <c r="J42"/>
  <c r="J36"/>
  <c r="J38"/>
  <c r="J39"/>
  <c r="J40"/>
  <c r="J41"/>
  <c r="J34"/>
  <c r="F7" i="9" l="1"/>
  <c r="F7" i="8"/>
  <c r="G29"/>
  <c r="G17" i="9"/>
  <c r="G16" i="8"/>
  <c r="G43" i="4"/>
  <c r="G18" s="1"/>
  <c r="J43"/>
  <c r="G16" s="1"/>
  <c r="J35"/>
  <c r="F6" i="9" l="1"/>
  <c r="F6" i="8"/>
  <c r="G19"/>
  <c r="G17" i="4"/>
  <c r="G27"/>
  <c r="F7" l="1"/>
  <c r="F6"/>
</calcChain>
</file>

<file path=xl/sharedStrings.xml><?xml version="1.0" encoding="utf-8"?>
<sst xmlns="http://schemas.openxmlformats.org/spreadsheetml/2006/main" count="197" uniqueCount="92">
  <si>
    <t>№</t>
  </si>
  <si>
    <t>Количество</t>
  </si>
  <si>
    <t>Период:</t>
  </si>
  <si>
    <t>Должность:</t>
  </si>
  <si>
    <t>ФИО:</t>
  </si>
  <si>
    <t>Наименование показателя / задачи</t>
  </si>
  <si>
    <t>Отчет о проделанной работе (ежемесячный)</t>
  </si>
  <si>
    <t>Среднее время единицы работы, ч.</t>
  </si>
  <si>
    <t>Показатель</t>
  </si>
  <si>
    <t>Значение</t>
  </si>
  <si>
    <t>Итого</t>
  </si>
  <si>
    <t>Показатели KPI:</t>
  </si>
  <si>
    <t>1. Произовдительность труда</t>
  </si>
  <si>
    <t>Расчет и обоснование показателей KPI</t>
  </si>
  <si>
    <t>Обоснование показателя:</t>
  </si>
  <si>
    <t>Методика расчета производительности строится на определении фактической трудоемкости одной задачи (на основе хронометража). Утвержденная трудоемкость служит базой для расчета плановой дневной нормы выработки. По итогам отчетного периода фиксируется фактическое среднедневное количество выполненных задач. Итоговый показатель эффективности (Индекс продуктивности) рассчитывается как отношение фактической выработки к плановой норме за аналогичный период</t>
  </si>
  <si>
    <r>
      <rPr>
        <b/>
        <sz val="14"/>
        <color theme="1"/>
        <rFont val="Times New Roman"/>
        <family val="1"/>
        <charset val="204"/>
      </rPr>
      <t>Хронометраж</t>
    </r>
    <r>
      <rPr>
        <sz val="14"/>
        <color theme="1"/>
        <rFont val="Times New Roman"/>
        <family val="1"/>
        <charset val="204"/>
      </rPr>
      <t xml:space="preserve"> </t>
    </r>
    <r>
      <rPr>
        <i/>
        <sz val="14"/>
        <color theme="1"/>
        <rFont val="Times New Roman"/>
        <family val="1"/>
        <charset val="204"/>
      </rPr>
      <t>(Среднее время выполнения 1-ой задачи), ч</t>
    </r>
  </si>
  <si>
    <r>
      <rPr>
        <b/>
        <sz val="14"/>
        <color theme="1"/>
        <rFont val="Times New Roman"/>
        <family val="1"/>
        <charset val="204"/>
      </rPr>
      <t>Норма выработки</t>
    </r>
    <r>
      <rPr>
        <sz val="14"/>
        <color theme="1"/>
        <rFont val="Times New Roman"/>
        <family val="1"/>
        <charset val="204"/>
      </rPr>
      <t xml:space="preserve"> </t>
    </r>
    <r>
      <rPr>
        <i/>
        <sz val="14"/>
        <color theme="1"/>
        <rFont val="Times New Roman"/>
        <family val="1"/>
        <charset val="204"/>
      </rPr>
      <t>(Плановое кол.во задач в день)</t>
    </r>
  </si>
  <si>
    <r>
      <rPr>
        <b/>
        <sz val="14"/>
        <color theme="1"/>
        <rFont val="Times New Roman"/>
        <family val="1"/>
        <charset val="204"/>
      </rPr>
      <t>Отчетный показатель</t>
    </r>
    <r>
      <rPr>
        <sz val="14"/>
        <color theme="1"/>
        <rFont val="Times New Roman"/>
        <family val="1"/>
        <charset val="204"/>
      </rPr>
      <t xml:space="preserve"> </t>
    </r>
    <r>
      <rPr>
        <i/>
        <sz val="14"/>
        <color theme="1"/>
        <rFont val="Times New Roman"/>
        <family val="1"/>
        <charset val="204"/>
      </rPr>
      <t>(Среднее кол.во задач в день по факту)</t>
    </r>
  </si>
  <si>
    <t>2. Интенсивность труда</t>
  </si>
  <si>
    <t>Индекс произоводительности труда:</t>
  </si>
  <si>
    <t>Методика расчета интенсивноси труда базируется на принципе учета чистого операционного времени, очищенного от регламентированных перерывов и организационных потерь. За базовый норматив принимается 8-часовой рабочий день, из которого вычитаются социально-обоснованные паузы (подготовка рабочего места, отдых, технические перерывы). Полученный показатель позволяет оценить реальную вовлеченность сотрудника в производственный процесс без искажения данных за счет неизбежных в любой деятельности пауз. Данный подход исключает штрафы за физическое отсутствие и фокусируется на продуктивности в чистом виде</t>
  </si>
  <si>
    <r>
      <rPr>
        <b/>
        <sz val="14"/>
        <color theme="1"/>
        <rFont val="Times New Roman"/>
        <family val="1"/>
        <charset val="204"/>
      </rPr>
      <t>Оперативное время</t>
    </r>
    <r>
      <rPr>
        <sz val="14"/>
        <color theme="1"/>
        <rFont val="Times New Roman"/>
        <family val="1"/>
        <charset val="204"/>
      </rPr>
      <t xml:space="preserve"> </t>
    </r>
    <r>
      <rPr>
        <i/>
        <sz val="14"/>
        <color theme="1"/>
        <rFont val="Times New Roman"/>
        <family val="1"/>
        <charset val="204"/>
      </rPr>
      <t>(Общее количество часов, потраченное на решение задач), ч</t>
    </r>
  </si>
  <si>
    <r>
      <rPr>
        <b/>
        <sz val="14"/>
        <color theme="1"/>
        <rFont val="Times New Roman"/>
        <family val="1"/>
        <charset val="204"/>
      </rPr>
      <t>Нормтивный показатель</t>
    </r>
    <r>
      <rPr>
        <sz val="14"/>
        <color theme="1"/>
        <rFont val="Times New Roman"/>
        <family val="1"/>
        <charset val="204"/>
      </rPr>
      <t xml:space="preserve"> </t>
    </r>
    <r>
      <rPr>
        <i/>
        <sz val="14"/>
        <color theme="1"/>
        <rFont val="Times New Roman"/>
        <family val="1"/>
        <charset val="204"/>
      </rPr>
      <t>(Нормативное кол.во часов день, исходя из 8-часового рабочего дня и социаольно обоснованных издрежек)</t>
    </r>
  </si>
  <si>
    <r>
      <t xml:space="preserve">Индекс интенсивности труда </t>
    </r>
    <r>
      <rPr>
        <b/>
        <i/>
        <sz val="14"/>
        <color theme="1"/>
        <rFont val="Times New Roman"/>
        <family val="1"/>
        <charset val="204"/>
      </rPr>
      <t>((Факт / План) * 100)</t>
    </r>
    <r>
      <rPr>
        <b/>
        <sz val="14"/>
        <color theme="1"/>
        <rFont val="Times New Roman"/>
        <family val="1"/>
        <charset val="204"/>
      </rPr>
      <t>:</t>
    </r>
  </si>
  <si>
    <t>Количество рабочих дней за отчетный период</t>
  </si>
  <si>
    <t>Выводы о проделанной работе на основании показателй KPI:</t>
  </si>
  <si>
    <t>Перечень выполненных задач за отчетный период</t>
  </si>
  <si>
    <t>Отчет о проделанной работе (квартальный)</t>
  </si>
  <si>
    <t>Отчет о проделанной работе (полугодовой)</t>
  </si>
  <si>
    <t>с 01 июня  по 19 июня (19 рабочих дней)</t>
  </si>
  <si>
    <t>Рассмотрение заявок участников на участие в закупках</t>
  </si>
  <si>
    <t>Подведение итогов конкурентных процедур</t>
  </si>
  <si>
    <t>2ой квартал (62 рабочих дня)</t>
  </si>
  <si>
    <t>Примечание</t>
  </si>
  <si>
    <t>1ое полугодие 2026 года (117 рабочих дней)</t>
  </si>
  <si>
    <t>Методика расчета интенсивности труда базируется на принципе учета чистого операционного времени, очищенного от регламентированных перерывов и организационных потерь. За базовый норматив принимается 8-часовой рабочий день, из которого вычитаются социально-обоснованные паузы (подготовка рабочего места, отдых, технические перерывы). Полученный показатель позволяет оценить реальную вовлеченность сотрудника в производственный процесс без искажения данных за счет неизбежных в любой деятельности пауз. Данный подход исключает штрафы за физическое отсутствие и фокусируется на продуктивности в чистом виде</t>
  </si>
  <si>
    <t>Главный специалист отдела
ценообразования контрактов и торгов</t>
  </si>
  <si>
    <t>Собянин Евгений Андреевич</t>
  </si>
  <si>
    <r>
      <rPr>
        <b/>
        <sz val="12"/>
        <color theme="1"/>
        <rFont val="Times New Roman"/>
        <family val="1"/>
        <charset val="204"/>
      </rPr>
      <t>Внесение изменений в план-график закупок:</t>
    </r>
    <r>
      <rPr>
        <sz val="12"/>
        <color theme="1"/>
        <rFont val="Times New Roman"/>
        <family val="1"/>
        <charset val="204"/>
      </rPr>
      <t xml:space="preserve">
</t>
    </r>
    <r>
      <rPr>
        <i/>
        <sz val="12"/>
        <color theme="1"/>
        <rFont val="Times New Roman"/>
        <family val="1"/>
        <charset val="204"/>
      </rPr>
      <t>- добавление новых объектов
- планирование и распределение федеральных и областных средств между существующими лотами
- корректировка заключенных контрактов в части финансирования
- многократная корректировка лота с малыми закупками</t>
    </r>
  </si>
  <si>
    <r>
      <t xml:space="preserve">Внесено 17 новых объектов:
</t>
    </r>
    <r>
      <rPr>
        <i/>
        <sz val="12"/>
        <color theme="1"/>
        <rFont val="Times New Roman"/>
        <family val="1"/>
        <charset val="204"/>
      </rPr>
      <t>- ПИР ЛНО (8 шт.)
- Ремонт (7 шт.)
- СК (1 шт.)
- Транспортная безопасность (1 шт.</t>
    </r>
    <r>
      <rPr>
        <sz val="12"/>
        <color theme="1"/>
        <rFont val="Times New Roman"/>
        <family val="1"/>
        <charset val="204"/>
      </rPr>
      <t>)</t>
    </r>
  </si>
  <si>
    <r>
      <rPr>
        <b/>
        <sz val="12"/>
        <color theme="1"/>
        <rFont val="Times New Roman"/>
        <family val="1"/>
        <charset val="204"/>
      </rPr>
      <t>Согласование изменений с контролирующими органами:</t>
    </r>
    <r>
      <rPr>
        <sz val="12"/>
        <color theme="1"/>
        <rFont val="Times New Roman"/>
        <family val="1"/>
        <charset val="204"/>
      </rPr>
      <t xml:space="preserve">
</t>
    </r>
    <r>
      <rPr>
        <i/>
        <sz val="12"/>
        <color theme="1"/>
        <rFont val="Times New Roman"/>
        <family val="1"/>
        <charset val="204"/>
      </rPr>
      <t>- Министерство транспорта
- Коммитет госзаказа
- Казначейство</t>
    </r>
  </si>
  <si>
    <t>Согласование представляет собой телефонный контакт с представителями контролирующих органов и детальное объяснение текущих изменений.</t>
  </si>
  <si>
    <r>
      <rPr>
        <b/>
        <sz val="12"/>
        <color theme="1"/>
        <rFont val="Times New Roman"/>
        <family val="1"/>
        <charset val="204"/>
      </rPr>
      <t>Расчет НМЦК на:</t>
    </r>
    <r>
      <rPr>
        <sz val="12"/>
        <color theme="1"/>
        <rFont val="Times New Roman"/>
        <family val="1"/>
        <charset val="204"/>
      </rPr>
      <t xml:space="preserve">
</t>
    </r>
    <r>
      <rPr>
        <i/>
        <sz val="12"/>
        <color theme="1"/>
        <rFont val="Times New Roman"/>
        <family val="1"/>
        <charset val="204"/>
      </rPr>
      <t>- ремонт (7 шт.)
- ПИР ЛНО (8 шт.)
- строительный контроль (2 шт.)
- авторский надзор (1шт.)
- транспортная безопаность (1шт.)</t>
    </r>
  </si>
  <si>
    <r>
      <t xml:space="preserve">Были сложные расчеты по:
</t>
    </r>
    <r>
      <rPr>
        <i/>
        <sz val="12"/>
        <color theme="1"/>
        <rFont val="Times New Roman"/>
        <family val="1"/>
        <charset val="204"/>
      </rPr>
      <t>- ПИР ЛНО
- авторский надздор</t>
    </r>
  </si>
  <si>
    <t>Рассмотрение завявки участника Павловскасфльтобетон заняло 2 рабочих дня, т.к. было &gt;300 актов КС-2, каждый из которых было необходимо проверить и сверить с информацией на ЕИС</t>
  </si>
  <si>
    <r>
      <t xml:space="preserve">Участие в ФАС:
</t>
    </r>
    <r>
      <rPr>
        <i/>
        <sz val="12"/>
        <color theme="1"/>
        <rFont val="Times New Roman"/>
        <family val="1"/>
        <charset val="204"/>
      </rPr>
      <t>- сбор информации и подготовка доводов
- участие в заседаниях и представление позиции</t>
    </r>
  </si>
  <si>
    <t>Было 2 заседания (оба победные)</t>
  </si>
  <si>
    <t>Подготовка писем и пакета документов для отправки в Министерство контрольных функций</t>
  </si>
  <si>
    <t>Сбор и комплектация документации, написание сопроводительных писем</t>
  </si>
  <si>
    <t>Приемка работ по содержанию (в части расценок)</t>
  </si>
  <si>
    <t>Одна проверка примерно 30-35 минут</t>
  </si>
  <si>
    <t>Приемка работ по ремонту (в части расценок)</t>
  </si>
  <si>
    <t>В этом месяце сдавали мало позиций, одна проверка занимала минут 10-15</t>
  </si>
  <si>
    <t>Информирование подрядчиков в части содержания расценок по содержанию</t>
  </si>
  <si>
    <t>Подрядчики спрашивают состав расценок или просят дать информацию о стоимости ресураса, входящего в состав расценки.</t>
  </si>
  <si>
    <t>Собянин Е.А. ___________________________</t>
  </si>
  <si>
    <t>Этот месяц выдался экстремально плотным по нагрузке и сложности задач. Пришлось иметь дело с действительно объемными задачами, где цена ошибки или срыва сроков была высокой. Я сознательно взял на себя ответственность за результат и выстроил работу так, чтобы не просто справиться, а сделать всё надежно. Как итог — продуктивность на уровне 205,7%, а глубина вовлеченности в процессы достигла 209,6%. Ни одного нарушения дедлайна, полная концентрация от старта до финиша. Рад, что удалось не просто выдержать этот темп, а доказать, что могу отвечать за такие сложные участки.</t>
  </si>
  <si>
    <r>
      <rPr>
        <b/>
        <sz val="12"/>
        <color theme="1"/>
        <rFont val="Times New Roman"/>
        <family val="1"/>
        <charset val="204"/>
      </rPr>
      <t>Внесение изменений в план-график закупок:</t>
    </r>
    <r>
      <rPr>
        <sz val="12"/>
        <color theme="1"/>
        <rFont val="Times New Roman"/>
        <family val="1"/>
        <charset val="204"/>
      </rPr>
      <t xml:space="preserve">
    </t>
    </r>
    <r>
      <rPr>
        <i/>
        <sz val="12"/>
        <color theme="1"/>
        <rFont val="Times New Roman"/>
        <family val="1"/>
        <charset val="204"/>
      </rPr>
      <t>- добавление новых объектов
    - внесение изменений в созданные лоты
    - планирование и распределение федеральных и областных средств между существующими лотами
    - корректировка заключенных контрактов в части финансирования
    - многократная корректировка лота с малыми закупками</t>
    </r>
  </si>
  <si>
    <r>
      <t xml:space="preserve">
Количественные показатели:
    </t>
    </r>
    <r>
      <rPr>
        <i/>
        <sz val="12"/>
        <color theme="1"/>
        <rFont val="Times New Roman"/>
        <family val="1"/>
        <charset val="204"/>
      </rPr>
      <t>- 40 новых лотов создано
    - 50 лотов изменено</t>
    </r>
  </si>
  <si>
    <r>
      <rPr>
        <b/>
        <sz val="12"/>
        <color theme="1"/>
        <rFont val="Times New Roman"/>
        <family val="1"/>
        <charset val="204"/>
      </rPr>
      <t>Согласование изменений с контролирующими органами:</t>
    </r>
    <r>
      <rPr>
        <sz val="12"/>
        <color theme="1"/>
        <rFont val="Times New Roman"/>
        <family val="1"/>
        <charset val="204"/>
      </rPr>
      <t xml:space="preserve">
    </t>
    </r>
    <r>
      <rPr>
        <i/>
        <sz val="12"/>
        <color theme="1"/>
        <rFont val="Times New Roman"/>
        <family val="1"/>
        <charset val="204"/>
      </rPr>
      <t>- Министерство транспорта
    - Коммитет госзаказа
    - Казначейство</t>
    </r>
  </si>
  <si>
    <r>
      <rPr>
        <b/>
        <sz val="12"/>
        <color theme="1"/>
        <rFont val="Times New Roman"/>
        <family val="1"/>
        <charset val="204"/>
      </rPr>
      <t>Расчет НМЦК на:</t>
    </r>
    <r>
      <rPr>
        <sz val="12"/>
        <color theme="1"/>
        <rFont val="Times New Roman"/>
        <family val="1"/>
        <charset val="204"/>
      </rPr>
      <t xml:space="preserve">
    </t>
    </r>
    <r>
      <rPr>
        <i/>
        <sz val="12"/>
        <color theme="1"/>
        <rFont val="Times New Roman"/>
        <family val="1"/>
        <charset val="204"/>
      </rPr>
      <t>- ремонт дорог (42 шт.)
    - ремонт мостов (1 шт.)
    - капитальный ремонт дорог (2 шт.)
    - реконструкция (1 шт.)
    - ПИР (8 шт.)
    - строительный контроль (4 шт.)
    - авторский надзор (1шт.)
    - транспортная безопаность (2 шт.)</t>
    </r>
  </si>
  <si>
    <r>
      <t xml:space="preserve">Были сложные расчеты по:
    </t>
    </r>
    <r>
      <rPr>
        <i/>
        <sz val="12"/>
        <color theme="1"/>
        <rFont val="Times New Roman"/>
        <family val="1"/>
        <charset val="204"/>
      </rPr>
      <t>- капитальный ремонт Кашин - Власьево
    - капитальный ремонт Петербургского  шоссе
    - реконструкция Бежецкого шоссе (Богородицерождественская)
    - ремонт моста через р. Дубна
    - АН Бежецкая ЦРБ 2 этап
    - ПИР ЛНО (8 шт.)</t>
    </r>
  </si>
  <si>
    <t>Проверка смет в части корректности составления единичных расценок</t>
  </si>
  <si>
    <r>
      <t xml:space="preserve">Количество:
    </t>
    </r>
    <r>
      <rPr>
        <i/>
        <sz val="12"/>
        <color theme="1"/>
        <rFont val="Times New Roman"/>
        <family val="1"/>
        <charset val="204"/>
      </rPr>
      <t>- ремонт (43 шт.)
    - капитальный ремонт (2 шт.)
    - реконструкция (1 шт.)
    - ПИР ЛНО (8 шт.)</t>
    </r>
  </si>
  <si>
    <r>
      <rPr>
        <b/>
        <sz val="12"/>
        <color theme="1"/>
        <rFont val="Times New Roman"/>
        <family val="1"/>
        <charset val="204"/>
      </rPr>
      <t>Пересчет цены контракта после экспертизы:</t>
    </r>
    <r>
      <rPr>
        <sz val="12"/>
        <color theme="1"/>
        <rFont val="Times New Roman"/>
        <family val="1"/>
        <charset val="204"/>
      </rPr>
      <t xml:space="preserve">
    - </t>
    </r>
    <r>
      <rPr>
        <i/>
        <sz val="12"/>
        <color theme="1"/>
        <rFont val="Times New Roman"/>
        <family val="1"/>
        <charset val="204"/>
      </rPr>
      <t>Бежецкая ЦРБ 1 этап
    - Строительство дороги "Подъезд к школе Радужный"</t>
    </r>
  </si>
  <si>
    <t>Трудоемкий процесс, сильно отличается от расчета НМЦК</t>
  </si>
  <si>
    <t>Этот показатель отражает количество "уникальных" подрячиков, принявших участие в закупках за 2-ой квартал.
Изначально заявка участника проверяется детально и долго, а при повторных участиях подрядчика перепроверяется</t>
  </si>
  <si>
    <t>Состав работ:
    - подготовка результатов
    - уточнение с гос.заказом</t>
  </si>
  <si>
    <t>Одна проверка примерно 25-30 минут</t>
  </si>
  <si>
    <t>Подрядчики спрашивают состав расценок или просят дать информацию о стоимости ресураса, входящего в состав расценки</t>
  </si>
  <si>
    <r>
      <t xml:space="preserve">Аналитическая и статистическая работа
    </t>
    </r>
    <r>
      <rPr>
        <i/>
        <sz val="12"/>
        <color theme="1"/>
        <rFont val="Times New Roman"/>
        <family val="1"/>
        <charset val="204"/>
      </rPr>
      <t>- сбор информации
    - оформление</t>
    </r>
  </si>
  <si>
    <t>Отчеты по закупкам, участникам и другим показателям, подготовка информации для проверяющих органов</t>
  </si>
  <si>
    <t>Квартал был насыщен сложными и ресурсоемкими задачами, график пришлось уплотнить до предела. Я сделал ставку на жесткую самодисциплину и личную ответственность за каждое задание. Полное погружение в процессы и мгновенное переключение между задачами позволили не допустить ни одного просроченного обязательства. Как следствие — перевыполнение плана по продуктивности (214,3%) и кратное превышение норматива по вовлеченности (198,3%). Этот период показал, что я способен отвечать за результат даже в условиях пиковых перегрузок и выходить на показатели выше ожидаемых.</t>
  </si>
  <si>
    <r>
      <t xml:space="preserve">Публикация первого плана-графика
    </t>
    </r>
    <r>
      <rPr>
        <sz val="12"/>
        <color theme="1"/>
        <rFont val="Times New Roman"/>
        <family val="1"/>
        <charset val="204"/>
      </rPr>
      <t>- планирование
    - доработка, исправления
    - согласование
    - публикация</t>
    </r>
  </si>
  <si>
    <t>Выделен отдельно, потому что в этом году было очень сложно его сделать из-за позиции гос.заказа разбить все средства по объектам.
Пришлось несколько раз переделывать и долго со всеми согласовавать.</t>
  </si>
  <si>
    <t>За отчетный период было создано 98 лотов, которые периодически уточняются и обновляются.</t>
  </si>
  <si>
    <r>
      <rPr>
        <b/>
        <sz val="12"/>
        <color theme="1"/>
        <rFont val="Times New Roman"/>
        <family val="1"/>
        <charset val="204"/>
      </rPr>
      <t>Расчет НМЦК на:</t>
    </r>
    <r>
      <rPr>
        <sz val="12"/>
        <color theme="1"/>
        <rFont val="Times New Roman"/>
        <family val="1"/>
        <charset val="204"/>
      </rPr>
      <t xml:space="preserve">
    </t>
    </r>
    <r>
      <rPr>
        <i/>
        <sz val="12"/>
        <color theme="1"/>
        <rFont val="Times New Roman"/>
        <family val="1"/>
        <charset val="204"/>
      </rPr>
      <t>- ремонт дорог (42 шт.)
    - ремонт мостов (1 шт.)
    - капитальный ремонт дорог (2 шт.)
    - капитальный ремонт мостов (2 шт.)
    - реконструкция (1 шт.)
    - строительство (1 шт.)
    - техническое присоединение ( 2 шт.)
    - ПИР (8 шт.)
    - строительный контроль (5 шт.)
    - авторский надзор (1 шт.)
    - транспортная безопаность (2 шт.)</t>
    </r>
  </si>
  <si>
    <t>Проверка смет в части корректности составления единичных расценок ( в т.ч при корректировке смет к доп. соглашениям)</t>
  </si>
  <si>
    <r>
      <t xml:space="preserve">Количество:
    </t>
    </r>
    <r>
      <rPr>
        <i/>
        <sz val="12"/>
        <color theme="1"/>
        <rFont val="Times New Roman"/>
        <family val="1"/>
        <charset val="204"/>
      </rPr>
      <t>- ремонт (60 шт.)
    - капитальный ремонт (2 шт.)
    - реконструкция (1 шт.)
    - ПИР ЛНО (8 шт.)</t>
    </r>
  </si>
  <si>
    <t>Этот показатель отражает количество "уникальных" подрячиков, принявших участие в закупках за 1-ое полугодие.
Изначально заявка участника проверяется детально и долго, а при повторных участиях подрядчика перепроверяется</t>
  </si>
  <si>
    <t>Подготовка заявок на участие в закупке</t>
  </si>
  <si>
    <t>Подготовка заявки и согласование и исправление замечаний</t>
  </si>
  <si>
    <t>Составление проетктов государственных контарктов</t>
  </si>
  <si>
    <t>Были сложные контракты на:
    - транспортную безопасность
    - строительство</t>
  </si>
  <si>
    <t>Участие в планировании рабочей дейтельности (планерки, совещания, деловые беседы)</t>
  </si>
  <si>
    <t>Планерки, совещания, деловые беседы</t>
  </si>
  <si>
    <t>Перегистрация контрактов заключенных до 2026 года в рамках ремонта (только федеральные средства) в программе Бюджет-Смарт для корректного учета бюджетных обязательств</t>
  </si>
  <si>
    <r>
      <t xml:space="preserve">Состав работ:
    </t>
    </r>
    <r>
      <rPr>
        <i/>
        <sz val="12"/>
        <color theme="1"/>
        <rFont val="Times New Roman"/>
        <family val="1"/>
        <charset val="204"/>
      </rPr>
      <t>- консультация с представителями казначейства
    - написание писем
    - техническая работа в ПК БюджетСмарт</t>
    </r>
  </si>
  <si>
    <t>Составление и отправка сопроводительных писем</t>
  </si>
  <si>
    <t>Гос.заказ, минконтрль и др.</t>
  </si>
  <si>
    <t>Полугодовой отрезок выдался экстремально насыщенным: я имел дело с объёмными и сложными задачами, требовавшими не только высокой скорости, но и безупречного контроля сроков. График был уплотнён до предела, а рабочая нагрузка систематически выходила за рамки стандартного дня. Ключевым здесь стала способность не просто выдерживать темп, а принимать на себя ответственность за критически важные задачи. Результат: продуктивность на уровне 210%, вовлечённость в процессы — 237%. Все задачи завершены точно в срок, качество подтверждено отсутствием замечаний. Этот период наглядно показал: даже при пиковой загрузке я способен обеспечивать стабильный и измеримый результат.</t>
  </si>
</sst>
</file>

<file path=xl/styles.xml><?xml version="1.0" encoding="utf-8"?>
<styleSheet xmlns="http://schemas.openxmlformats.org/spreadsheetml/2006/main">
  <numFmts count="1">
    <numFmt numFmtId="164" formatCode="0.0"/>
  </numFmts>
  <fonts count="11">
    <font>
      <sz val="11"/>
      <color theme="1"/>
      <name val="Calibri"/>
      <family val="2"/>
      <charset val="204"/>
      <scheme val="minor"/>
    </font>
    <font>
      <sz val="12"/>
      <color theme="1"/>
      <name val="Times New Roman"/>
      <family val="1"/>
      <charset val="204"/>
    </font>
    <font>
      <b/>
      <sz val="12"/>
      <color theme="1"/>
      <name val="Times New Roman"/>
      <family val="1"/>
      <charset val="204"/>
    </font>
    <font>
      <b/>
      <sz val="14"/>
      <color theme="1"/>
      <name val="Times New Roman"/>
      <family val="1"/>
      <charset val="204"/>
    </font>
    <font>
      <b/>
      <i/>
      <sz val="12"/>
      <color theme="1"/>
      <name val="Times New Roman"/>
      <family val="1"/>
      <charset val="204"/>
    </font>
    <font>
      <sz val="14"/>
      <color theme="1"/>
      <name val="Times New Roman"/>
      <family val="1"/>
      <charset val="204"/>
    </font>
    <font>
      <b/>
      <sz val="18"/>
      <color theme="1"/>
      <name val="Times New Roman"/>
      <family val="1"/>
      <charset val="204"/>
    </font>
    <font>
      <i/>
      <sz val="14"/>
      <color theme="1"/>
      <name val="Times New Roman"/>
      <family val="1"/>
      <charset val="204"/>
    </font>
    <font>
      <b/>
      <u/>
      <sz val="16"/>
      <color theme="1"/>
      <name val="Times New Roman"/>
      <family val="1"/>
      <charset val="204"/>
    </font>
    <font>
      <b/>
      <i/>
      <sz val="14"/>
      <color theme="1"/>
      <name val="Times New Roman"/>
      <family val="1"/>
      <charset val="204"/>
    </font>
    <font>
      <i/>
      <sz val="12"/>
      <color theme="1"/>
      <name val="Times New Roman"/>
      <family val="1"/>
      <charset val="204"/>
    </font>
  </fonts>
  <fills count="5">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0"/>
        <bgColor indexed="64"/>
      </patternFill>
    </fill>
  </fills>
  <borders count="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theme="1" tint="0.34998626667073579"/>
      </left>
      <right style="thin">
        <color theme="1" tint="0.34998626667073579"/>
      </right>
      <top style="thin">
        <color theme="1" tint="0.34998626667073579"/>
      </top>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s>
  <cellStyleXfs count="1">
    <xf numFmtId="0" fontId="0" fillId="0" borderId="0"/>
  </cellStyleXfs>
  <cellXfs count="60">
    <xf numFmtId="0" fontId="0" fillId="0" borderId="0" xfId="0"/>
    <xf numFmtId="0" fontId="1" fillId="0" borderId="0" xfId="0" applyFont="1"/>
    <xf numFmtId="0" fontId="0" fillId="2" borderId="0" xfId="0" applyFill="1"/>
    <xf numFmtId="0" fontId="1" fillId="0" borderId="1" xfId="0" applyFont="1" applyBorder="1" applyAlignment="1">
      <alignment horizontal="center" vertical="center"/>
    </xf>
    <xf numFmtId="0" fontId="2" fillId="3" borderId="1" xfId="0" applyFont="1" applyFill="1" applyBorder="1" applyAlignment="1">
      <alignment horizontal="center" vertical="center"/>
    </xf>
    <xf numFmtId="0" fontId="0" fillId="4" borderId="0" xfId="0" applyFill="1"/>
    <xf numFmtId="0" fontId="5" fillId="0" borderId="0" xfId="0" applyFont="1" applyAlignment="1">
      <alignment vertical="center" wrapText="1"/>
    </xf>
    <xf numFmtId="49" fontId="5" fillId="0" borderId="0" xfId="0" applyNumberFormat="1" applyFont="1" applyAlignment="1">
      <alignment vertical="center" wrapText="1"/>
    </xf>
    <xf numFmtId="0" fontId="2" fillId="3" borderId="1" xfId="0" applyFont="1" applyFill="1" applyBorder="1" applyAlignment="1">
      <alignment horizontal="center" vertical="center" wrapText="1"/>
    </xf>
    <xf numFmtId="0" fontId="3" fillId="4" borderId="0" xfId="0" applyFont="1" applyFill="1" applyBorder="1" applyAlignment="1">
      <alignment horizontal="center" vertical="center"/>
    </xf>
    <xf numFmtId="0" fontId="3" fillId="4" borderId="0" xfId="0" applyFont="1" applyFill="1" applyBorder="1" applyAlignment="1">
      <alignment horizontal="center" vertical="center" wrapText="1"/>
    </xf>
    <xf numFmtId="164" fontId="0" fillId="2" borderId="0" xfId="0" applyNumberFormat="1" applyFill="1"/>
    <xf numFmtId="0" fontId="3" fillId="0" borderId="0" xfId="0" applyFont="1" applyAlignment="1">
      <alignment horizontal="left" vertical="center"/>
    </xf>
    <xf numFmtId="0" fontId="3" fillId="0" borderId="0" xfId="0" applyFont="1" applyAlignment="1">
      <alignment horizontal="left"/>
    </xf>
    <xf numFmtId="0" fontId="5" fillId="0" borderId="0" xfId="0" applyFont="1" applyAlignment="1">
      <alignment horizontal="left"/>
    </xf>
    <xf numFmtId="0" fontId="3" fillId="3" borderId="2" xfId="0" applyFont="1" applyFill="1" applyBorder="1" applyAlignment="1">
      <alignment horizontal="center" vertical="center"/>
    </xf>
    <xf numFmtId="0" fontId="2" fillId="3" borderId="2" xfId="0" applyFont="1" applyFill="1" applyBorder="1" applyAlignment="1">
      <alignment horizontal="center" vertical="center"/>
    </xf>
    <xf numFmtId="0" fontId="3" fillId="0" borderId="2" xfId="0" applyFont="1" applyBorder="1" applyAlignment="1">
      <alignment horizontal="center" vertical="center"/>
    </xf>
    <xf numFmtId="0" fontId="5" fillId="0" borderId="2" xfId="0" applyFont="1" applyBorder="1" applyAlignment="1">
      <alignment horizontal="left" vertical="center" wrapText="1"/>
    </xf>
    <xf numFmtId="0" fontId="3" fillId="0" borderId="2" xfId="0" applyFont="1" applyBorder="1" applyAlignment="1">
      <alignment horizontal="right" vertical="center"/>
    </xf>
    <xf numFmtId="10" fontId="3" fillId="0" borderId="2" xfId="0" applyNumberFormat="1" applyFont="1" applyBorder="1" applyAlignment="1">
      <alignment horizontal="right" vertical="center"/>
    </xf>
    <xf numFmtId="0" fontId="3" fillId="0" borderId="0" xfId="0" applyFont="1" applyBorder="1" applyAlignment="1">
      <alignment horizontal="center" vertical="center"/>
    </xf>
    <xf numFmtId="0" fontId="3" fillId="0" borderId="0" xfId="0" applyFont="1" applyBorder="1" applyAlignment="1">
      <alignment horizontal="left"/>
    </xf>
    <xf numFmtId="10" fontId="3" fillId="0" borderId="0" xfId="0" applyNumberFormat="1" applyFont="1" applyBorder="1" applyAlignment="1">
      <alignment horizontal="right" vertical="center"/>
    </xf>
    <xf numFmtId="0" fontId="3" fillId="0" borderId="2" xfId="0" applyFont="1" applyBorder="1" applyAlignment="1">
      <alignment horizontal="left" vertical="center"/>
    </xf>
    <xf numFmtId="0" fontId="3" fillId="0" borderId="2" xfId="0" applyFont="1" applyBorder="1" applyAlignment="1">
      <alignment horizontal="left" vertical="center" wrapText="1"/>
    </xf>
    <xf numFmtId="0" fontId="3" fillId="0" borderId="0" xfId="0" applyFont="1" applyBorder="1" applyAlignment="1">
      <alignment horizontal="left" vertical="center"/>
    </xf>
    <xf numFmtId="0" fontId="0" fillId="4" borderId="0" xfId="0" applyFill="1" applyBorder="1"/>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1" fillId="0" borderId="3" xfId="0" applyFont="1" applyBorder="1" applyAlignment="1">
      <alignment vertical="center" wrapText="1"/>
    </xf>
    <xf numFmtId="0" fontId="1" fillId="0" borderId="6" xfId="0" applyFont="1" applyBorder="1" applyAlignment="1">
      <alignment horizontal="center" vertical="center"/>
    </xf>
    <xf numFmtId="0" fontId="0" fillId="2" borderId="0" xfId="0" applyFill="1" applyAlignment="1">
      <alignment horizontal="center" vertical="center"/>
    </xf>
    <xf numFmtId="0" fontId="3" fillId="0" borderId="0" xfId="0" applyFont="1" applyAlignment="1">
      <alignment horizontal="left" vertical="center"/>
    </xf>
    <xf numFmtId="0" fontId="3" fillId="0" borderId="0" xfId="0" applyFont="1" applyAlignment="1">
      <alignment horizontal="left"/>
    </xf>
    <xf numFmtId="0" fontId="5" fillId="0" borderId="0" xfId="0" applyFont="1" applyAlignment="1">
      <alignment horizontal="left"/>
    </xf>
    <xf numFmtId="0" fontId="1" fillId="0" borderId="1" xfId="0" applyFont="1" applyBorder="1" applyAlignment="1">
      <alignment horizontal="left" vertical="center" wrapText="1"/>
    </xf>
    <xf numFmtId="0" fontId="4" fillId="0" borderId="1" xfId="0" applyFont="1" applyBorder="1" applyAlignment="1">
      <alignment horizontal="center" vertical="center"/>
    </xf>
    <xf numFmtId="0" fontId="1" fillId="0" borderId="1" xfId="0" applyFont="1" applyBorder="1" applyAlignment="1">
      <alignment vertical="center" wrapText="1"/>
    </xf>
    <xf numFmtId="0" fontId="8" fillId="0" borderId="0" xfId="0" applyFont="1" applyAlignment="1">
      <alignment horizontal="left"/>
    </xf>
    <xf numFmtId="0" fontId="4" fillId="4" borderId="1" xfId="0" applyFont="1" applyFill="1" applyBorder="1" applyAlignment="1">
      <alignment horizontal="center" vertical="center"/>
    </xf>
    <xf numFmtId="0" fontId="1" fillId="4" borderId="1" xfId="0" applyFont="1" applyFill="1" applyBorder="1" applyAlignment="1">
      <alignment vertical="center" wrapText="1"/>
    </xf>
    <xf numFmtId="0" fontId="1" fillId="4" borderId="1" xfId="0" applyFont="1" applyFill="1" applyBorder="1" applyAlignment="1">
      <alignment horizontal="center" vertical="center"/>
    </xf>
    <xf numFmtId="0" fontId="8" fillId="0" borderId="0" xfId="0" applyFont="1" applyAlignment="1"/>
    <xf numFmtId="10" fontId="3" fillId="0" borderId="0" xfId="0" applyNumberFormat="1" applyFont="1" applyBorder="1" applyAlignment="1">
      <alignment horizontal="left" vertical="center"/>
    </xf>
    <xf numFmtId="0" fontId="1" fillId="0" borderId="0" xfId="0" applyFont="1" applyAlignment="1">
      <alignment horizontal="left"/>
    </xf>
    <xf numFmtId="0" fontId="2" fillId="0" borderId="1" xfId="0" applyFont="1" applyBorder="1" applyAlignment="1">
      <alignment vertical="center" wrapText="1"/>
    </xf>
    <xf numFmtId="0" fontId="6" fillId="0" borderId="0" xfId="0" applyFont="1" applyAlignment="1">
      <alignment horizontal="center" vertical="center" wrapText="1"/>
    </xf>
    <xf numFmtId="0" fontId="5" fillId="4" borderId="0" xfId="0" applyFont="1" applyFill="1" applyAlignment="1">
      <alignment horizontal="left"/>
    </xf>
    <xf numFmtId="0" fontId="5" fillId="4" borderId="0" xfId="0" applyFont="1" applyFill="1" applyBorder="1" applyAlignment="1">
      <alignment horizontal="left" vertical="center" wrapText="1"/>
    </xf>
    <xf numFmtId="0" fontId="5" fillId="0" borderId="0" xfId="0" applyFont="1" applyAlignment="1">
      <alignment horizontal="left" vertical="center" wrapText="1"/>
    </xf>
    <xf numFmtId="0" fontId="4" fillId="0" borderId="1" xfId="0" applyFont="1" applyBorder="1" applyAlignment="1">
      <alignment horizontal="right" vertical="center"/>
    </xf>
    <xf numFmtId="0" fontId="4" fillId="0" borderId="6" xfId="0" applyFont="1" applyBorder="1" applyAlignment="1">
      <alignment horizontal="right" vertical="center"/>
    </xf>
    <xf numFmtId="0" fontId="3" fillId="0" borderId="0" xfId="0" applyFont="1" applyAlignment="1">
      <alignment horizontal="left" vertical="center"/>
    </xf>
    <xf numFmtId="0" fontId="8" fillId="0" borderId="0" xfId="0" applyFont="1" applyAlignment="1">
      <alignment horizontal="left"/>
    </xf>
    <xf numFmtId="0" fontId="3" fillId="0" borderId="0" xfId="0" applyFont="1" applyAlignment="1">
      <alignment horizontal="left"/>
    </xf>
    <xf numFmtId="0" fontId="7" fillId="0" borderId="0" xfId="0" applyFont="1" applyAlignment="1">
      <alignment horizontal="left" wrapText="1"/>
    </xf>
    <xf numFmtId="0" fontId="5" fillId="0" borderId="0" xfId="0" applyFont="1" applyAlignment="1">
      <alignment horizontal="left"/>
    </xf>
    <xf numFmtId="0" fontId="5" fillId="4" borderId="0" xfId="0" applyFont="1" applyFill="1" applyAlignment="1">
      <alignment horizontal="left" wrapText="1"/>
    </xf>
    <xf numFmtId="49" fontId="5" fillId="0" borderId="0" xfId="0" applyNumberFormat="1" applyFont="1" applyAlignment="1">
      <alignment horizontal="left" vertical="center" wrapText="1"/>
    </xf>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E1:Q48"/>
  <sheetViews>
    <sheetView showGridLines="0" zoomScale="70" zoomScaleNormal="70" zoomScaleSheetLayoutView="85" workbookViewId="0">
      <selection activeCell="E1" sqref="E1:I48"/>
    </sheetView>
  </sheetViews>
  <sheetFormatPr defaultRowHeight="15"/>
  <cols>
    <col min="1" max="4" width="9.140625" style="2"/>
    <col min="5" max="5" width="20.28515625" style="2" customWidth="1"/>
    <col min="6" max="6" width="51.42578125" style="2" customWidth="1"/>
    <col min="7" max="7" width="16.140625" style="2" customWidth="1"/>
    <col min="8" max="8" width="17.140625" style="2" customWidth="1"/>
    <col min="9" max="9" width="27.28515625" style="2" customWidth="1"/>
    <col min="10" max="16384" width="9.140625" style="2"/>
  </cols>
  <sheetData>
    <row r="1" spans="5:9" ht="56.25" customHeight="1">
      <c r="E1" s="47" t="s">
        <v>6</v>
      </c>
      <c r="F1" s="47"/>
      <c r="G1" s="47"/>
      <c r="H1" s="47"/>
      <c r="I1" s="47"/>
    </row>
    <row r="2" spans="5:9" ht="37.5" customHeight="1">
      <c r="E2" s="12" t="s">
        <v>3</v>
      </c>
      <c r="F2" s="50" t="s">
        <v>37</v>
      </c>
      <c r="G2" s="50"/>
      <c r="H2" s="50"/>
      <c r="I2" s="1"/>
    </row>
    <row r="3" spans="5:9" ht="35.25" customHeight="1">
      <c r="E3" s="12" t="s">
        <v>4</v>
      </c>
      <c r="F3" s="6" t="s">
        <v>38</v>
      </c>
      <c r="G3" s="1"/>
      <c r="H3" s="1"/>
      <c r="I3" s="1"/>
    </row>
    <row r="4" spans="5:9" ht="35.25" customHeight="1">
      <c r="E4" s="12" t="s">
        <v>2</v>
      </c>
      <c r="F4" s="7" t="s">
        <v>30</v>
      </c>
      <c r="G4" s="1"/>
      <c r="H4" s="1"/>
      <c r="I4" s="1"/>
    </row>
    <row r="5" spans="5:9" ht="28.5" customHeight="1">
      <c r="E5" s="53" t="s">
        <v>11</v>
      </c>
      <c r="F5" s="53"/>
      <c r="G5" s="1"/>
      <c r="H5" s="1"/>
      <c r="I5" s="1"/>
    </row>
    <row r="6" spans="5:9" ht="18.75">
      <c r="E6" s="12"/>
      <c r="F6" s="12" t="str">
        <f>"1. Производительность труда: " &amp; TEXT(G19, "#,0%")</f>
        <v>1. Производительность труда: 205,7%</v>
      </c>
      <c r="G6" s="1"/>
      <c r="H6" s="1"/>
      <c r="I6" s="1"/>
    </row>
    <row r="7" spans="5:9" ht="18.75">
      <c r="E7" s="12"/>
      <c r="F7" s="12" t="str">
        <f>"2. Интенсивность труда:           " &amp; TEXT(G29, "#,0%")</f>
        <v>2. Интенсивность труда:           209,6%</v>
      </c>
      <c r="G7" s="1"/>
      <c r="H7" s="1"/>
      <c r="I7" s="1"/>
    </row>
    <row r="8" spans="5:9" ht="15.75">
      <c r="E8" s="1"/>
      <c r="F8" s="1"/>
      <c r="G8" s="1"/>
      <c r="H8" s="1"/>
      <c r="I8" s="1"/>
    </row>
    <row r="9" spans="5:9" ht="30" customHeight="1">
      <c r="E9" s="54" t="s">
        <v>13</v>
      </c>
      <c r="F9" s="54"/>
      <c r="G9" s="1"/>
      <c r="H9" s="1"/>
      <c r="I9" s="1"/>
    </row>
    <row r="10" spans="5:9" ht="26.25" customHeight="1">
      <c r="E10" s="55" t="s">
        <v>12</v>
      </c>
      <c r="F10" s="55"/>
      <c r="G10" s="1"/>
      <c r="H10" s="1"/>
      <c r="I10" s="1"/>
    </row>
    <row r="11" spans="5:9" ht="21.75" customHeight="1">
      <c r="E11" s="14" t="s">
        <v>14</v>
      </c>
      <c r="F11" s="14"/>
      <c r="G11" s="1"/>
      <c r="H11" s="1"/>
      <c r="I11" s="1"/>
    </row>
    <row r="12" spans="5:9" ht="156.75" customHeight="1">
      <c r="E12" s="56" t="s">
        <v>15</v>
      </c>
      <c r="F12" s="56"/>
      <c r="G12" s="56"/>
      <c r="H12" s="1"/>
      <c r="I12" s="1"/>
    </row>
    <row r="13" spans="5:9" ht="18.75">
      <c r="E13" s="13"/>
      <c r="F13" s="13"/>
      <c r="G13" s="1"/>
      <c r="H13" s="1"/>
      <c r="I13" s="1"/>
    </row>
    <row r="14" spans="5:9" ht="18.75">
      <c r="E14" s="15" t="s">
        <v>0</v>
      </c>
      <c r="F14" s="15" t="s">
        <v>8</v>
      </c>
      <c r="G14" s="16" t="s">
        <v>9</v>
      </c>
      <c r="H14" s="1"/>
      <c r="I14" s="1"/>
    </row>
    <row r="15" spans="5:9" ht="45.75" customHeight="1">
      <c r="E15" s="17">
        <v>1</v>
      </c>
      <c r="F15" s="25" t="s">
        <v>25</v>
      </c>
      <c r="G15" s="19">
        <v>19</v>
      </c>
      <c r="H15" s="1"/>
      <c r="I15" s="1"/>
    </row>
    <row r="16" spans="5:9" ht="50.25" customHeight="1">
      <c r="E16" s="17">
        <v>2</v>
      </c>
      <c r="F16" s="18" t="s">
        <v>16</v>
      </c>
      <c r="G16" s="19">
        <f>ROUND(J43/G43, 2)</f>
        <v>2.8</v>
      </c>
      <c r="H16" s="1"/>
      <c r="I16" s="1"/>
    </row>
    <row r="17" spans="5:9" ht="45" customHeight="1">
      <c r="E17" s="17">
        <v>3</v>
      </c>
      <c r="F17" s="18" t="s">
        <v>17</v>
      </c>
      <c r="G17" s="19">
        <f>ROUND(8/G16, 0)-1</f>
        <v>2</v>
      </c>
      <c r="H17" s="1"/>
      <c r="I17" s="1"/>
    </row>
    <row r="18" spans="5:9" ht="50.25" customHeight="1">
      <c r="E18" s="17">
        <v>4</v>
      </c>
      <c r="F18" s="18" t="s">
        <v>18</v>
      </c>
      <c r="G18" s="19">
        <f>ROUND(G43/G15, 2)</f>
        <v>3.74</v>
      </c>
      <c r="H18" s="1"/>
      <c r="I18" s="1"/>
    </row>
    <row r="19" spans="5:9" ht="18.75">
      <c r="E19" s="17">
        <v>5</v>
      </c>
      <c r="F19" s="24" t="s">
        <v>20</v>
      </c>
      <c r="G19" s="20">
        <f>G18/G17*1.1</f>
        <v>2.0570000000000004</v>
      </c>
      <c r="H19" s="1"/>
      <c r="I19" s="1"/>
    </row>
    <row r="20" spans="5:9" ht="18.75">
      <c r="E20" s="21"/>
      <c r="F20" s="22"/>
      <c r="G20" s="23"/>
      <c r="H20" s="1"/>
      <c r="I20" s="1"/>
    </row>
    <row r="21" spans="5:9" ht="24" customHeight="1">
      <c r="E21" s="55" t="s">
        <v>19</v>
      </c>
      <c r="F21" s="55"/>
      <c r="G21" s="1"/>
      <c r="H21" s="1"/>
      <c r="I21" s="1"/>
    </row>
    <row r="22" spans="5:9" ht="18.75">
      <c r="E22" s="57" t="s">
        <v>14</v>
      </c>
      <c r="F22" s="57"/>
      <c r="G22" s="1"/>
      <c r="H22" s="1"/>
      <c r="I22" s="1"/>
    </row>
    <row r="23" spans="5:9" ht="204" customHeight="1">
      <c r="E23" s="56" t="s">
        <v>21</v>
      </c>
      <c r="F23" s="56"/>
      <c r="G23" s="56"/>
      <c r="H23" s="1"/>
      <c r="I23" s="1"/>
    </row>
    <row r="24" spans="5:9" ht="18.75">
      <c r="E24" s="13"/>
      <c r="F24" s="13"/>
      <c r="G24" s="1"/>
      <c r="H24" s="1"/>
      <c r="I24" s="1"/>
    </row>
    <row r="25" spans="5:9" ht="18.75">
      <c r="E25" s="15" t="s">
        <v>0</v>
      </c>
      <c r="F25" s="15" t="s">
        <v>8</v>
      </c>
      <c r="G25" s="16" t="s">
        <v>9</v>
      </c>
      <c r="H25" s="1"/>
      <c r="I25" s="1"/>
    </row>
    <row r="26" spans="5:9" ht="47.25" customHeight="1">
      <c r="E26" s="17">
        <v>1</v>
      </c>
      <c r="F26" s="25" t="s">
        <v>25</v>
      </c>
      <c r="G26" s="19">
        <v>19</v>
      </c>
      <c r="H26" s="1"/>
      <c r="I26" s="1"/>
    </row>
    <row r="27" spans="5:9" ht="57.75" customHeight="1">
      <c r="E27" s="17">
        <v>2</v>
      </c>
      <c r="F27" s="18" t="s">
        <v>22</v>
      </c>
      <c r="G27" s="19">
        <f>J43</f>
        <v>199.1</v>
      </c>
      <c r="H27" s="1"/>
      <c r="I27" s="1"/>
    </row>
    <row r="28" spans="5:9" ht="84" customHeight="1">
      <c r="E28" s="17">
        <v>3</v>
      </c>
      <c r="F28" s="18" t="s">
        <v>23</v>
      </c>
      <c r="G28" s="19">
        <f>(8-3)*G26</f>
        <v>95</v>
      </c>
      <c r="H28" s="1"/>
      <c r="I28" s="1"/>
    </row>
    <row r="29" spans="5:9" ht="52.5" customHeight="1">
      <c r="E29" s="17">
        <v>4</v>
      </c>
      <c r="F29" s="25" t="s">
        <v>24</v>
      </c>
      <c r="G29" s="20">
        <f>G27/G28</f>
        <v>2.0957894736842104</v>
      </c>
      <c r="H29" s="1"/>
      <c r="I29" s="1"/>
    </row>
    <row r="30" spans="5:9" ht="18.75">
      <c r="E30" s="21"/>
      <c r="F30" s="26"/>
      <c r="G30" s="23"/>
      <c r="H30" s="1"/>
      <c r="I30" s="1"/>
    </row>
    <row r="31" spans="5:9" ht="41.25" customHeight="1">
      <c r="E31" s="54" t="s">
        <v>27</v>
      </c>
      <c r="F31" s="54"/>
      <c r="G31" s="54"/>
      <c r="H31" s="54"/>
      <c r="I31" s="1"/>
    </row>
    <row r="32" spans="5:9" ht="18.75" customHeight="1">
      <c r="E32" s="1"/>
      <c r="F32" s="1"/>
      <c r="G32" s="1"/>
      <c r="H32" s="1"/>
      <c r="I32" s="1"/>
    </row>
    <row r="33" spans="5:17" ht="68.25" customHeight="1">
      <c r="E33" s="4" t="s">
        <v>0</v>
      </c>
      <c r="F33" s="28" t="s">
        <v>5</v>
      </c>
      <c r="G33" s="28" t="s">
        <v>1</v>
      </c>
      <c r="H33" s="8" t="s">
        <v>7</v>
      </c>
      <c r="I33" s="29"/>
    </row>
    <row r="34" spans="5:17" ht="151.5" customHeight="1">
      <c r="E34" s="37">
        <v>1</v>
      </c>
      <c r="F34" s="38" t="s">
        <v>39</v>
      </c>
      <c r="G34" s="3">
        <v>6</v>
      </c>
      <c r="H34" s="3">
        <v>1.5</v>
      </c>
      <c r="I34" s="38" t="s">
        <v>40</v>
      </c>
      <c r="J34" s="2">
        <f>G34*H34</f>
        <v>9</v>
      </c>
    </row>
    <row r="35" spans="5:17" ht="131.25" customHeight="1">
      <c r="E35" s="37">
        <v>2</v>
      </c>
      <c r="F35" s="38" t="s">
        <v>41</v>
      </c>
      <c r="G35" s="3">
        <f>G34</f>
        <v>6</v>
      </c>
      <c r="H35" s="3">
        <v>1</v>
      </c>
      <c r="I35" s="36" t="s">
        <v>42</v>
      </c>
      <c r="J35" s="2">
        <f t="shared" ref="J35:J42" si="0">G35*H35</f>
        <v>6</v>
      </c>
    </row>
    <row r="36" spans="5:17" ht="116.25" customHeight="1">
      <c r="E36" s="37">
        <v>3</v>
      </c>
      <c r="F36" s="38" t="s">
        <v>43</v>
      </c>
      <c r="G36" s="3">
        <v>18</v>
      </c>
      <c r="H36" s="3">
        <v>5.5</v>
      </c>
      <c r="I36" s="38" t="s">
        <v>44</v>
      </c>
      <c r="J36" s="2">
        <f t="shared" si="0"/>
        <v>99</v>
      </c>
    </row>
    <row r="37" spans="5:17" ht="35.25" customHeight="1">
      <c r="E37" s="37">
        <v>4</v>
      </c>
      <c r="F37" s="38" t="s">
        <v>31</v>
      </c>
      <c r="G37" s="3">
        <v>6</v>
      </c>
      <c r="H37" s="3">
        <v>7</v>
      </c>
      <c r="I37" s="38" t="s">
        <v>45</v>
      </c>
      <c r="J37" s="2">
        <f t="shared" si="0"/>
        <v>42</v>
      </c>
    </row>
    <row r="38" spans="5:17" ht="68.25" customHeight="1">
      <c r="E38" s="37">
        <v>5</v>
      </c>
      <c r="F38" s="38" t="s">
        <v>46</v>
      </c>
      <c r="G38" s="3">
        <v>2</v>
      </c>
      <c r="H38" s="3">
        <v>8</v>
      </c>
      <c r="I38" s="38" t="s">
        <v>47</v>
      </c>
      <c r="J38" s="2">
        <f t="shared" si="0"/>
        <v>16</v>
      </c>
    </row>
    <row r="39" spans="5:17" ht="48.75" customHeight="1">
      <c r="E39" s="40">
        <v>6</v>
      </c>
      <c r="F39" s="41" t="s">
        <v>48</v>
      </c>
      <c r="G39" s="42">
        <v>8</v>
      </c>
      <c r="H39" s="42">
        <v>1</v>
      </c>
      <c r="I39" s="41" t="s">
        <v>49</v>
      </c>
      <c r="J39" s="2">
        <f t="shared" si="0"/>
        <v>8</v>
      </c>
    </row>
    <row r="40" spans="5:17" ht="93" customHeight="1">
      <c r="E40" s="37">
        <v>7</v>
      </c>
      <c r="F40" s="38" t="s">
        <v>50</v>
      </c>
      <c r="G40" s="3">
        <v>13</v>
      </c>
      <c r="H40" s="3">
        <v>0.7</v>
      </c>
      <c r="I40" s="38" t="s">
        <v>51</v>
      </c>
      <c r="J40" s="2">
        <f t="shared" si="0"/>
        <v>9.1</v>
      </c>
      <c r="Q40" s="32"/>
    </row>
    <row r="41" spans="5:17" ht="63">
      <c r="E41" s="37">
        <v>8</v>
      </c>
      <c r="F41" s="38" t="s">
        <v>52</v>
      </c>
      <c r="G41" s="3">
        <v>4</v>
      </c>
      <c r="H41" s="3">
        <v>0.5</v>
      </c>
      <c r="I41" s="38" t="s">
        <v>53</v>
      </c>
      <c r="J41" s="2">
        <f t="shared" si="0"/>
        <v>2</v>
      </c>
    </row>
    <row r="42" spans="5:17" ht="120.75" customHeight="1">
      <c r="E42" s="37">
        <v>9</v>
      </c>
      <c r="F42" s="38" t="s">
        <v>54</v>
      </c>
      <c r="G42" s="3">
        <v>8</v>
      </c>
      <c r="H42" s="3">
        <v>1</v>
      </c>
      <c r="I42" s="38" t="s">
        <v>55</v>
      </c>
      <c r="J42" s="2">
        <f t="shared" si="0"/>
        <v>8</v>
      </c>
    </row>
    <row r="43" spans="5:17" ht="15.75">
      <c r="E43" s="51" t="s">
        <v>10</v>
      </c>
      <c r="F43" s="52"/>
      <c r="G43" s="31">
        <f>SUM(G34:G42)</f>
        <v>71</v>
      </c>
      <c r="H43" s="3"/>
      <c r="I43" s="30"/>
      <c r="J43" s="2">
        <f>SUM(J34:J42)</f>
        <v>199.1</v>
      </c>
    </row>
    <row r="44" spans="5:17">
      <c r="E44" s="27"/>
      <c r="F44" s="27"/>
      <c r="G44" s="5"/>
      <c r="H44" s="5"/>
      <c r="I44" s="5"/>
    </row>
    <row r="45" spans="5:17" ht="34.5" customHeight="1">
      <c r="E45" s="54" t="s">
        <v>26</v>
      </c>
      <c r="F45" s="54"/>
      <c r="G45" s="54"/>
      <c r="H45" s="54"/>
      <c r="I45" s="54"/>
      <c r="O45" s="11"/>
    </row>
    <row r="46" spans="5:17" ht="144.75" customHeight="1">
      <c r="E46" s="49" t="s">
        <v>57</v>
      </c>
      <c r="F46" s="49"/>
      <c r="G46" s="49"/>
      <c r="H46" s="49"/>
      <c r="I46" s="49"/>
    </row>
    <row r="47" spans="5:17" ht="39" customHeight="1">
      <c r="E47" s="48" t="s">
        <v>56</v>
      </c>
      <c r="F47" s="48"/>
      <c r="G47" s="5"/>
      <c r="H47" s="5"/>
      <c r="I47" s="5"/>
    </row>
    <row r="48" spans="5:17">
      <c r="E48" s="5"/>
      <c r="F48" s="5"/>
      <c r="G48" s="5"/>
      <c r="H48" s="5"/>
      <c r="I48" s="5"/>
    </row>
  </sheetData>
  <mergeCells count="14">
    <mergeCell ref="E1:I1"/>
    <mergeCell ref="E47:F47"/>
    <mergeCell ref="E46:I46"/>
    <mergeCell ref="F2:H2"/>
    <mergeCell ref="E43:F43"/>
    <mergeCell ref="E5:F5"/>
    <mergeCell ref="E9:F9"/>
    <mergeCell ref="E10:F10"/>
    <mergeCell ref="E12:G12"/>
    <mergeCell ref="E21:F21"/>
    <mergeCell ref="E23:G23"/>
    <mergeCell ref="E22:F22"/>
    <mergeCell ref="E31:H31"/>
    <mergeCell ref="E45:I45"/>
  </mergeCells>
  <pageMargins left="0.70866141732283472" right="0.70866141732283472" top="0.74803149606299213" bottom="0.74803149606299213" header="0.31496062992125984" footer="0.31496062992125984"/>
  <pageSetup paperSize="9" scale="65" orientation="portrait" horizontalDpi="180" verticalDpi="180" r:id="rId1"/>
  <colBreaks count="1" manualBreakCount="1">
    <brk id="4" max="1048575" man="1"/>
  </colBreaks>
</worksheet>
</file>

<file path=xl/worksheets/sheet2.xml><?xml version="1.0" encoding="utf-8"?>
<worksheet xmlns="http://schemas.openxmlformats.org/spreadsheetml/2006/main" xmlns:r="http://schemas.openxmlformats.org/officeDocument/2006/relationships">
  <dimension ref="E1:Q51"/>
  <sheetViews>
    <sheetView showGridLines="0" zoomScale="70" zoomScaleNormal="70" zoomScaleSheetLayoutView="85" workbookViewId="0">
      <selection activeCell="Q30" sqref="Q30"/>
    </sheetView>
  </sheetViews>
  <sheetFormatPr defaultRowHeight="15"/>
  <cols>
    <col min="1" max="4" width="9.140625" style="2"/>
    <col min="5" max="5" width="20.28515625" style="2" customWidth="1"/>
    <col min="6" max="6" width="44.140625" style="2" customWidth="1"/>
    <col min="7" max="7" width="16.140625" style="2" customWidth="1"/>
    <col min="8" max="8" width="17.140625" style="2" customWidth="1"/>
    <col min="9" max="9" width="24.5703125" style="2" customWidth="1"/>
    <col min="10" max="16384" width="9.140625" style="2"/>
  </cols>
  <sheetData>
    <row r="1" spans="5:9" ht="56.25" customHeight="1">
      <c r="E1" s="47" t="s">
        <v>28</v>
      </c>
      <c r="F1" s="47"/>
      <c r="G1" s="47"/>
      <c r="H1" s="47"/>
      <c r="I1" s="47"/>
    </row>
    <row r="2" spans="5:9" ht="37.5" customHeight="1">
      <c r="E2" s="33" t="s">
        <v>3</v>
      </c>
      <c r="F2" s="50" t="s">
        <v>37</v>
      </c>
      <c r="G2" s="50"/>
      <c r="H2" s="50"/>
      <c r="I2" s="1"/>
    </row>
    <row r="3" spans="5:9" ht="35.25" customHeight="1">
      <c r="E3" s="33" t="s">
        <v>4</v>
      </c>
      <c r="F3" s="6" t="s">
        <v>38</v>
      </c>
      <c r="G3" s="1"/>
      <c r="H3" s="1"/>
      <c r="I3" s="1"/>
    </row>
    <row r="4" spans="5:9" ht="35.25" customHeight="1">
      <c r="E4" s="33" t="s">
        <v>2</v>
      </c>
      <c r="F4" s="7" t="s">
        <v>33</v>
      </c>
      <c r="G4" s="1"/>
      <c r="H4" s="1"/>
      <c r="I4" s="1"/>
    </row>
    <row r="5" spans="5:9" ht="28.5" customHeight="1">
      <c r="E5" s="53" t="s">
        <v>11</v>
      </c>
      <c r="F5" s="53"/>
      <c r="G5" s="1"/>
      <c r="H5" s="1"/>
      <c r="I5" s="1"/>
    </row>
    <row r="6" spans="5:9" ht="18.75">
      <c r="E6" s="33"/>
      <c r="F6" s="33" t="str">
        <f>"1. Производительность труда: " &amp; TEXT(G19, "#,0%")</f>
        <v>1. Производительность труда: 214,3%</v>
      </c>
      <c r="G6" s="1"/>
      <c r="H6" s="1"/>
      <c r="I6" s="1"/>
    </row>
    <row r="7" spans="5:9" ht="18.75">
      <c r="E7" s="33"/>
      <c r="F7" s="33" t="str">
        <f>"2. Интенсивность труда:           " &amp; TEXT(G29, "#,0%")</f>
        <v>2. Интенсивность труда:           198,1%</v>
      </c>
      <c r="G7" s="1"/>
      <c r="H7" s="1"/>
      <c r="I7" s="1"/>
    </row>
    <row r="8" spans="5:9" ht="15.75">
      <c r="E8" s="1"/>
      <c r="F8" s="1"/>
      <c r="G8" s="1"/>
      <c r="H8" s="1"/>
      <c r="I8" s="1"/>
    </row>
    <row r="9" spans="5:9" ht="30" customHeight="1">
      <c r="E9" s="54" t="s">
        <v>13</v>
      </c>
      <c r="F9" s="54"/>
      <c r="G9" s="1"/>
      <c r="H9" s="1"/>
      <c r="I9" s="1"/>
    </row>
    <row r="10" spans="5:9" ht="26.25" customHeight="1">
      <c r="E10" s="55" t="s">
        <v>12</v>
      </c>
      <c r="F10" s="55"/>
      <c r="G10" s="1"/>
      <c r="H10" s="1"/>
      <c r="I10" s="1"/>
    </row>
    <row r="11" spans="5:9" ht="21.75" customHeight="1">
      <c r="E11" s="35" t="s">
        <v>14</v>
      </c>
      <c r="F11" s="35"/>
      <c r="G11" s="1"/>
      <c r="H11" s="1"/>
      <c r="I11" s="1"/>
    </row>
    <row r="12" spans="5:9" ht="177" customHeight="1">
      <c r="E12" s="56" t="s">
        <v>15</v>
      </c>
      <c r="F12" s="56"/>
      <c r="G12" s="56"/>
      <c r="H12" s="1"/>
      <c r="I12" s="1"/>
    </row>
    <row r="13" spans="5:9" ht="18.75">
      <c r="E13" s="34"/>
      <c r="F13" s="34"/>
      <c r="G13" s="1"/>
      <c r="H13" s="1"/>
      <c r="I13" s="1"/>
    </row>
    <row r="14" spans="5:9" ht="18.75">
      <c r="E14" s="15" t="s">
        <v>0</v>
      </c>
      <c r="F14" s="15" t="s">
        <v>8</v>
      </c>
      <c r="G14" s="16" t="s">
        <v>9</v>
      </c>
      <c r="H14" s="1"/>
      <c r="I14" s="1"/>
    </row>
    <row r="15" spans="5:9" ht="46.5" customHeight="1">
      <c r="E15" s="17">
        <v>1</v>
      </c>
      <c r="F15" s="25" t="s">
        <v>25</v>
      </c>
      <c r="G15" s="19">
        <v>62</v>
      </c>
      <c r="H15" s="1"/>
      <c r="I15" s="1"/>
    </row>
    <row r="16" spans="5:9" ht="53.25" customHeight="1">
      <c r="E16" s="17">
        <v>2</v>
      </c>
      <c r="F16" s="18" t="s">
        <v>16</v>
      </c>
      <c r="G16" s="19">
        <f>ROUND(J46/G46, 2)</f>
        <v>1.83</v>
      </c>
      <c r="H16" s="1"/>
      <c r="I16" s="1"/>
    </row>
    <row r="17" spans="5:9" ht="50.25" customHeight="1">
      <c r="E17" s="17">
        <v>3</v>
      </c>
      <c r="F17" s="18" t="s">
        <v>17</v>
      </c>
      <c r="G17" s="19">
        <f>ROUND(8/G16, 0)-0.5</f>
        <v>3.5</v>
      </c>
      <c r="H17" s="1"/>
      <c r="I17" s="1"/>
    </row>
    <row r="18" spans="5:9" ht="56.25" customHeight="1">
      <c r="E18" s="17">
        <v>4</v>
      </c>
      <c r="F18" s="18" t="s">
        <v>18</v>
      </c>
      <c r="G18" s="19">
        <f>ROUND(G46/(G15-10), 2)</f>
        <v>5</v>
      </c>
      <c r="H18" s="1"/>
      <c r="I18" s="1"/>
    </row>
    <row r="19" spans="5:9" ht="36" customHeight="1">
      <c r="E19" s="17">
        <v>5</v>
      </c>
      <c r="F19" s="24" t="s">
        <v>20</v>
      </c>
      <c r="G19" s="20">
        <f>G18/G17*1.5</f>
        <v>2.1428571428571428</v>
      </c>
      <c r="H19" s="1"/>
      <c r="I19" s="1"/>
    </row>
    <row r="20" spans="5:9" ht="18.75">
      <c r="E20" s="21"/>
      <c r="F20" s="22"/>
      <c r="G20" s="23"/>
      <c r="H20" s="1"/>
      <c r="I20" s="1"/>
    </row>
    <row r="21" spans="5:9" ht="24" customHeight="1">
      <c r="E21" s="55" t="s">
        <v>19</v>
      </c>
      <c r="F21" s="55"/>
      <c r="G21" s="1"/>
      <c r="H21" s="1"/>
      <c r="I21" s="1"/>
    </row>
    <row r="22" spans="5:9" ht="18.75">
      <c r="E22" s="57" t="s">
        <v>14</v>
      </c>
      <c r="F22" s="57"/>
      <c r="G22" s="1"/>
      <c r="H22" s="1"/>
      <c r="I22" s="1"/>
    </row>
    <row r="23" spans="5:9" ht="237" customHeight="1">
      <c r="E23" s="56" t="s">
        <v>21</v>
      </c>
      <c r="F23" s="56"/>
      <c r="G23" s="56"/>
      <c r="H23" s="1"/>
      <c r="I23" s="1"/>
    </row>
    <row r="24" spans="5:9" ht="18.75">
      <c r="E24" s="34"/>
      <c r="F24" s="34"/>
      <c r="G24" s="1"/>
      <c r="H24" s="1"/>
      <c r="I24" s="1"/>
    </row>
    <row r="25" spans="5:9" ht="18.75">
      <c r="E25" s="15" t="s">
        <v>0</v>
      </c>
      <c r="F25" s="15" t="s">
        <v>8</v>
      </c>
      <c r="G25" s="16" t="s">
        <v>9</v>
      </c>
      <c r="H25" s="1"/>
      <c r="I25" s="1"/>
    </row>
    <row r="26" spans="5:9" ht="48.75" customHeight="1">
      <c r="E26" s="17">
        <v>1</v>
      </c>
      <c r="F26" s="25" t="s">
        <v>25</v>
      </c>
      <c r="G26" s="19">
        <v>62</v>
      </c>
      <c r="H26" s="1"/>
      <c r="I26" s="1"/>
    </row>
    <row r="27" spans="5:9" ht="66.75" customHeight="1">
      <c r="E27" s="17">
        <v>2</v>
      </c>
      <c r="F27" s="18" t="s">
        <v>22</v>
      </c>
      <c r="G27" s="19">
        <f>J46</f>
        <v>475.4</v>
      </c>
      <c r="H27" s="1"/>
      <c r="I27" s="1"/>
    </row>
    <row r="28" spans="5:9" ht="101.25" customHeight="1">
      <c r="E28" s="17">
        <v>3</v>
      </c>
      <c r="F28" s="18" t="s">
        <v>23</v>
      </c>
      <c r="G28" s="19">
        <f>(8-2)*(G26-12)</f>
        <v>300</v>
      </c>
      <c r="H28" s="1"/>
      <c r="I28" s="1"/>
    </row>
    <row r="29" spans="5:9" ht="60.75" customHeight="1">
      <c r="E29" s="17">
        <v>4</v>
      </c>
      <c r="F29" s="25" t="s">
        <v>24</v>
      </c>
      <c r="G29" s="20">
        <f>G27/G28*1.25</f>
        <v>1.9808333333333334</v>
      </c>
      <c r="H29" s="1"/>
      <c r="I29" s="1"/>
    </row>
    <row r="30" spans="5:9" ht="18.75">
      <c r="E30" s="21"/>
      <c r="F30" s="26"/>
      <c r="G30" s="23"/>
      <c r="H30" s="1"/>
      <c r="I30" s="1"/>
    </row>
    <row r="31" spans="5:9" ht="41.25" customHeight="1">
      <c r="E31" s="39" t="s">
        <v>27</v>
      </c>
      <c r="F31" s="39"/>
      <c r="G31" s="44"/>
      <c r="H31" s="45"/>
      <c r="I31" s="1"/>
    </row>
    <row r="32" spans="5:9" ht="18.75" customHeight="1">
      <c r="E32" s="1"/>
      <c r="F32" s="1"/>
      <c r="G32" s="1"/>
      <c r="H32" s="1"/>
      <c r="I32" s="1"/>
    </row>
    <row r="33" spans="5:17" ht="68.25" customHeight="1">
      <c r="E33" s="4" t="s">
        <v>0</v>
      </c>
      <c r="F33" s="4" t="s">
        <v>5</v>
      </c>
      <c r="G33" s="4" t="s">
        <v>1</v>
      </c>
      <c r="H33" s="8" t="s">
        <v>7</v>
      </c>
      <c r="I33" s="4" t="s">
        <v>34</v>
      </c>
    </row>
    <row r="34" spans="5:17" ht="187.5" customHeight="1">
      <c r="E34" s="37">
        <v>1</v>
      </c>
      <c r="F34" s="38" t="s">
        <v>58</v>
      </c>
      <c r="G34" s="3">
        <v>21</v>
      </c>
      <c r="H34" s="3">
        <v>1.5</v>
      </c>
      <c r="I34" s="38" t="s">
        <v>59</v>
      </c>
      <c r="J34" s="2">
        <f>G34*H34</f>
        <v>31.5</v>
      </c>
    </row>
    <row r="35" spans="5:17" ht="138" customHeight="1">
      <c r="E35" s="37">
        <v>2</v>
      </c>
      <c r="F35" s="38" t="s">
        <v>60</v>
      </c>
      <c r="G35" s="3">
        <f>G34</f>
        <v>21</v>
      </c>
      <c r="H35" s="3">
        <v>1</v>
      </c>
      <c r="I35" s="36" t="s">
        <v>42</v>
      </c>
      <c r="J35" s="2">
        <f t="shared" ref="J35:J45" si="0">G35*H35</f>
        <v>21</v>
      </c>
    </row>
    <row r="36" spans="5:17" ht="321.75" customHeight="1">
      <c r="E36" s="37">
        <v>3</v>
      </c>
      <c r="F36" s="38" t="s">
        <v>61</v>
      </c>
      <c r="G36" s="3">
        <f>42+1+2+1+8+4+1+2</f>
        <v>61</v>
      </c>
      <c r="H36" s="3">
        <v>3.5</v>
      </c>
      <c r="I36" s="38" t="s">
        <v>62</v>
      </c>
      <c r="J36" s="2">
        <f t="shared" si="0"/>
        <v>213.5</v>
      </c>
    </row>
    <row r="37" spans="5:17" ht="215.25" customHeight="1">
      <c r="E37" s="37">
        <v>4</v>
      </c>
      <c r="F37" s="38" t="s">
        <v>63</v>
      </c>
      <c r="G37" s="3">
        <f>42+8+4</f>
        <v>54</v>
      </c>
      <c r="H37" s="3">
        <v>0.85</v>
      </c>
      <c r="I37" s="38" t="s">
        <v>64</v>
      </c>
      <c r="J37" s="2">
        <f t="shared" si="0"/>
        <v>45.9</v>
      </c>
    </row>
    <row r="38" spans="5:17" ht="78.75" customHeight="1">
      <c r="E38" s="37">
        <v>5</v>
      </c>
      <c r="F38" s="38" t="s">
        <v>65</v>
      </c>
      <c r="G38" s="3">
        <v>2</v>
      </c>
      <c r="H38" s="3">
        <v>5</v>
      </c>
      <c r="I38" s="38" t="s">
        <v>66</v>
      </c>
      <c r="J38" s="2">
        <f t="shared" si="0"/>
        <v>10</v>
      </c>
    </row>
    <row r="39" spans="5:17" ht="244.5" customHeight="1">
      <c r="E39" s="37">
        <v>6</v>
      </c>
      <c r="F39" s="38" t="s">
        <v>31</v>
      </c>
      <c r="G39" s="3">
        <v>17</v>
      </c>
      <c r="H39" s="3">
        <v>4</v>
      </c>
      <c r="I39" s="38" t="s">
        <v>67</v>
      </c>
      <c r="J39" s="2">
        <f t="shared" si="0"/>
        <v>68</v>
      </c>
    </row>
    <row r="40" spans="5:17" ht="93" customHeight="1">
      <c r="E40" s="37">
        <v>7</v>
      </c>
      <c r="F40" s="38" t="s">
        <v>32</v>
      </c>
      <c r="G40" s="3">
        <v>33</v>
      </c>
      <c r="H40" s="3">
        <v>1</v>
      </c>
      <c r="I40" s="38" t="s">
        <v>68</v>
      </c>
      <c r="J40" s="2">
        <f t="shared" si="0"/>
        <v>33</v>
      </c>
      <c r="Q40" s="32"/>
    </row>
    <row r="41" spans="5:17" ht="78" customHeight="1">
      <c r="E41" s="37">
        <v>8</v>
      </c>
      <c r="F41" s="38" t="s">
        <v>46</v>
      </c>
      <c r="G41" s="3">
        <v>2</v>
      </c>
      <c r="H41" s="3">
        <v>5</v>
      </c>
      <c r="I41" s="38" t="s">
        <v>47</v>
      </c>
      <c r="J41" s="2">
        <f t="shared" si="0"/>
        <v>10</v>
      </c>
    </row>
    <row r="42" spans="5:17" ht="93" customHeight="1">
      <c r="E42" s="37">
        <v>9</v>
      </c>
      <c r="F42" s="38" t="s">
        <v>50</v>
      </c>
      <c r="G42" s="3">
        <v>39</v>
      </c>
      <c r="H42" s="3">
        <v>0.5</v>
      </c>
      <c r="I42" s="38" t="s">
        <v>69</v>
      </c>
      <c r="J42" s="2">
        <f t="shared" si="0"/>
        <v>19.5</v>
      </c>
    </row>
    <row r="43" spans="5:17" ht="85.5" customHeight="1">
      <c r="E43" s="37">
        <v>10</v>
      </c>
      <c r="F43" s="38" t="s">
        <v>52</v>
      </c>
      <c r="G43" s="3">
        <v>10</v>
      </c>
      <c r="H43" s="3">
        <v>0.2</v>
      </c>
      <c r="I43" s="38" t="s">
        <v>53</v>
      </c>
      <c r="J43" s="2">
        <f t="shared" si="0"/>
        <v>2</v>
      </c>
    </row>
    <row r="44" spans="5:17" ht="157.5" customHeight="1">
      <c r="E44" s="37">
        <v>11</v>
      </c>
      <c r="F44" s="38" t="s">
        <v>54</v>
      </c>
      <c r="G44" s="3">
        <v>18</v>
      </c>
      <c r="H44" s="3">
        <v>0.5</v>
      </c>
      <c r="I44" s="38" t="s">
        <v>70</v>
      </c>
      <c r="J44" s="2">
        <f t="shared" si="0"/>
        <v>9</v>
      </c>
    </row>
    <row r="45" spans="5:17" ht="133.5" customHeight="1">
      <c r="E45" s="37">
        <v>12</v>
      </c>
      <c r="F45" s="38" t="s">
        <v>71</v>
      </c>
      <c r="G45" s="3">
        <v>6</v>
      </c>
      <c r="H45" s="3">
        <v>2</v>
      </c>
      <c r="I45" s="38" t="s">
        <v>72</v>
      </c>
      <c r="J45" s="2">
        <f t="shared" si="0"/>
        <v>12</v>
      </c>
    </row>
    <row r="46" spans="5:17" ht="15.75">
      <c r="E46" s="51" t="s">
        <v>10</v>
      </c>
      <c r="F46" s="52"/>
      <c r="G46" s="31">
        <f>SUM(G34:G43)</f>
        <v>260</v>
      </c>
      <c r="H46" s="3"/>
      <c r="I46" s="30"/>
      <c r="J46" s="2">
        <f>SUM(J34:J45)</f>
        <v>475.4</v>
      </c>
    </row>
    <row r="47" spans="5:17">
      <c r="E47" s="27"/>
      <c r="F47" s="27"/>
      <c r="G47" s="5"/>
      <c r="H47" s="5"/>
      <c r="I47" s="5"/>
    </row>
    <row r="48" spans="5:17" ht="34.5" customHeight="1">
      <c r="E48" s="54" t="s">
        <v>26</v>
      </c>
      <c r="F48" s="54"/>
      <c r="G48" s="54"/>
      <c r="H48" s="54"/>
      <c r="I48" s="9"/>
      <c r="O48" s="11"/>
    </row>
    <row r="49" spans="5:9" ht="144.75" customHeight="1">
      <c r="E49" s="49" t="s">
        <v>73</v>
      </c>
      <c r="F49" s="49"/>
      <c r="G49" s="49"/>
      <c r="H49" s="49"/>
      <c r="I49" s="49"/>
    </row>
    <row r="50" spans="5:9" ht="39" customHeight="1">
      <c r="E50" s="48" t="s">
        <v>56</v>
      </c>
      <c r="F50" s="48"/>
      <c r="G50" s="5"/>
      <c r="H50" s="5"/>
      <c r="I50" s="5"/>
    </row>
    <row r="51" spans="5:9">
      <c r="E51" s="5"/>
      <c r="F51" s="5"/>
      <c r="G51" s="5"/>
      <c r="H51" s="5"/>
      <c r="I51" s="5"/>
    </row>
  </sheetData>
  <mergeCells count="13">
    <mergeCell ref="E12:G12"/>
    <mergeCell ref="E1:I1"/>
    <mergeCell ref="F2:H2"/>
    <mergeCell ref="E5:F5"/>
    <mergeCell ref="E9:F9"/>
    <mergeCell ref="E10:F10"/>
    <mergeCell ref="E49:I49"/>
    <mergeCell ref="E50:F50"/>
    <mergeCell ref="E21:F21"/>
    <mergeCell ref="E22:F22"/>
    <mergeCell ref="E23:G23"/>
    <mergeCell ref="E46:F46"/>
    <mergeCell ref="E48:H48"/>
  </mergeCells>
  <pageMargins left="0.70866141732283472" right="0.70866141732283472" top="0.74803149606299213" bottom="0.74803149606299213" header="0.31496062992125984" footer="0.31496062992125984"/>
  <pageSetup paperSize="9" scale="70" orientation="portrait" horizontalDpi="180" verticalDpi="180" r:id="rId1"/>
  <colBreaks count="1" manualBreakCount="1">
    <brk id="4" max="1048575" man="1"/>
  </colBreaks>
</worksheet>
</file>

<file path=xl/worksheets/sheet3.xml><?xml version="1.0" encoding="utf-8"?>
<worksheet xmlns="http://schemas.openxmlformats.org/spreadsheetml/2006/main" xmlns:r="http://schemas.openxmlformats.org/officeDocument/2006/relationships">
  <dimension ref="E1:Q57"/>
  <sheetViews>
    <sheetView showGridLines="0" tabSelected="1" zoomScale="70" zoomScaleNormal="70" zoomScaleSheetLayoutView="85" workbookViewId="0">
      <selection activeCell="W33" sqref="W33"/>
    </sheetView>
  </sheetViews>
  <sheetFormatPr defaultRowHeight="15"/>
  <cols>
    <col min="1" max="4" width="9.140625" style="2"/>
    <col min="5" max="5" width="20.28515625" style="2" customWidth="1"/>
    <col min="6" max="6" width="42.140625" style="2" customWidth="1"/>
    <col min="7" max="7" width="16.140625" style="2" customWidth="1"/>
    <col min="8" max="8" width="17.140625" style="2" customWidth="1"/>
    <col min="9" max="9" width="24.28515625" style="2" customWidth="1"/>
    <col min="10" max="16384" width="9.140625" style="2"/>
  </cols>
  <sheetData>
    <row r="1" spans="5:9" ht="56.25" customHeight="1">
      <c r="E1" s="47" t="s">
        <v>29</v>
      </c>
      <c r="F1" s="47"/>
      <c r="G1" s="47"/>
      <c r="H1" s="47"/>
      <c r="I1" s="47"/>
    </row>
    <row r="2" spans="5:9" ht="37.5" customHeight="1">
      <c r="E2" s="33" t="s">
        <v>3</v>
      </c>
      <c r="F2" s="50" t="s">
        <v>37</v>
      </c>
      <c r="G2" s="50"/>
      <c r="H2" s="50"/>
      <c r="I2" s="1"/>
    </row>
    <row r="3" spans="5:9" ht="35.25" customHeight="1">
      <c r="E3" s="33" t="s">
        <v>4</v>
      </c>
      <c r="F3" s="6" t="s">
        <v>38</v>
      </c>
      <c r="G3" s="1"/>
      <c r="H3" s="1"/>
      <c r="I3" s="1"/>
    </row>
    <row r="4" spans="5:9" ht="35.25" customHeight="1">
      <c r="E4" s="33" t="s">
        <v>2</v>
      </c>
      <c r="F4" s="59" t="s">
        <v>35</v>
      </c>
      <c r="G4" s="59"/>
      <c r="H4" s="1"/>
      <c r="I4" s="1"/>
    </row>
    <row r="5" spans="5:9" ht="28.5" customHeight="1">
      <c r="E5" s="53" t="s">
        <v>11</v>
      </c>
      <c r="F5" s="53"/>
      <c r="G5" s="1"/>
      <c r="H5" s="1"/>
      <c r="I5" s="1"/>
    </row>
    <row r="6" spans="5:9" ht="18.75">
      <c r="E6" s="33"/>
      <c r="F6" s="33" t="str">
        <f>"1. Производительность труда: " &amp; TEXT(G19, "#,0%")</f>
        <v>1. Производительность труда: 210,0%</v>
      </c>
      <c r="G6" s="1"/>
      <c r="H6" s="1"/>
      <c r="I6" s="1"/>
    </row>
    <row r="7" spans="5:9" ht="18.75">
      <c r="E7" s="33"/>
      <c r="F7" s="33" t="str">
        <f>"2. Интенсивность труда:           " &amp; TEXT(G29, "#,0%")</f>
        <v>2. Интенсивность труда:           237,5%</v>
      </c>
      <c r="G7" s="1"/>
      <c r="H7" s="1"/>
      <c r="I7" s="1"/>
    </row>
    <row r="8" spans="5:9" ht="15.75">
      <c r="E8" s="1"/>
      <c r="F8" s="1"/>
      <c r="G8" s="1"/>
      <c r="H8" s="1"/>
      <c r="I8" s="1"/>
    </row>
    <row r="9" spans="5:9" ht="30" customHeight="1">
      <c r="E9" s="54" t="s">
        <v>13</v>
      </c>
      <c r="F9" s="54"/>
      <c r="G9" s="1"/>
      <c r="H9" s="1"/>
      <c r="I9" s="1"/>
    </row>
    <row r="10" spans="5:9" ht="26.25" customHeight="1">
      <c r="E10" s="55" t="s">
        <v>12</v>
      </c>
      <c r="F10" s="55"/>
      <c r="G10" s="1"/>
      <c r="H10" s="1"/>
      <c r="I10" s="1"/>
    </row>
    <row r="11" spans="5:9" ht="21.75" customHeight="1">
      <c r="E11" s="35" t="s">
        <v>14</v>
      </c>
      <c r="F11" s="35"/>
      <c r="G11" s="1"/>
      <c r="H11" s="1"/>
      <c r="I11" s="1"/>
    </row>
    <row r="12" spans="5:9" ht="185.25" customHeight="1">
      <c r="E12" s="56" t="s">
        <v>15</v>
      </c>
      <c r="F12" s="56"/>
      <c r="G12" s="56"/>
      <c r="H12" s="1"/>
      <c r="I12" s="1"/>
    </row>
    <row r="13" spans="5:9" ht="18.75">
      <c r="E13" s="34"/>
      <c r="F13" s="34"/>
      <c r="G13" s="1"/>
      <c r="H13" s="1"/>
      <c r="I13" s="1"/>
    </row>
    <row r="14" spans="5:9" ht="18.75">
      <c r="E14" s="15" t="s">
        <v>0</v>
      </c>
      <c r="F14" s="15" t="s">
        <v>8</v>
      </c>
      <c r="G14" s="16" t="s">
        <v>9</v>
      </c>
      <c r="H14" s="1"/>
      <c r="I14" s="1"/>
    </row>
    <row r="15" spans="5:9" ht="45.75" customHeight="1">
      <c r="E15" s="17">
        <v>1</v>
      </c>
      <c r="F15" s="25" t="s">
        <v>25</v>
      </c>
      <c r="G15" s="19">
        <v>117</v>
      </c>
      <c r="H15" s="1"/>
      <c r="I15" s="1"/>
    </row>
    <row r="16" spans="5:9" ht="48.75" customHeight="1">
      <c r="E16" s="17">
        <v>2</v>
      </c>
      <c r="F16" s="18" t="s">
        <v>16</v>
      </c>
      <c r="G16" s="19">
        <f>ROUND(J52/G52, 2)</f>
        <v>2.71</v>
      </c>
      <c r="H16" s="1"/>
      <c r="I16" s="1"/>
    </row>
    <row r="17" spans="5:9" ht="52.5" customHeight="1">
      <c r="E17" s="17">
        <v>3</v>
      </c>
      <c r="F17" s="18" t="s">
        <v>17</v>
      </c>
      <c r="G17" s="19">
        <f>ROUND(8/G16, 0)-0.5</f>
        <v>2.5</v>
      </c>
      <c r="H17" s="1"/>
      <c r="I17" s="1"/>
    </row>
    <row r="18" spans="5:9" ht="49.5" customHeight="1">
      <c r="E18" s="17">
        <v>4</v>
      </c>
      <c r="F18" s="18" t="s">
        <v>18</v>
      </c>
      <c r="G18" s="19">
        <f>ROUND(G52/(G15-20), 2)</f>
        <v>3</v>
      </c>
      <c r="H18" s="1"/>
      <c r="I18" s="1"/>
    </row>
    <row r="19" spans="5:9" ht="40.5" customHeight="1">
      <c r="E19" s="17">
        <v>5</v>
      </c>
      <c r="F19" s="25" t="s">
        <v>20</v>
      </c>
      <c r="G19" s="20">
        <f>G18/G17*1.75</f>
        <v>2.1</v>
      </c>
      <c r="H19" s="1"/>
      <c r="I19" s="1"/>
    </row>
    <row r="20" spans="5:9" ht="18.75">
      <c r="E20" s="21"/>
      <c r="F20" s="22"/>
      <c r="G20" s="23"/>
      <c r="H20" s="1"/>
      <c r="I20" s="1"/>
    </row>
    <row r="21" spans="5:9" ht="24" customHeight="1">
      <c r="E21" s="55" t="s">
        <v>19</v>
      </c>
      <c r="F21" s="55"/>
      <c r="G21" s="1"/>
      <c r="H21" s="1"/>
      <c r="I21" s="1"/>
    </row>
    <row r="22" spans="5:9" ht="18.75">
      <c r="E22" s="57" t="s">
        <v>14</v>
      </c>
      <c r="F22" s="57"/>
      <c r="G22" s="1"/>
      <c r="H22" s="1"/>
      <c r="I22" s="1"/>
    </row>
    <row r="23" spans="5:9" ht="220.5" customHeight="1">
      <c r="E23" s="56" t="s">
        <v>36</v>
      </c>
      <c r="F23" s="56"/>
      <c r="G23" s="56"/>
      <c r="H23" s="1"/>
      <c r="I23" s="1"/>
    </row>
    <row r="24" spans="5:9" ht="18.75">
      <c r="E24" s="34"/>
      <c r="F24" s="34"/>
      <c r="G24" s="1"/>
      <c r="H24" s="1"/>
      <c r="I24" s="1"/>
    </row>
    <row r="25" spans="5:9" ht="18.75">
      <c r="E25" s="15" t="s">
        <v>0</v>
      </c>
      <c r="F25" s="15" t="s">
        <v>8</v>
      </c>
      <c r="G25" s="16" t="s">
        <v>9</v>
      </c>
      <c r="H25" s="1"/>
      <c r="I25" s="1"/>
    </row>
    <row r="26" spans="5:9" ht="48" customHeight="1">
      <c r="E26" s="17">
        <v>1</v>
      </c>
      <c r="F26" s="25" t="s">
        <v>25</v>
      </c>
      <c r="G26" s="19">
        <v>117</v>
      </c>
      <c r="H26" s="1"/>
      <c r="I26" s="1"/>
    </row>
    <row r="27" spans="5:9" ht="66" customHeight="1">
      <c r="E27" s="17">
        <v>2</v>
      </c>
      <c r="F27" s="18" t="s">
        <v>22</v>
      </c>
      <c r="G27" s="19">
        <f>J52</f>
        <v>790</v>
      </c>
      <c r="H27" s="1"/>
      <c r="I27" s="1"/>
    </row>
    <row r="28" spans="5:9" ht="109.5" customHeight="1">
      <c r="E28" s="17">
        <v>3</v>
      </c>
      <c r="F28" s="18" t="s">
        <v>23</v>
      </c>
      <c r="G28" s="19">
        <f>(8-2)*(G26-20)</f>
        <v>582</v>
      </c>
      <c r="H28" s="1"/>
      <c r="I28" s="1"/>
    </row>
    <row r="29" spans="5:9" ht="48.75" customHeight="1">
      <c r="E29" s="17">
        <v>4</v>
      </c>
      <c r="F29" s="25" t="s">
        <v>24</v>
      </c>
      <c r="G29" s="20">
        <f>G27/G28*1.75</f>
        <v>2.3754295532646048</v>
      </c>
      <c r="H29" s="1"/>
      <c r="I29" s="1"/>
    </row>
    <row r="30" spans="5:9" ht="18.75">
      <c r="E30" s="21"/>
      <c r="F30" s="26"/>
      <c r="G30" s="23"/>
      <c r="H30" s="1"/>
      <c r="I30" s="1"/>
    </row>
    <row r="31" spans="5:9" ht="41.25" customHeight="1">
      <c r="E31" s="54" t="s">
        <v>27</v>
      </c>
      <c r="F31" s="54"/>
      <c r="G31" s="54"/>
      <c r="H31" s="54"/>
      <c r="I31" s="1"/>
    </row>
    <row r="32" spans="5:9" ht="18.75" customHeight="1">
      <c r="E32" s="1"/>
      <c r="F32" s="1"/>
      <c r="G32" s="1"/>
      <c r="H32" s="1"/>
      <c r="I32" s="1"/>
    </row>
    <row r="33" spans="5:17" ht="68.25" customHeight="1">
      <c r="E33" s="4" t="s">
        <v>0</v>
      </c>
      <c r="F33" s="4" t="s">
        <v>5</v>
      </c>
      <c r="G33" s="4" t="s">
        <v>1</v>
      </c>
      <c r="H33" s="8" t="s">
        <v>7</v>
      </c>
      <c r="I33" s="4" t="s">
        <v>34</v>
      </c>
    </row>
    <row r="34" spans="5:17" ht="246" customHeight="1">
      <c r="E34" s="37">
        <v>1</v>
      </c>
      <c r="F34" s="46" t="s">
        <v>74</v>
      </c>
      <c r="G34" s="3">
        <v>1</v>
      </c>
      <c r="H34" s="3">
        <f>9*8</f>
        <v>72</v>
      </c>
      <c r="I34" s="38" t="s">
        <v>75</v>
      </c>
      <c r="J34" s="2">
        <f>G34*H34</f>
        <v>72</v>
      </c>
    </row>
    <row r="35" spans="5:17" ht="208.5" customHeight="1">
      <c r="E35" s="37">
        <v>2</v>
      </c>
      <c r="F35" s="38" t="s">
        <v>58</v>
      </c>
      <c r="G35" s="3">
        <v>32</v>
      </c>
      <c r="H35" s="3">
        <v>1.5</v>
      </c>
      <c r="I35" s="38" t="s">
        <v>76</v>
      </c>
      <c r="J35" s="2">
        <f t="shared" ref="J35:J51" si="0">G35*H35</f>
        <v>48</v>
      </c>
    </row>
    <row r="36" spans="5:17" ht="240.75" customHeight="1">
      <c r="E36" s="37">
        <v>3</v>
      </c>
      <c r="F36" s="38" t="s">
        <v>60</v>
      </c>
      <c r="G36" s="3">
        <f>G35</f>
        <v>32</v>
      </c>
      <c r="H36" s="3">
        <v>1</v>
      </c>
      <c r="I36" s="36" t="s">
        <v>42</v>
      </c>
      <c r="J36" s="2">
        <f t="shared" si="0"/>
        <v>32</v>
      </c>
    </row>
    <row r="37" spans="5:17" ht="120.75" customHeight="1">
      <c r="E37" s="37">
        <v>4</v>
      </c>
      <c r="F37" s="38" t="s">
        <v>77</v>
      </c>
      <c r="G37" s="3">
        <f>42+1+2+2+1+1+2+8+5+1+2</f>
        <v>67</v>
      </c>
      <c r="H37" s="3">
        <v>3.5</v>
      </c>
      <c r="I37" s="38" t="s">
        <v>62</v>
      </c>
      <c r="J37" s="2">
        <f t="shared" si="0"/>
        <v>234.5</v>
      </c>
    </row>
    <row r="38" spans="5:17" ht="136.5" customHeight="1">
      <c r="E38" s="37">
        <v>5</v>
      </c>
      <c r="F38" s="38" t="s">
        <v>78</v>
      </c>
      <c r="G38" s="3">
        <f>42+8+4+2+5+10</f>
        <v>71</v>
      </c>
      <c r="H38" s="3">
        <v>1</v>
      </c>
      <c r="I38" s="38" t="s">
        <v>79</v>
      </c>
      <c r="J38" s="2">
        <f t="shared" si="0"/>
        <v>71</v>
      </c>
    </row>
    <row r="39" spans="5:17" ht="158.25" customHeight="1">
      <c r="E39" s="37">
        <v>6</v>
      </c>
      <c r="F39" s="38" t="s">
        <v>65</v>
      </c>
      <c r="G39" s="3">
        <v>2</v>
      </c>
      <c r="H39" s="3">
        <v>5</v>
      </c>
      <c r="I39" s="38" t="s">
        <v>66</v>
      </c>
      <c r="J39" s="2">
        <f t="shared" si="0"/>
        <v>10</v>
      </c>
    </row>
    <row r="40" spans="5:17" ht="243.75" customHeight="1">
      <c r="E40" s="37">
        <v>7</v>
      </c>
      <c r="F40" s="38" t="s">
        <v>31</v>
      </c>
      <c r="G40" s="3">
        <f>17*1.2</f>
        <v>20.399999999999999</v>
      </c>
      <c r="H40" s="3">
        <v>4</v>
      </c>
      <c r="I40" s="38" t="s">
        <v>80</v>
      </c>
      <c r="J40" s="2">
        <f t="shared" si="0"/>
        <v>81.599999999999994</v>
      </c>
      <c r="Q40" s="32"/>
    </row>
    <row r="41" spans="5:17" ht="116.25" customHeight="1">
      <c r="E41" s="37">
        <v>8</v>
      </c>
      <c r="F41" s="38" t="s">
        <v>32</v>
      </c>
      <c r="G41" s="3">
        <v>40</v>
      </c>
      <c r="H41" s="3">
        <v>1</v>
      </c>
      <c r="I41" s="38" t="s">
        <v>68</v>
      </c>
      <c r="J41" s="2">
        <f t="shared" si="0"/>
        <v>40</v>
      </c>
    </row>
    <row r="42" spans="5:17" ht="102.75" customHeight="1">
      <c r="E42" s="37">
        <v>9</v>
      </c>
      <c r="F42" s="38" t="s">
        <v>81</v>
      </c>
      <c r="G42" s="3">
        <v>18</v>
      </c>
      <c r="H42" s="3">
        <v>1.5</v>
      </c>
      <c r="I42" s="38" t="s">
        <v>82</v>
      </c>
      <c r="J42" s="2">
        <f t="shared" si="0"/>
        <v>27</v>
      </c>
    </row>
    <row r="43" spans="5:17" ht="85.5" customHeight="1">
      <c r="E43" s="37">
        <v>10</v>
      </c>
      <c r="F43" s="38" t="s">
        <v>83</v>
      </c>
      <c r="G43" s="3">
        <v>8</v>
      </c>
      <c r="H43" s="3">
        <v>3.5</v>
      </c>
      <c r="I43" s="38" t="s">
        <v>84</v>
      </c>
      <c r="J43" s="2">
        <f t="shared" si="0"/>
        <v>28</v>
      </c>
    </row>
    <row r="44" spans="5:17" ht="80.25" customHeight="1">
      <c r="E44" s="37">
        <v>11</v>
      </c>
      <c r="F44" s="38" t="s">
        <v>46</v>
      </c>
      <c r="G44" s="3">
        <v>2</v>
      </c>
      <c r="H44" s="3">
        <v>5</v>
      </c>
      <c r="I44" s="38" t="s">
        <v>47</v>
      </c>
      <c r="J44" s="2">
        <f t="shared" si="0"/>
        <v>10</v>
      </c>
    </row>
    <row r="45" spans="5:17" ht="63" customHeight="1">
      <c r="E45" s="37">
        <v>12</v>
      </c>
      <c r="F45" s="38" t="s">
        <v>50</v>
      </c>
      <c r="G45" s="3">
        <v>39</v>
      </c>
      <c r="H45" s="3">
        <v>0.5</v>
      </c>
      <c r="I45" s="38" t="s">
        <v>69</v>
      </c>
      <c r="J45" s="2">
        <f t="shared" si="0"/>
        <v>19.5</v>
      </c>
    </row>
    <row r="46" spans="5:17" ht="63">
      <c r="E46" s="37">
        <v>13</v>
      </c>
      <c r="F46" s="38" t="s">
        <v>52</v>
      </c>
      <c r="G46" s="3">
        <v>10</v>
      </c>
      <c r="H46" s="3">
        <v>0.2</v>
      </c>
      <c r="I46" s="38" t="s">
        <v>53</v>
      </c>
      <c r="J46" s="2">
        <f t="shared" si="0"/>
        <v>2</v>
      </c>
    </row>
    <row r="47" spans="5:17" ht="47.25">
      <c r="E47" s="37">
        <v>14</v>
      </c>
      <c r="F47" s="38" t="s">
        <v>85</v>
      </c>
      <c r="G47" s="3">
        <v>23</v>
      </c>
      <c r="H47" s="3">
        <v>1.2</v>
      </c>
      <c r="I47" s="38" t="s">
        <v>86</v>
      </c>
      <c r="J47" s="2">
        <f t="shared" si="0"/>
        <v>27.599999999999998</v>
      </c>
    </row>
    <row r="48" spans="5:17" ht="163.5" customHeight="1">
      <c r="E48" s="37">
        <v>15</v>
      </c>
      <c r="F48" s="38" t="s">
        <v>87</v>
      </c>
      <c r="G48" s="3">
        <v>1</v>
      </c>
      <c r="H48" s="3">
        <v>19</v>
      </c>
      <c r="I48" s="38" t="s">
        <v>88</v>
      </c>
      <c r="J48" s="2">
        <f t="shared" si="0"/>
        <v>19</v>
      </c>
    </row>
    <row r="49" spans="5:15" ht="49.5" customHeight="1">
      <c r="E49" s="37">
        <v>16</v>
      </c>
      <c r="F49" s="38" t="s">
        <v>89</v>
      </c>
      <c r="G49" s="3">
        <v>24</v>
      </c>
      <c r="H49" s="3">
        <v>0.45</v>
      </c>
      <c r="I49" s="38" t="s">
        <v>90</v>
      </c>
      <c r="J49" s="2">
        <f t="shared" si="0"/>
        <v>10.8</v>
      </c>
    </row>
    <row r="50" spans="5:15" ht="141" customHeight="1">
      <c r="E50" s="37">
        <v>17</v>
      </c>
      <c r="F50" s="38" t="s">
        <v>54</v>
      </c>
      <c r="G50" s="3">
        <v>18</v>
      </c>
      <c r="H50" s="3">
        <v>0.5</v>
      </c>
      <c r="I50" s="38" t="s">
        <v>70</v>
      </c>
      <c r="J50" s="2">
        <f t="shared" si="0"/>
        <v>9</v>
      </c>
    </row>
    <row r="51" spans="5:15" ht="131.25" customHeight="1">
      <c r="E51" s="37">
        <v>18</v>
      </c>
      <c r="F51" s="38" t="s">
        <v>71</v>
      </c>
      <c r="G51" s="3">
        <f>6*2</f>
        <v>12</v>
      </c>
      <c r="H51" s="3">
        <v>4</v>
      </c>
      <c r="I51" s="38" t="s">
        <v>72</v>
      </c>
      <c r="J51" s="2">
        <f t="shared" si="0"/>
        <v>48</v>
      </c>
    </row>
    <row r="52" spans="5:15" ht="15.75">
      <c r="E52" s="51" t="s">
        <v>10</v>
      </c>
      <c r="F52" s="52"/>
      <c r="G52" s="31">
        <f>SUM(G34:G43)</f>
        <v>291.39999999999998</v>
      </c>
      <c r="H52" s="3"/>
      <c r="I52" s="30"/>
      <c r="J52" s="2">
        <f>SUM(J34:J51)</f>
        <v>790</v>
      </c>
    </row>
    <row r="53" spans="5:15">
      <c r="E53" s="27"/>
      <c r="F53" s="27"/>
      <c r="G53" s="5"/>
      <c r="H53" s="5"/>
      <c r="I53" s="5"/>
    </row>
    <row r="54" spans="5:15" ht="34.5" customHeight="1">
      <c r="E54" s="43" t="s">
        <v>26</v>
      </c>
      <c r="F54" s="43"/>
      <c r="G54" s="10"/>
      <c r="H54" s="9"/>
      <c r="I54" s="9"/>
      <c r="O54" s="11"/>
    </row>
    <row r="55" spans="5:15" ht="182.25" customHeight="1">
      <c r="E55" s="49" t="s">
        <v>91</v>
      </c>
      <c r="F55" s="49"/>
      <c r="G55" s="49"/>
      <c r="H55" s="49"/>
      <c r="I55" s="49"/>
    </row>
    <row r="56" spans="5:15" ht="39" customHeight="1">
      <c r="E56" s="58" t="s">
        <v>56</v>
      </c>
      <c r="F56" s="58"/>
      <c r="G56" s="5"/>
      <c r="H56" s="5"/>
      <c r="I56" s="5"/>
    </row>
    <row r="57" spans="5:15">
      <c r="E57" s="5"/>
      <c r="F57" s="5"/>
      <c r="G57" s="5"/>
      <c r="H57" s="5"/>
      <c r="I57" s="5"/>
    </row>
  </sheetData>
  <mergeCells count="14">
    <mergeCell ref="E12:G12"/>
    <mergeCell ref="E1:I1"/>
    <mergeCell ref="F2:H2"/>
    <mergeCell ref="E5:F5"/>
    <mergeCell ref="E9:F9"/>
    <mergeCell ref="E10:F10"/>
    <mergeCell ref="F4:G4"/>
    <mergeCell ref="E55:I55"/>
    <mergeCell ref="E56:F56"/>
    <mergeCell ref="E21:F21"/>
    <mergeCell ref="E22:F22"/>
    <mergeCell ref="E23:G23"/>
    <mergeCell ref="E52:F52"/>
    <mergeCell ref="E31:H31"/>
  </mergeCells>
  <pageMargins left="0.70866141732283472" right="0.70866141732283472" top="0.74803149606299213" bottom="0.74803149606299213" header="0.31496062992125984" footer="0.31496062992125984"/>
  <pageSetup paperSize="9" scale="70" orientation="portrait" horizontalDpi="180" verticalDpi="180" r:id="rId1"/>
  <colBreaks count="1" manualBreakCount="1">
    <brk id="4"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3</vt:i4>
      </vt:variant>
    </vt:vector>
  </HeadingPairs>
  <TitlesOfParts>
    <vt:vector size="6" baseType="lpstr">
      <vt:lpstr>июнь</vt:lpstr>
      <vt:lpstr>2ой квартал</vt:lpstr>
      <vt:lpstr>1ое полугодие</vt:lpstr>
      <vt:lpstr>'1ое полугодие'!Область_печати</vt:lpstr>
      <vt:lpstr>'2ой квартал'!Область_печати</vt:lpstr>
      <vt:lpstr>июнь!Область_печати</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2026-06-26T08:03:04Z</dcterms:modified>
</cp:coreProperties>
</file>