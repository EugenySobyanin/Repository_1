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сентябрь" sheetId="10" r:id="rId1"/>
  </sheets>
  <definedNames>
    <definedName name="_xlnm.Print_Area" localSheetId="0">сентябрь!$E$1:$I$70</definedName>
  </definedNames>
  <calcPr calcId="162913"/>
</workbook>
</file>

<file path=xl/calcChain.xml><?xml version="1.0" encoding="utf-8"?>
<calcChain xmlns="http://schemas.openxmlformats.org/spreadsheetml/2006/main">
  <c r="H66" i="10" l="1"/>
  <c r="H65" i="10"/>
  <c r="H64" i="10"/>
  <c r="H63" i="10"/>
  <c r="F4" i="10"/>
  <c r="I12" i="10"/>
  <c r="H61" i="10"/>
  <c r="H62" i="10" s="1"/>
  <c r="I13" i="10"/>
  <c r="I14" i="10"/>
  <c r="I15" i="10"/>
  <c r="I11" i="10"/>
  <c r="I10" i="10"/>
  <c r="I9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7" i="10"/>
  <c r="I8" i="10" l="1"/>
</calcChain>
</file>

<file path=xl/sharedStrings.xml><?xml version="1.0" encoding="utf-8"?>
<sst xmlns="http://schemas.openxmlformats.org/spreadsheetml/2006/main" count="31" uniqueCount="30">
  <si>
    <t>№</t>
  </si>
  <si>
    <t>Количество</t>
  </si>
  <si>
    <t>Период:</t>
  </si>
  <si>
    <t>Должность:</t>
  </si>
  <si>
    <t>ФИО:</t>
  </si>
  <si>
    <t>Наименование показателя / задачи</t>
  </si>
  <si>
    <t>Среднее время единицы работы, ч.</t>
  </si>
  <si>
    <t>Расчет KPI:</t>
  </si>
  <si>
    <t>Показатель</t>
  </si>
  <si>
    <t>Значение</t>
  </si>
  <si>
    <t>Заключение:</t>
  </si>
  <si>
    <t>Суммарное потраченное время</t>
  </si>
  <si>
    <t>Среднее время потраченное на решение задач в день, часы</t>
  </si>
  <si>
    <t>Общее количестов отработанных дней</t>
  </si>
  <si>
    <t>Общее количество отработанных часов</t>
  </si>
  <si>
    <t>Общее оличество выполненных задач</t>
  </si>
  <si>
    <t>Суммарное количество часов, потраченных на решение задач за период</t>
  </si>
  <si>
    <t>Показатель производительности труда</t>
  </si>
  <si>
    <t>Волосатов А.В.</t>
  </si>
  <si>
    <t>Волосатов А.В. ___________________________</t>
  </si>
  <si>
    <t>Проверка Сопостовительных ведомостей по ремонту автомобильных дорог Тверской области</t>
  </si>
  <si>
    <t>Проверка актов КС-2 на выполнение работ по содержанию</t>
  </si>
  <si>
    <t xml:space="preserve">Участие в подготовке технического задания и заключения контракта на ремонт кабинетов 215, 212, 106, 204 </t>
  </si>
  <si>
    <t>Составление локального сметного расчета на посыпку реагентом в рамках содержания западного моста в smeta.ru</t>
  </si>
  <si>
    <t xml:space="preserve">Встречи и согласования с потенциальными подрядчиками качество и объем ремонта кабинетов 206, 207, на месте проведения предполагаемых работ </t>
  </si>
  <si>
    <t>Участие в подготовке технического задания и заключения контракта на ремонт кабинета 215</t>
  </si>
  <si>
    <t xml:space="preserve">Сбор ценовой информации с сайта zakupki.gov.ru на предмет единичных расценок текущих и капитальных ремонтов дорог II, III, IV и V категорий </t>
  </si>
  <si>
    <t>Ведущий специалист 
сметного отдела</t>
  </si>
  <si>
    <t>Отчет о проделанной работе за сентябрь</t>
  </si>
  <si>
    <r>
      <t>По итогам отчетного периода зафиксирован устойчиво высокий показатель п</t>
    </r>
    <r>
      <rPr>
        <b/>
        <sz val="14"/>
        <rFont val="Times New Roman"/>
        <family val="1"/>
        <charset val="204"/>
      </rPr>
      <t>роизводительности труда — 100,43 %</t>
    </r>
    <r>
      <rPr>
        <sz val="14"/>
        <rFont val="Times New Roman"/>
        <family val="1"/>
        <charset val="204"/>
      </rPr>
      <t>. Указанное значение подтверждает соблюдение трудовой дисциплины, рациональное использование рабочего времени и ориентацию на качественное выполнение установленных KPI.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</si>
</sst>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48"/>
      <color rgb="FFFF0000"/>
      <name val="Calibri"/>
      <family val="2"/>
      <charset val="204"/>
      <scheme val="minor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medium">
        <color indexed="64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/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/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4" borderId="0" xfId="0" applyFill="1"/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164" fontId="0" fillId="2" borderId="0" xfId="0" applyNumberFormat="1" applyFill="1"/>
    <xf numFmtId="0" fontId="1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2" borderId="0" xfId="0" applyFont="1" applyFill="1"/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10" fontId="2" fillId="4" borderId="2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3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vertical="center" wrapText="1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/>
    </xf>
    <xf numFmtId="0" fontId="8" fillId="4" borderId="0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/>
    </xf>
    <xf numFmtId="0" fontId="2" fillId="4" borderId="20" xfId="0" applyFont="1" applyFill="1" applyBorder="1" applyAlignment="1">
      <alignment horizontal="left" vertical="center" wrapText="1"/>
    </xf>
    <xf numFmtId="0" fontId="2" fillId="4" borderId="2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8" fillId="0" borderId="0" xfId="0" applyNumberFormat="1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O70"/>
  <sheetViews>
    <sheetView showGridLines="0" tabSelected="1" zoomScale="70" zoomScaleNormal="70" zoomScaleSheetLayoutView="85" workbookViewId="0">
      <selection activeCell="T69" sqref="T69"/>
    </sheetView>
  </sheetViews>
  <sheetFormatPr defaultRowHeight="15" x14ac:dyDescent="0.25"/>
  <cols>
    <col min="1" max="4" width="9.140625" style="2"/>
    <col min="5" max="5" width="14.85546875" style="2" customWidth="1"/>
    <col min="6" max="6" width="52.140625" style="2" customWidth="1"/>
    <col min="7" max="7" width="17.140625" style="2" customWidth="1"/>
    <col min="8" max="8" width="17.7109375" style="2" customWidth="1"/>
    <col min="9" max="9" width="19" style="2" customWidth="1"/>
    <col min="10" max="10" width="12.42578125" style="2" bestFit="1" customWidth="1"/>
    <col min="11" max="16384" width="9.140625" style="2"/>
  </cols>
  <sheetData>
    <row r="1" spans="5:10" ht="56.25" customHeight="1" x14ac:dyDescent="0.9">
      <c r="E1" s="49" t="s">
        <v>28</v>
      </c>
      <c r="F1" s="49"/>
      <c r="G1" s="49"/>
      <c r="H1" s="49"/>
      <c r="I1" s="49"/>
      <c r="J1" s="14">
        <v>20</v>
      </c>
    </row>
    <row r="2" spans="5:10" ht="45" customHeight="1" x14ac:dyDescent="0.25">
      <c r="E2" s="13" t="s">
        <v>3</v>
      </c>
      <c r="F2" s="33" t="s">
        <v>27</v>
      </c>
      <c r="G2" s="1"/>
      <c r="H2" s="1"/>
      <c r="I2" s="1"/>
    </row>
    <row r="3" spans="5:10" ht="35.25" customHeight="1" x14ac:dyDescent="0.25">
      <c r="E3" s="13" t="s">
        <v>4</v>
      </c>
      <c r="F3" s="33" t="s">
        <v>18</v>
      </c>
      <c r="G3" s="1"/>
      <c r="H3" s="1"/>
      <c r="I3" s="1"/>
    </row>
    <row r="4" spans="5:10" ht="35.25" customHeight="1" x14ac:dyDescent="0.25">
      <c r="E4" s="13" t="s">
        <v>2</v>
      </c>
      <c r="F4" s="55" t="str">
        <f>"с 01 сентября по 28 сентября (" &amp; J1 &amp; " рабочих дней)"</f>
        <v>с 01 сентября по 28 сентября (20 рабочих дней)</v>
      </c>
      <c r="G4" s="55"/>
      <c r="H4" s="1"/>
      <c r="I4" s="1"/>
    </row>
    <row r="5" spans="5:10" ht="16.5" thickBot="1" x14ac:dyDescent="0.3">
      <c r="E5" s="1"/>
      <c r="F5" s="1"/>
      <c r="G5" s="1"/>
      <c r="H5" s="1"/>
      <c r="I5" s="1"/>
    </row>
    <row r="6" spans="5:10" ht="78.75" customHeight="1" x14ac:dyDescent="0.25">
      <c r="E6" s="15" t="s">
        <v>0</v>
      </c>
      <c r="F6" s="16" t="s">
        <v>5</v>
      </c>
      <c r="G6" s="16" t="s">
        <v>1</v>
      </c>
      <c r="H6" s="17" t="s">
        <v>6</v>
      </c>
      <c r="I6" s="18" t="s">
        <v>11</v>
      </c>
    </row>
    <row r="7" spans="5:10" ht="51.75" customHeight="1" x14ac:dyDescent="0.25">
      <c r="E7" s="19">
        <v>1</v>
      </c>
      <c r="F7" s="4" t="s">
        <v>22</v>
      </c>
      <c r="G7" s="10">
        <v>3</v>
      </c>
      <c r="H7" s="10">
        <v>20</v>
      </c>
      <c r="I7" s="20">
        <f>G7*H7</f>
        <v>60</v>
      </c>
    </row>
    <row r="8" spans="5:10" ht="47.25" x14ac:dyDescent="0.25">
      <c r="E8" s="19">
        <v>2</v>
      </c>
      <c r="F8" s="4" t="s">
        <v>23</v>
      </c>
      <c r="G8" s="10">
        <v>1</v>
      </c>
      <c r="H8" s="10">
        <v>16</v>
      </c>
      <c r="I8" s="20">
        <f t="shared" ref="I8:I56" si="0">G8*H8</f>
        <v>16</v>
      </c>
    </row>
    <row r="9" spans="5:10" ht="63" x14ac:dyDescent="0.25">
      <c r="E9" s="19">
        <v>3</v>
      </c>
      <c r="F9" s="3" t="s">
        <v>24</v>
      </c>
      <c r="G9" s="10">
        <v>2</v>
      </c>
      <c r="H9" s="10">
        <v>10</v>
      </c>
      <c r="I9" s="20">
        <f t="shared" si="0"/>
        <v>20</v>
      </c>
    </row>
    <row r="10" spans="5:10" ht="55.5" customHeight="1" x14ac:dyDescent="0.25">
      <c r="E10" s="19">
        <v>4</v>
      </c>
      <c r="F10" s="3" t="s">
        <v>25</v>
      </c>
      <c r="G10" s="10">
        <v>1</v>
      </c>
      <c r="H10" s="10">
        <v>10</v>
      </c>
      <c r="I10" s="20">
        <f t="shared" ref="I10:I15" si="1">G10*H10</f>
        <v>10</v>
      </c>
    </row>
    <row r="11" spans="5:10" ht="63" x14ac:dyDescent="0.25">
      <c r="E11" s="19">
        <v>5</v>
      </c>
      <c r="F11" s="3" t="s">
        <v>26</v>
      </c>
      <c r="G11" s="10">
        <v>1</v>
      </c>
      <c r="H11" s="10">
        <v>20</v>
      </c>
      <c r="I11" s="20">
        <f t="shared" si="1"/>
        <v>20</v>
      </c>
    </row>
    <row r="12" spans="5:10" ht="44.25" customHeight="1" x14ac:dyDescent="0.25">
      <c r="E12" s="19">
        <v>6</v>
      </c>
      <c r="F12" s="3" t="s">
        <v>20</v>
      </c>
      <c r="G12" s="10">
        <v>2</v>
      </c>
      <c r="H12" s="10">
        <v>5</v>
      </c>
      <c r="I12" s="20">
        <f t="shared" ref="I12" si="2">G12*H12</f>
        <v>10</v>
      </c>
    </row>
    <row r="13" spans="5:10" ht="32.25" thickBot="1" x14ac:dyDescent="0.3">
      <c r="E13" s="38">
        <v>7</v>
      </c>
      <c r="F13" s="39" t="s">
        <v>21</v>
      </c>
      <c r="G13" s="40">
        <v>3</v>
      </c>
      <c r="H13" s="40">
        <v>1.5</v>
      </c>
      <c r="I13" s="41">
        <f t="shared" si="1"/>
        <v>4.5</v>
      </c>
    </row>
    <row r="14" spans="5:10" ht="18.75" hidden="1" x14ac:dyDescent="0.25">
      <c r="E14" s="34">
        <v>8</v>
      </c>
      <c r="F14" s="35"/>
      <c r="G14" s="36"/>
      <c r="H14" s="36"/>
      <c r="I14" s="37">
        <f t="shared" si="1"/>
        <v>0</v>
      </c>
    </row>
    <row r="15" spans="5:10" ht="18.75" hidden="1" x14ac:dyDescent="0.25">
      <c r="E15" s="19">
        <v>9</v>
      </c>
      <c r="F15" s="9"/>
      <c r="G15" s="11"/>
      <c r="H15" s="11"/>
      <c r="I15" s="20">
        <f t="shared" si="1"/>
        <v>0</v>
      </c>
    </row>
    <row r="16" spans="5:10" ht="20.25" hidden="1" x14ac:dyDescent="0.25">
      <c r="E16" s="19">
        <v>10</v>
      </c>
      <c r="F16" s="9"/>
      <c r="G16" s="12"/>
      <c r="H16" s="12"/>
      <c r="I16" s="20">
        <f t="shared" si="0"/>
        <v>0</v>
      </c>
    </row>
    <row r="17" spans="5:9" ht="20.25" hidden="1" x14ac:dyDescent="0.25">
      <c r="E17" s="19">
        <v>11</v>
      </c>
      <c r="F17" s="9"/>
      <c r="G17" s="12"/>
      <c r="H17" s="12"/>
      <c r="I17" s="20">
        <f t="shared" si="0"/>
        <v>0</v>
      </c>
    </row>
    <row r="18" spans="5:9" ht="20.25" hidden="1" x14ac:dyDescent="0.25">
      <c r="E18" s="21">
        <v>12</v>
      </c>
      <c r="F18" s="9"/>
      <c r="G18" s="12"/>
      <c r="H18" s="12"/>
      <c r="I18" s="20">
        <f t="shared" si="0"/>
        <v>0</v>
      </c>
    </row>
    <row r="19" spans="5:9" ht="20.25" hidden="1" x14ac:dyDescent="0.25">
      <c r="E19" s="19">
        <v>13</v>
      </c>
      <c r="F19" s="9"/>
      <c r="G19" s="12"/>
      <c r="H19" s="12"/>
      <c r="I19" s="20">
        <f t="shared" si="0"/>
        <v>0</v>
      </c>
    </row>
    <row r="20" spans="5:9" ht="20.25" hidden="1" x14ac:dyDescent="0.25">
      <c r="E20" s="19">
        <v>14</v>
      </c>
      <c r="F20" s="9"/>
      <c r="G20" s="12"/>
      <c r="H20" s="12"/>
      <c r="I20" s="20">
        <f t="shared" si="0"/>
        <v>0</v>
      </c>
    </row>
    <row r="21" spans="5:9" ht="20.25" hidden="1" x14ac:dyDescent="0.25">
      <c r="E21" s="19">
        <v>15</v>
      </c>
      <c r="F21" s="9"/>
      <c r="G21" s="12"/>
      <c r="H21" s="12"/>
      <c r="I21" s="20">
        <f t="shared" si="0"/>
        <v>0</v>
      </c>
    </row>
    <row r="22" spans="5:9" ht="20.25" hidden="1" x14ac:dyDescent="0.25">
      <c r="E22" s="19">
        <v>16</v>
      </c>
      <c r="F22" s="9"/>
      <c r="G22" s="12"/>
      <c r="H22" s="12"/>
      <c r="I22" s="20">
        <f t="shared" si="0"/>
        <v>0</v>
      </c>
    </row>
    <row r="23" spans="5:9" ht="20.25" hidden="1" x14ac:dyDescent="0.25">
      <c r="E23" s="19">
        <v>17</v>
      </c>
      <c r="F23" s="9"/>
      <c r="G23" s="12"/>
      <c r="H23" s="12"/>
      <c r="I23" s="20">
        <f t="shared" si="0"/>
        <v>0</v>
      </c>
    </row>
    <row r="24" spans="5:9" ht="20.25" hidden="1" x14ac:dyDescent="0.25">
      <c r="E24" s="21">
        <v>18</v>
      </c>
      <c r="F24" s="9"/>
      <c r="G24" s="12"/>
      <c r="H24" s="12"/>
      <c r="I24" s="20">
        <f t="shared" si="0"/>
        <v>0</v>
      </c>
    </row>
    <row r="25" spans="5:9" ht="20.25" hidden="1" x14ac:dyDescent="0.25">
      <c r="E25" s="19">
        <v>19</v>
      </c>
      <c r="F25" s="9"/>
      <c r="G25" s="12"/>
      <c r="H25" s="12"/>
      <c r="I25" s="20">
        <f t="shared" si="0"/>
        <v>0</v>
      </c>
    </row>
    <row r="26" spans="5:9" ht="20.25" hidden="1" x14ac:dyDescent="0.25">
      <c r="E26" s="19">
        <v>20</v>
      </c>
      <c r="F26" s="9"/>
      <c r="G26" s="12"/>
      <c r="H26" s="12"/>
      <c r="I26" s="20">
        <f t="shared" si="0"/>
        <v>0</v>
      </c>
    </row>
    <row r="27" spans="5:9" ht="20.25" hidden="1" x14ac:dyDescent="0.25">
      <c r="E27" s="22">
        <v>21</v>
      </c>
      <c r="F27" s="9"/>
      <c r="G27" s="12"/>
      <c r="H27" s="12"/>
      <c r="I27" s="20">
        <f t="shared" si="0"/>
        <v>0</v>
      </c>
    </row>
    <row r="28" spans="5:9" ht="20.25" hidden="1" x14ac:dyDescent="0.25">
      <c r="E28" s="19">
        <v>22</v>
      </c>
      <c r="F28" s="9"/>
      <c r="G28" s="12"/>
      <c r="H28" s="12"/>
      <c r="I28" s="20">
        <f t="shared" si="0"/>
        <v>0</v>
      </c>
    </row>
    <row r="29" spans="5:9" ht="20.25" hidden="1" x14ac:dyDescent="0.25">
      <c r="E29" s="19">
        <v>23</v>
      </c>
      <c r="F29" s="9"/>
      <c r="G29" s="12"/>
      <c r="H29" s="12"/>
      <c r="I29" s="20">
        <f t="shared" si="0"/>
        <v>0</v>
      </c>
    </row>
    <row r="30" spans="5:9" ht="20.25" hidden="1" x14ac:dyDescent="0.25">
      <c r="E30" s="19">
        <v>24</v>
      </c>
      <c r="F30" s="9"/>
      <c r="G30" s="12"/>
      <c r="H30" s="12"/>
      <c r="I30" s="20">
        <f t="shared" si="0"/>
        <v>0</v>
      </c>
    </row>
    <row r="31" spans="5:9" ht="20.25" hidden="1" x14ac:dyDescent="0.25">
      <c r="E31" s="21">
        <v>25</v>
      </c>
      <c r="F31" s="9"/>
      <c r="G31" s="12"/>
      <c r="H31" s="12"/>
      <c r="I31" s="20">
        <f t="shared" si="0"/>
        <v>0</v>
      </c>
    </row>
    <row r="32" spans="5:9" ht="20.25" hidden="1" x14ac:dyDescent="0.25">
      <c r="E32" s="19">
        <v>26</v>
      </c>
      <c r="F32" s="9"/>
      <c r="G32" s="12"/>
      <c r="H32" s="12"/>
      <c r="I32" s="20">
        <f t="shared" si="0"/>
        <v>0</v>
      </c>
    </row>
    <row r="33" spans="5:9" ht="20.25" hidden="1" x14ac:dyDescent="0.25">
      <c r="E33" s="19">
        <v>27</v>
      </c>
      <c r="F33" s="9"/>
      <c r="G33" s="12"/>
      <c r="H33" s="12"/>
      <c r="I33" s="20">
        <f t="shared" si="0"/>
        <v>0</v>
      </c>
    </row>
    <row r="34" spans="5:9" ht="20.25" hidden="1" x14ac:dyDescent="0.25">
      <c r="E34" s="19">
        <v>28</v>
      </c>
      <c r="F34" s="9"/>
      <c r="G34" s="12"/>
      <c r="H34" s="12"/>
      <c r="I34" s="20">
        <f t="shared" si="0"/>
        <v>0</v>
      </c>
    </row>
    <row r="35" spans="5:9" ht="20.25" hidden="1" x14ac:dyDescent="0.25">
      <c r="E35" s="19">
        <v>29</v>
      </c>
      <c r="F35" s="9"/>
      <c r="G35" s="12"/>
      <c r="H35" s="12"/>
      <c r="I35" s="20">
        <f t="shared" si="0"/>
        <v>0</v>
      </c>
    </row>
    <row r="36" spans="5:9" ht="20.25" hidden="1" x14ac:dyDescent="0.25">
      <c r="E36" s="19">
        <v>30</v>
      </c>
      <c r="F36" s="9"/>
      <c r="G36" s="12"/>
      <c r="H36" s="12"/>
      <c r="I36" s="20">
        <f t="shared" si="0"/>
        <v>0</v>
      </c>
    </row>
    <row r="37" spans="5:9" ht="20.25" hidden="1" x14ac:dyDescent="0.25">
      <c r="E37" s="19">
        <v>31</v>
      </c>
      <c r="F37" s="9"/>
      <c r="G37" s="12"/>
      <c r="H37" s="12"/>
      <c r="I37" s="20">
        <f t="shared" si="0"/>
        <v>0</v>
      </c>
    </row>
    <row r="38" spans="5:9" ht="20.25" hidden="1" x14ac:dyDescent="0.25">
      <c r="E38" s="21">
        <v>32</v>
      </c>
      <c r="F38" s="9"/>
      <c r="G38" s="12"/>
      <c r="H38" s="12"/>
      <c r="I38" s="20">
        <f t="shared" si="0"/>
        <v>0</v>
      </c>
    </row>
    <row r="39" spans="5:9" ht="20.25" hidden="1" x14ac:dyDescent="0.25">
      <c r="E39" s="19">
        <v>33</v>
      </c>
      <c r="F39" s="9"/>
      <c r="G39" s="12"/>
      <c r="H39" s="12"/>
      <c r="I39" s="20">
        <f t="shared" si="0"/>
        <v>0</v>
      </c>
    </row>
    <row r="40" spans="5:9" ht="20.25" hidden="1" x14ac:dyDescent="0.25">
      <c r="E40" s="19">
        <v>34</v>
      </c>
      <c r="F40" s="9"/>
      <c r="G40" s="12"/>
      <c r="H40" s="12"/>
      <c r="I40" s="20">
        <f t="shared" si="0"/>
        <v>0</v>
      </c>
    </row>
    <row r="41" spans="5:9" ht="20.25" hidden="1" x14ac:dyDescent="0.25">
      <c r="E41" s="19">
        <v>35</v>
      </c>
      <c r="F41" s="9"/>
      <c r="G41" s="12"/>
      <c r="H41" s="12"/>
      <c r="I41" s="20">
        <f t="shared" si="0"/>
        <v>0</v>
      </c>
    </row>
    <row r="42" spans="5:9" ht="20.25" hidden="1" x14ac:dyDescent="0.25">
      <c r="E42" s="19">
        <v>36</v>
      </c>
      <c r="F42" s="9"/>
      <c r="G42" s="12"/>
      <c r="H42" s="12"/>
      <c r="I42" s="20">
        <f t="shared" si="0"/>
        <v>0</v>
      </c>
    </row>
    <row r="43" spans="5:9" ht="20.25" hidden="1" x14ac:dyDescent="0.25">
      <c r="E43" s="19">
        <v>37</v>
      </c>
      <c r="F43" s="9"/>
      <c r="G43" s="12"/>
      <c r="H43" s="12"/>
      <c r="I43" s="20">
        <f t="shared" si="0"/>
        <v>0</v>
      </c>
    </row>
    <row r="44" spans="5:9" ht="20.25" hidden="1" x14ac:dyDescent="0.25">
      <c r="E44" s="19">
        <v>38</v>
      </c>
      <c r="F44" s="9"/>
      <c r="G44" s="12"/>
      <c r="H44" s="12"/>
      <c r="I44" s="20">
        <f t="shared" si="0"/>
        <v>0</v>
      </c>
    </row>
    <row r="45" spans="5:9" ht="20.25" hidden="1" x14ac:dyDescent="0.25">
      <c r="E45" s="21">
        <v>39</v>
      </c>
      <c r="F45" s="9"/>
      <c r="G45" s="12"/>
      <c r="H45" s="12"/>
      <c r="I45" s="20">
        <f t="shared" si="0"/>
        <v>0</v>
      </c>
    </row>
    <row r="46" spans="5:9" ht="20.25" hidden="1" x14ac:dyDescent="0.25">
      <c r="E46" s="19">
        <v>40</v>
      </c>
      <c r="F46" s="9"/>
      <c r="G46" s="12"/>
      <c r="H46" s="12"/>
      <c r="I46" s="20">
        <f t="shared" si="0"/>
        <v>0</v>
      </c>
    </row>
    <row r="47" spans="5:9" ht="20.25" hidden="1" x14ac:dyDescent="0.25">
      <c r="E47" s="19">
        <v>41</v>
      </c>
      <c r="F47" s="9"/>
      <c r="G47" s="12"/>
      <c r="H47" s="12"/>
      <c r="I47" s="20">
        <f t="shared" si="0"/>
        <v>0</v>
      </c>
    </row>
    <row r="48" spans="5:9" ht="20.25" hidden="1" x14ac:dyDescent="0.25">
      <c r="E48" s="19">
        <v>42</v>
      </c>
      <c r="F48" s="9"/>
      <c r="G48" s="12"/>
      <c r="H48" s="12"/>
      <c r="I48" s="20">
        <f t="shared" si="0"/>
        <v>0</v>
      </c>
    </row>
    <row r="49" spans="5:9" ht="20.25" hidden="1" x14ac:dyDescent="0.25">
      <c r="E49" s="19">
        <v>43</v>
      </c>
      <c r="F49" s="9"/>
      <c r="G49" s="12"/>
      <c r="H49" s="12"/>
      <c r="I49" s="20">
        <f t="shared" si="0"/>
        <v>0</v>
      </c>
    </row>
    <row r="50" spans="5:9" ht="20.25" hidden="1" x14ac:dyDescent="0.25">
      <c r="E50" s="19">
        <v>44</v>
      </c>
      <c r="F50" s="9"/>
      <c r="G50" s="12"/>
      <c r="H50" s="12"/>
      <c r="I50" s="20">
        <f t="shared" si="0"/>
        <v>0</v>
      </c>
    </row>
    <row r="51" spans="5:9" ht="20.25" hidden="1" x14ac:dyDescent="0.25">
      <c r="E51" s="19">
        <v>45</v>
      </c>
      <c r="F51" s="9"/>
      <c r="G51" s="12"/>
      <c r="H51" s="12"/>
      <c r="I51" s="20">
        <f t="shared" si="0"/>
        <v>0</v>
      </c>
    </row>
    <row r="52" spans="5:9" ht="20.25" hidden="1" x14ac:dyDescent="0.25">
      <c r="E52" s="21">
        <v>46</v>
      </c>
      <c r="F52" s="9"/>
      <c r="G52" s="12"/>
      <c r="H52" s="12"/>
      <c r="I52" s="20">
        <f t="shared" si="0"/>
        <v>0</v>
      </c>
    </row>
    <row r="53" spans="5:9" ht="20.25" hidden="1" x14ac:dyDescent="0.25">
      <c r="E53" s="19">
        <v>47</v>
      </c>
      <c r="F53" s="9"/>
      <c r="G53" s="12"/>
      <c r="H53" s="12"/>
      <c r="I53" s="20">
        <f t="shared" si="0"/>
        <v>0</v>
      </c>
    </row>
    <row r="54" spans="5:9" ht="20.25" hidden="1" x14ac:dyDescent="0.25">
      <c r="E54" s="19">
        <v>48</v>
      </c>
      <c r="F54" s="9"/>
      <c r="G54" s="12"/>
      <c r="H54" s="12"/>
      <c r="I54" s="20">
        <f t="shared" si="0"/>
        <v>0</v>
      </c>
    </row>
    <row r="55" spans="5:9" ht="20.25" hidden="1" x14ac:dyDescent="0.25">
      <c r="E55" s="19">
        <v>49</v>
      </c>
      <c r="F55" s="9"/>
      <c r="G55" s="12"/>
      <c r="H55" s="12"/>
      <c r="I55" s="20">
        <f t="shared" si="0"/>
        <v>0</v>
      </c>
    </row>
    <row r="56" spans="5:9" ht="21" hidden="1" thickBot="1" x14ac:dyDescent="0.3">
      <c r="E56" s="23">
        <v>50</v>
      </c>
      <c r="F56" s="24"/>
      <c r="G56" s="25"/>
      <c r="H56" s="25"/>
      <c r="I56" s="26">
        <f t="shared" si="0"/>
        <v>0</v>
      </c>
    </row>
    <row r="57" spans="5:9" x14ac:dyDescent="0.25">
      <c r="E57" s="5"/>
      <c r="F57" s="5"/>
      <c r="G57" s="5"/>
      <c r="H57" s="5"/>
      <c r="I57" s="5"/>
    </row>
    <row r="58" spans="5:9" ht="15.75" thickBot="1" x14ac:dyDescent="0.3">
      <c r="E58" s="5"/>
      <c r="F58" s="5"/>
      <c r="G58" s="5"/>
      <c r="H58" s="5"/>
      <c r="I58" s="5"/>
    </row>
    <row r="59" spans="5:9" ht="18.75" x14ac:dyDescent="0.25">
      <c r="E59" s="50" t="s">
        <v>7</v>
      </c>
      <c r="F59" s="51"/>
      <c r="G59" s="51"/>
      <c r="H59" s="52"/>
      <c r="I59" s="5"/>
    </row>
    <row r="60" spans="5:9" ht="18.75" x14ac:dyDescent="0.25">
      <c r="E60" s="27" t="s">
        <v>0</v>
      </c>
      <c r="F60" s="53" t="s">
        <v>8</v>
      </c>
      <c r="G60" s="54"/>
      <c r="H60" s="28" t="s">
        <v>9</v>
      </c>
      <c r="I60" s="5"/>
    </row>
    <row r="61" spans="5:9" ht="18.75" x14ac:dyDescent="0.25">
      <c r="E61" s="29">
        <v>1</v>
      </c>
      <c r="F61" s="42" t="s">
        <v>13</v>
      </c>
      <c r="G61" s="43"/>
      <c r="H61" s="30">
        <f>J1</f>
        <v>20</v>
      </c>
      <c r="I61" s="5"/>
    </row>
    <row r="62" spans="5:9" ht="18.75" x14ac:dyDescent="0.25">
      <c r="E62" s="29">
        <v>2</v>
      </c>
      <c r="F62" s="42" t="s">
        <v>14</v>
      </c>
      <c r="G62" s="43"/>
      <c r="H62" s="30">
        <f>H61*8</f>
        <v>160</v>
      </c>
      <c r="I62" s="5"/>
    </row>
    <row r="63" spans="5:9" ht="18.75" x14ac:dyDescent="0.25">
      <c r="E63" s="29">
        <v>3</v>
      </c>
      <c r="F63" s="42" t="s">
        <v>15</v>
      </c>
      <c r="G63" s="43"/>
      <c r="H63" s="30">
        <f>SUM(G7:G56)</f>
        <v>13</v>
      </c>
      <c r="I63" s="5"/>
    </row>
    <row r="64" spans="5:9" ht="47.25" customHeight="1" x14ac:dyDescent="0.25">
      <c r="E64" s="29">
        <v>4</v>
      </c>
      <c r="F64" s="42" t="s">
        <v>16</v>
      </c>
      <c r="G64" s="43"/>
      <c r="H64" s="30">
        <f>SUM(I7:I56)</f>
        <v>140.5</v>
      </c>
      <c r="I64" s="5"/>
    </row>
    <row r="65" spans="5:15" ht="18.75" x14ac:dyDescent="0.25">
      <c r="E65" s="29">
        <v>5</v>
      </c>
      <c r="F65" s="42" t="s">
        <v>12</v>
      </c>
      <c r="G65" s="43"/>
      <c r="H65" s="30">
        <f>ROUND(H64/H61,2)</f>
        <v>7.03</v>
      </c>
      <c r="I65" s="5"/>
    </row>
    <row r="66" spans="5:15" ht="19.5" thickBot="1" x14ac:dyDescent="0.3">
      <c r="E66" s="31">
        <v>6</v>
      </c>
      <c r="F66" s="47" t="s">
        <v>17</v>
      </c>
      <c r="G66" s="48"/>
      <c r="H66" s="32">
        <f>H65/7</f>
        <v>1.0042857142857142</v>
      </c>
      <c r="I66" s="5"/>
    </row>
    <row r="67" spans="5:15" ht="34.5" customHeight="1" x14ac:dyDescent="0.3">
      <c r="E67" s="44" t="s">
        <v>10</v>
      </c>
      <c r="F67" s="44"/>
      <c r="G67" s="7"/>
      <c r="H67" s="6"/>
      <c r="I67" s="6"/>
      <c r="O67" s="8"/>
    </row>
    <row r="68" spans="5:15" ht="81" customHeight="1" x14ac:dyDescent="0.25">
      <c r="E68" s="45" t="s">
        <v>29</v>
      </c>
      <c r="F68" s="45"/>
      <c r="G68" s="45"/>
      <c r="H68" s="45"/>
      <c r="I68" s="45"/>
    </row>
    <row r="69" spans="5:15" ht="39" customHeight="1" x14ac:dyDescent="0.3">
      <c r="E69" s="46" t="s">
        <v>19</v>
      </c>
      <c r="F69" s="46"/>
      <c r="G69" s="5"/>
      <c r="H69" s="5"/>
      <c r="I69" s="5"/>
    </row>
    <row r="70" spans="5:15" x14ac:dyDescent="0.25">
      <c r="E70" s="5"/>
      <c r="F70" s="5"/>
      <c r="G70" s="5"/>
      <c r="H70" s="5"/>
      <c r="I70" s="5"/>
    </row>
  </sheetData>
  <mergeCells count="13">
    <mergeCell ref="F63:G63"/>
    <mergeCell ref="E1:I1"/>
    <mergeCell ref="E59:H59"/>
    <mergeCell ref="F60:G60"/>
    <mergeCell ref="F61:G61"/>
    <mergeCell ref="F62:G62"/>
    <mergeCell ref="F4:G4"/>
    <mergeCell ref="F64:G64"/>
    <mergeCell ref="F65:G65"/>
    <mergeCell ref="E67:F67"/>
    <mergeCell ref="E68:I68"/>
    <mergeCell ref="E69:F69"/>
    <mergeCell ref="F66:G66"/>
  </mergeCells>
  <pageMargins left="0.70866141732283472" right="0.70866141732283472" top="0.74803149606299213" bottom="0.74803149606299213" header="0.31496062992125984" footer="0.31496062992125984"/>
  <pageSetup paperSize="9" scale="56" orientation="portrait" horizontalDpi="180" verticalDpi="180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сентябрь</vt:lpstr>
      <vt:lpstr>сентябрь!Область_печати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2026-09-27T17:02:39Z</dcterms:modified>
</cp:coreProperties>
</file>