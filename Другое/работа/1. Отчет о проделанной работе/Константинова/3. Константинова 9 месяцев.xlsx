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июль!$E$1:$I$72</definedName>
  </definedNames>
  <calcPr calcId="125725"/>
</workbook>
</file>

<file path=xl/calcChain.xml><?xml version="1.0" encoding="utf-8"?>
<calcChain xmlns="http://schemas.openxmlformats.org/spreadsheetml/2006/main">
  <c r="G9" i="10"/>
  <c r="J1"/>
  <c r="F4" s="1"/>
  <c r="G13"/>
  <c r="G11"/>
  <c r="G12"/>
  <c r="G16"/>
  <c r="I15"/>
  <c r="G8"/>
  <c r="G7"/>
  <c r="G10"/>
  <c r="G14"/>
  <c r="I16" l="1"/>
  <c r="H63" l="1"/>
  <c r="H64" s="1"/>
  <c r="I13"/>
  <c r="I14"/>
  <c r="I17"/>
  <c r="I12"/>
  <c r="I11"/>
  <c r="I10"/>
  <c r="I9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7"/>
  <c r="H65"/>
  <c r="I8" l="1"/>
  <c r="H66" s="1"/>
  <c r="H67" s="1"/>
  <c r="H68" s="1"/>
</calcChain>
</file>

<file path=xl/sharedStrings.xml><?xml version="1.0" encoding="utf-8"?>
<sst xmlns="http://schemas.openxmlformats.org/spreadsheetml/2006/main" count="38" uniqueCount="37">
  <si>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</si>
  <si>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</si>
  <si>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</si>
  <si>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</si>
  <si>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</si>
  <si>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</si>
  <si>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</si>
  <si>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</si>
  <si>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</si>
  <si>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</si>
  <si>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</si>
  <si>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</si>
  <si>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</si>
  <si>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</si>
  <si>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</si>
  <si>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</si>
  <si>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</si>
  <si>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</si>
  <si>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Приемка работ по содержанию (в части расценок)</t>
  </si>
  <si>
    <t>Приемка работ по ремонту (в части расценок)</t>
  </si>
  <si>
    <t>Приемка работ по строительству (в части расценок)</t>
  </si>
  <si>
    <t>Расчет НМЦК</t>
  </si>
  <si>
    <t>Подготовка писем</t>
  </si>
  <si>
    <t xml:space="preserve">Помощь отделу содержания - подготовка отчета выполненных работ по объекту Кашин - Власьево </t>
  </si>
  <si>
    <t>Составление служебных записок</t>
  </si>
  <si>
    <t>Проверка сопостовительных ведомостей (отпавшие и дополнительные работы) в рамках проведения технических совещаний, а так же иных смет контрактов</t>
  </si>
  <si>
    <t>Константинова М.В.</t>
  </si>
  <si>
    <t>Константинова М.В.___________________________</t>
  </si>
  <si>
    <t>Ведущий инженер сметного отдела</t>
  </si>
  <si>
    <t>отпуск с 17 августа по 21 августа, отпуск 03.09.2026</t>
  </si>
  <si>
    <t>Проставление штапма "в производство работ", выдача рабочей документации</t>
  </si>
  <si>
    <t>Составление сопостовительной ведомости по объекту Кашин-Власьево и вывод выполненных смр в %</t>
  </si>
  <si>
    <r>
      <t>Я отработала период на высоком уровне:</t>
    </r>
    <r>
      <rPr>
        <b/>
        <sz val="14"/>
        <color theme="1"/>
        <rFont val="Times New Roman"/>
        <family val="1"/>
        <charset val="204"/>
      </rPr>
      <t xml:space="preserve"> производительность труда составила 110,50 %</t>
    </r>
    <r>
      <rPr>
        <sz val="14"/>
        <color theme="1"/>
        <rFont val="Times New Roman"/>
        <family val="1"/>
        <charset val="204"/>
      </rPr>
      <t>. Такой показатель — лучшее подтверждение того, что я умею грамотно распоряжаться временем, держать темп и доводить задачи до качественного результата в рамках KPI.</t>
    </r>
  </si>
  <si>
    <t>Отчет о проделанной работе (за девять месяцев)</t>
  </si>
  <si>
    <t>Составление ведомостей остаточных объемов работ для последующего пересчета и составления новой сметы контракта</t>
  </si>
  <si>
    <t>Составление новых актов обследования автомобильных дорог на период строительства ВСЖМ</t>
  </si>
  <si>
    <t>Проверка разукрупненной сметы контракта по объекту:  ТПУ «Завидово» 
(составление списка замечаний и отправка на корректировку)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</si>
</sst>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2"/>
  <sheetViews>
    <sheetView showGridLines="0" tabSelected="1" zoomScale="70" zoomScaleNormal="70" zoomScaleSheetLayoutView="85" workbookViewId="0">
      <selection activeCell="G16" sqref="G16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7.28515625" style="2" bestFit="1" customWidth="1"/>
    <col min="11" max="16384" width="9.140625" style="2"/>
  </cols>
  <sheetData>
    <row r="1" spans="5:10" ht="56.25" customHeight="1">
      <c r="E1" s="29" t="s">
        <v>33</v>
      </c>
      <c r="F1" s="29"/>
      <c r="G1" s="29"/>
      <c r="H1" s="29"/>
      <c r="I1" s="29"/>
      <c r="J1" s="22">
        <f>19+16+23+64-3</f>
        <v>119</v>
      </c>
    </row>
    <row r="2" spans="5:10" ht="45" customHeight="1">
      <c r="E2" s="20" t="s">
        <v>3</v>
      </c>
      <c r="F2" s="24" t="s">
        <v>28</v>
      </c>
      <c r="G2" s="1"/>
      <c r="H2" s="1"/>
      <c r="I2" s="1"/>
    </row>
    <row r="3" spans="5:10" ht="35.25" customHeight="1">
      <c r="E3" s="20" t="s">
        <v>4</v>
      </c>
      <c r="F3" s="24" t="s">
        <v>26</v>
      </c>
      <c r="G3" s="1"/>
      <c r="H3" s="1"/>
      <c r="I3" s="1"/>
    </row>
    <row r="4" spans="5:10" ht="39.75" customHeight="1">
      <c r="E4" s="20" t="s">
        <v>2</v>
      </c>
      <c r="F4" s="23" t="str">
        <f>"с 02 апреля по 28 сентября (" &amp; J1 &amp; " рабочих дней)"</f>
        <v>с 02 апреля по 28 сентября (119 рабочих дней)</v>
      </c>
      <c r="G4" s="1"/>
      <c r="H4" s="1"/>
      <c r="I4" s="1"/>
    </row>
    <row r="5" spans="5:10" ht="15.75">
      <c r="E5" s="1"/>
      <c r="F5" s="1" t="s">
        <v>29</v>
      </c>
      <c r="G5" s="1"/>
      <c r="H5" s="1"/>
      <c r="I5" s="1"/>
    </row>
    <row r="6" spans="5:10" ht="78.75" customHeight="1">
      <c r="E6" s="14" t="s">
        <v>0</v>
      </c>
      <c r="F6" s="14" t="s">
        <v>5</v>
      </c>
      <c r="G6" s="14" t="s">
        <v>1</v>
      </c>
      <c r="H6" s="15" t="s">
        <v>6</v>
      </c>
      <c r="I6" s="15" t="s">
        <v>11</v>
      </c>
    </row>
    <row r="7" spans="5:10" ht="23.25" customHeight="1">
      <c r="E7" s="5">
        <v>1</v>
      </c>
      <c r="F7" s="4" t="s">
        <v>18</v>
      </c>
      <c r="G7" s="16">
        <f>8+5</f>
        <v>13</v>
      </c>
      <c r="H7" s="16">
        <v>3</v>
      </c>
      <c r="I7" s="17">
        <f>G7*H7</f>
        <v>39</v>
      </c>
    </row>
    <row r="8" spans="5:10" ht="21.75" customHeight="1">
      <c r="E8" s="5">
        <v>2</v>
      </c>
      <c r="F8" s="4" t="s">
        <v>19</v>
      </c>
      <c r="G8" s="16">
        <f>48+32+8</f>
        <v>88</v>
      </c>
      <c r="H8" s="16">
        <v>0.75</v>
      </c>
      <c r="I8" s="17">
        <f t="shared" ref="I8:I58" si="0">G8*H8</f>
        <v>66</v>
      </c>
    </row>
    <row r="9" spans="5:10" ht="31.5">
      <c r="E9" s="5">
        <v>3</v>
      </c>
      <c r="F9" s="4" t="s">
        <v>20</v>
      </c>
      <c r="G9" s="16">
        <f>3+2+2+7</f>
        <v>14</v>
      </c>
      <c r="H9" s="16">
        <v>1</v>
      </c>
      <c r="I9" s="17">
        <f t="shared" si="0"/>
        <v>14</v>
      </c>
    </row>
    <row r="10" spans="5:10" ht="18.75">
      <c r="E10" s="5">
        <v>4</v>
      </c>
      <c r="F10" s="3" t="s">
        <v>21</v>
      </c>
      <c r="G10" s="16">
        <f>3+3+1</f>
        <v>7</v>
      </c>
      <c r="H10" s="16">
        <v>2.5</v>
      </c>
      <c r="I10" s="17">
        <f t="shared" ref="I10:I17" si="1">G10*H10</f>
        <v>17.5</v>
      </c>
    </row>
    <row r="11" spans="5:10" ht="18.75">
      <c r="E11" s="5">
        <v>5</v>
      </c>
      <c r="F11" s="3" t="s">
        <v>22</v>
      </c>
      <c r="G11" s="16">
        <f>10+8+34+38</f>
        <v>90</v>
      </c>
      <c r="H11" s="16">
        <v>2</v>
      </c>
      <c r="I11" s="17">
        <f t="shared" si="1"/>
        <v>180</v>
      </c>
    </row>
    <row r="12" spans="5:10" ht="63">
      <c r="E12" s="7">
        <v>6</v>
      </c>
      <c r="F12" s="13" t="s">
        <v>25</v>
      </c>
      <c r="G12" s="18">
        <f>18+16+3+12</f>
        <v>49</v>
      </c>
      <c r="H12" s="18">
        <v>2.5</v>
      </c>
      <c r="I12" s="17">
        <f t="shared" si="1"/>
        <v>122.5</v>
      </c>
    </row>
    <row r="13" spans="5:10" ht="18.75">
      <c r="E13" s="5">
        <v>7</v>
      </c>
      <c r="F13" s="3" t="s">
        <v>24</v>
      </c>
      <c r="G13" s="16">
        <f>4+3+2+14</f>
        <v>23</v>
      </c>
      <c r="H13" s="16">
        <v>0.5</v>
      </c>
      <c r="I13" s="17">
        <f t="shared" si="1"/>
        <v>11.5</v>
      </c>
    </row>
    <row r="14" spans="5:10" ht="31.5">
      <c r="E14" s="5">
        <v>8</v>
      </c>
      <c r="F14" s="13" t="s">
        <v>23</v>
      </c>
      <c r="G14" s="16">
        <f>4+4+2</f>
        <v>10</v>
      </c>
      <c r="H14" s="16">
        <v>1.5</v>
      </c>
      <c r="I14" s="17">
        <f t="shared" si="1"/>
        <v>15</v>
      </c>
    </row>
    <row r="15" spans="5:10" ht="47.25">
      <c r="E15" s="5">
        <v>9</v>
      </c>
      <c r="F15" s="26" t="s">
        <v>31</v>
      </c>
      <c r="G15" s="16">
        <v>1</v>
      </c>
      <c r="H15" s="16">
        <v>4</v>
      </c>
      <c r="I15" s="17">
        <f t="shared" si="1"/>
        <v>4</v>
      </c>
    </row>
    <row r="16" spans="5:10" ht="36" customHeight="1">
      <c r="E16" s="5">
        <v>10</v>
      </c>
      <c r="F16" s="25" t="s">
        <v>30</v>
      </c>
      <c r="G16" s="16">
        <f>3+8</f>
        <v>11</v>
      </c>
      <c r="H16" s="16">
        <v>12</v>
      </c>
      <c r="I16" s="17">
        <f t="shared" ref="I16" si="2">G16*H16</f>
        <v>132</v>
      </c>
    </row>
    <row r="17" spans="5:9" ht="47.25">
      <c r="E17" s="5">
        <v>11</v>
      </c>
      <c r="F17" s="13" t="s">
        <v>34</v>
      </c>
      <c r="G17" s="18">
        <v>4</v>
      </c>
      <c r="H17" s="18">
        <v>6</v>
      </c>
      <c r="I17" s="17">
        <f t="shared" si="1"/>
        <v>24</v>
      </c>
    </row>
    <row r="18" spans="5:9" ht="63">
      <c r="E18" s="5">
        <v>12</v>
      </c>
      <c r="F18" s="13" t="s">
        <v>36</v>
      </c>
      <c r="G18" s="18">
        <v>1</v>
      </c>
      <c r="H18" s="18">
        <v>40</v>
      </c>
      <c r="I18" s="17">
        <f t="shared" si="0"/>
        <v>40</v>
      </c>
    </row>
    <row r="19" spans="5:9" ht="47.25">
      <c r="E19" s="5">
        <v>13</v>
      </c>
      <c r="F19" s="13" t="s">
        <v>35</v>
      </c>
      <c r="G19" s="18">
        <v>38</v>
      </c>
      <c r="H19" s="18">
        <v>1</v>
      </c>
      <c r="I19" s="17">
        <f t="shared" si="0"/>
        <v>38</v>
      </c>
    </row>
    <row r="20" spans="5:9" ht="20.25" hidden="1">
      <c r="E20" s="5">
        <v>13</v>
      </c>
      <c r="F20" s="13"/>
      <c r="G20" s="19"/>
      <c r="H20" s="19"/>
      <c r="I20" s="17">
        <f t="shared" si="0"/>
        <v>0</v>
      </c>
    </row>
    <row r="21" spans="5:9" ht="20.25" hidden="1">
      <c r="E21" s="5">
        <v>14</v>
      </c>
      <c r="F21" s="13"/>
      <c r="G21" s="19"/>
      <c r="H21" s="19"/>
      <c r="I21" s="17">
        <f t="shared" si="0"/>
        <v>0</v>
      </c>
    </row>
    <row r="22" spans="5:9" ht="20.25" hidden="1">
      <c r="E22" s="5">
        <v>15</v>
      </c>
      <c r="F22" s="13"/>
      <c r="G22" s="19"/>
      <c r="H22" s="19"/>
      <c r="I22" s="17">
        <f t="shared" si="0"/>
        <v>0</v>
      </c>
    </row>
    <row r="23" spans="5:9" ht="20.25" hidden="1">
      <c r="E23" s="5">
        <v>16</v>
      </c>
      <c r="F23" s="13"/>
      <c r="G23" s="19"/>
      <c r="H23" s="19"/>
      <c r="I23" s="17">
        <f t="shared" si="0"/>
        <v>0</v>
      </c>
    </row>
    <row r="24" spans="5:9" ht="20.25" hidden="1">
      <c r="E24" s="5">
        <v>17</v>
      </c>
      <c r="F24" s="13"/>
      <c r="G24" s="19"/>
      <c r="H24" s="19"/>
      <c r="I24" s="17">
        <f t="shared" si="0"/>
        <v>0</v>
      </c>
    </row>
    <row r="25" spans="5:9" ht="20.25" hidden="1">
      <c r="E25" s="5">
        <v>18</v>
      </c>
      <c r="F25" s="13"/>
      <c r="G25" s="19"/>
      <c r="H25" s="19"/>
      <c r="I25" s="17">
        <f t="shared" si="0"/>
        <v>0</v>
      </c>
    </row>
    <row r="26" spans="5:9" ht="20.25" hidden="1">
      <c r="E26" s="5">
        <v>19</v>
      </c>
      <c r="F26" s="13"/>
      <c r="G26" s="19"/>
      <c r="H26" s="19"/>
      <c r="I26" s="17">
        <f t="shared" si="0"/>
        <v>0</v>
      </c>
    </row>
    <row r="27" spans="5:9" ht="20.25" hidden="1">
      <c r="E27" s="5">
        <v>20</v>
      </c>
      <c r="F27" s="13"/>
      <c r="G27" s="19"/>
      <c r="H27" s="19"/>
      <c r="I27" s="17">
        <f t="shared" si="0"/>
        <v>0</v>
      </c>
    </row>
    <row r="28" spans="5:9" ht="20.25" hidden="1">
      <c r="E28" s="5">
        <v>21</v>
      </c>
      <c r="F28" s="13"/>
      <c r="G28" s="19"/>
      <c r="H28" s="19"/>
      <c r="I28" s="17">
        <f t="shared" si="0"/>
        <v>0</v>
      </c>
    </row>
    <row r="29" spans="5:9" ht="20.25" hidden="1">
      <c r="E29" s="5">
        <v>22</v>
      </c>
      <c r="F29" s="13"/>
      <c r="G29" s="19"/>
      <c r="H29" s="19"/>
      <c r="I29" s="17">
        <f t="shared" si="0"/>
        <v>0</v>
      </c>
    </row>
    <row r="30" spans="5:9" ht="20.25" hidden="1">
      <c r="E30" s="5">
        <v>23</v>
      </c>
      <c r="F30" s="13"/>
      <c r="G30" s="19"/>
      <c r="H30" s="19"/>
      <c r="I30" s="17">
        <f t="shared" si="0"/>
        <v>0</v>
      </c>
    </row>
    <row r="31" spans="5:9" ht="20.25" hidden="1">
      <c r="E31" s="5">
        <v>24</v>
      </c>
      <c r="F31" s="13"/>
      <c r="G31" s="19"/>
      <c r="H31" s="19"/>
      <c r="I31" s="17">
        <f t="shared" si="0"/>
        <v>0</v>
      </c>
    </row>
    <row r="32" spans="5:9" ht="20.25" hidden="1">
      <c r="E32" s="5">
        <v>25</v>
      </c>
      <c r="F32" s="13"/>
      <c r="G32" s="19"/>
      <c r="H32" s="19"/>
      <c r="I32" s="17">
        <f t="shared" si="0"/>
        <v>0</v>
      </c>
    </row>
    <row r="33" spans="5:9" ht="20.25" hidden="1">
      <c r="E33" s="5">
        <v>26</v>
      </c>
      <c r="F33" s="13"/>
      <c r="G33" s="19"/>
      <c r="H33" s="19"/>
      <c r="I33" s="17">
        <f t="shared" si="0"/>
        <v>0</v>
      </c>
    </row>
    <row r="34" spans="5:9" ht="20.25" hidden="1">
      <c r="E34" s="5">
        <v>27</v>
      </c>
      <c r="F34" s="13"/>
      <c r="G34" s="19"/>
      <c r="H34" s="19"/>
      <c r="I34" s="17">
        <f t="shared" si="0"/>
        <v>0</v>
      </c>
    </row>
    <row r="35" spans="5:9" ht="20.25" hidden="1">
      <c r="E35" s="5">
        <v>28</v>
      </c>
      <c r="F35" s="13"/>
      <c r="G35" s="19"/>
      <c r="H35" s="19"/>
      <c r="I35" s="17">
        <f t="shared" si="0"/>
        <v>0</v>
      </c>
    </row>
    <row r="36" spans="5:9" ht="20.25" hidden="1">
      <c r="E36" s="5">
        <v>29</v>
      </c>
      <c r="F36" s="13"/>
      <c r="G36" s="19"/>
      <c r="H36" s="19"/>
      <c r="I36" s="17">
        <f t="shared" si="0"/>
        <v>0</v>
      </c>
    </row>
    <row r="37" spans="5:9" ht="20.25" hidden="1">
      <c r="E37" s="5">
        <v>30</v>
      </c>
      <c r="F37" s="13"/>
      <c r="G37" s="19"/>
      <c r="H37" s="19"/>
      <c r="I37" s="17">
        <f t="shared" si="0"/>
        <v>0</v>
      </c>
    </row>
    <row r="38" spans="5:9" ht="20.25" hidden="1">
      <c r="E38" s="5">
        <v>31</v>
      </c>
      <c r="F38" s="13"/>
      <c r="G38" s="19"/>
      <c r="H38" s="19"/>
      <c r="I38" s="17">
        <f t="shared" si="0"/>
        <v>0</v>
      </c>
    </row>
    <row r="39" spans="5:9" ht="20.25" hidden="1">
      <c r="E39" s="5">
        <v>32</v>
      </c>
      <c r="F39" s="13"/>
      <c r="G39" s="19"/>
      <c r="H39" s="19"/>
      <c r="I39" s="17">
        <f t="shared" si="0"/>
        <v>0</v>
      </c>
    </row>
    <row r="40" spans="5:9" ht="20.25" hidden="1">
      <c r="E40" s="5">
        <v>33</v>
      </c>
      <c r="F40" s="13"/>
      <c r="G40" s="19"/>
      <c r="H40" s="19"/>
      <c r="I40" s="17">
        <f t="shared" si="0"/>
        <v>0</v>
      </c>
    </row>
    <row r="41" spans="5:9" ht="20.25" hidden="1">
      <c r="E41" s="5">
        <v>34</v>
      </c>
      <c r="F41" s="13"/>
      <c r="G41" s="19"/>
      <c r="H41" s="19"/>
      <c r="I41" s="17">
        <f t="shared" si="0"/>
        <v>0</v>
      </c>
    </row>
    <row r="42" spans="5:9" ht="20.25" hidden="1">
      <c r="E42" s="5">
        <v>35</v>
      </c>
      <c r="F42" s="13"/>
      <c r="G42" s="19"/>
      <c r="H42" s="19"/>
      <c r="I42" s="17">
        <f t="shared" si="0"/>
        <v>0</v>
      </c>
    </row>
    <row r="43" spans="5:9" ht="20.25" hidden="1">
      <c r="E43" s="5">
        <v>36</v>
      </c>
      <c r="F43" s="13"/>
      <c r="G43" s="19"/>
      <c r="H43" s="19"/>
      <c r="I43" s="17">
        <f t="shared" si="0"/>
        <v>0</v>
      </c>
    </row>
    <row r="44" spans="5:9" ht="20.25" hidden="1">
      <c r="E44" s="5">
        <v>37</v>
      </c>
      <c r="F44" s="13"/>
      <c r="G44" s="19"/>
      <c r="H44" s="19"/>
      <c r="I44" s="17">
        <f t="shared" si="0"/>
        <v>0</v>
      </c>
    </row>
    <row r="45" spans="5:9" ht="20.25" hidden="1">
      <c r="E45" s="5">
        <v>38</v>
      </c>
      <c r="F45" s="13"/>
      <c r="G45" s="19"/>
      <c r="H45" s="19"/>
      <c r="I45" s="17">
        <f t="shared" si="0"/>
        <v>0</v>
      </c>
    </row>
    <row r="46" spans="5:9" ht="20.25" hidden="1">
      <c r="E46" s="5">
        <v>39</v>
      </c>
      <c r="F46" s="13"/>
      <c r="G46" s="19"/>
      <c r="H46" s="19"/>
      <c r="I46" s="17">
        <f t="shared" si="0"/>
        <v>0</v>
      </c>
    </row>
    <row r="47" spans="5:9" ht="20.25" hidden="1">
      <c r="E47" s="5">
        <v>40</v>
      </c>
      <c r="F47" s="13"/>
      <c r="G47" s="19"/>
      <c r="H47" s="19"/>
      <c r="I47" s="17">
        <f t="shared" si="0"/>
        <v>0</v>
      </c>
    </row>
    <row r="48" spans="5:9" ht="20.25" hidden="1">
      <c r="E48" s="5">
        <v>41</v>
      </c>
      <c r="F48" s="13"/>
      <c r="G48" s="19"/>
      <c r="H48" s="19"/>
      <c r="I48" s="17">
        <f t="shared" si="0"/>
        <v>0</v>
      </c>
    </row>
    <row r="49" spans="5:9" ht="20.25" hidden="1">
      <c r="E49" s="5">
        <v>42</v>
      </c>
      <c r="F49" s="13"/>
      <c r="G49" s="19"/>
      <c r="H49" s="19"/>
      <c r="I49" s="17">
        <f t="shared" si="0"/>
        <v>0</v>
      </c>
    </row>
    <row r="50" spans="5:9" ht="20.25" hidden="1">
      <c r="E50" s="5">
        <v>43</v>
      </c>
      <c r="F50" s="13"/>
      <c r="G50" s="19"/>
      <c r="H50" s="19"/>
      <c r="I50" s="17">
        <f t="shared" si="0"/>
        <v>0</v>
      </c>
    </row>
    <row r="51" spans="5:9" ht="20.25" hidden="1">
      <c r="E51" s="5">
        <v>44</v>
      </c>
      <c r="F51" s="13"/>
      <c r="G51" s="19"/>
      <c r="H51" s="19"/>
      <c r="I51" s="17">
        <f t="shared" si="0"/>
        <v>0</v>
      </c>
    </row>
    <row r="52" spans="5:9" ht="20.25" hidden="1">
      <c r="E52" s="5">
        <v>45</v>
      </c>
      <c r="F52" s="13"/>
      <c r="G52" s="19"/>
      <c r="H52" s="19"/>
      <c r="I52" s="17">
        <f t="shared" si="0"/>
        <v>0</v>
      </c>
    </row>
    <row r="53" spans="5:9" ht="20.25" hidden="1">
      <c r="E53" s="5">
        <v>46</v>
      </c>
      <c r="F53" s="13"/>
      <c r="G53" s="19"/>
      <c r="H53" s="19"/>
      <c r="I53" s="17">
        <f t="shared" si="0"/>
        <v>0</v>
      </c>
    </row>
    <row r="54" spans="5:9" ht="20.25" hidden="1">
      <c r="E54" s="5">
        <v>47</v>
      </c>
      <c r="F54" s="13"/>
      <c r="G54" s="19"/>
      <c r="H54" s="19"/>
      <c r="I54" s="17">
        <f t="shared" si="0"/>
        <v>0</v>
      </c>
    </row>
    <row r="55" spans="5:9" ht="20.25" hidden="1">
      <c r="E55" s="5">
        <v>48</v>
      </c>
      <c r="F55" s="13"/>
      <c r="G55" s="19"/>
      <c r="H55" s="19"/>
      <c r="I55" s="17">
        <f t="shared" si="0"/>
        <v>0</v>
      </c>
    </row>
    <row r="56" spans="5:9" ht="20.25" hidden="1">
      <c r="E56" s="5">
        <v>49</v>
      </c>
      <c r="F56" s="13"/>
      <c r="G56" s="19"/>
      <c r="H56" s="19"/>
      <c r="I56" s="17">
        <f t="shared" si="0"/>
        <v>0</v>
      </c>
    </row>
    <row r="57" spans="5:9" ht="20.25" hidden="1">
      <c r="E57" s="5">
        <v>50</v>
      </c>
      <c r="F57" s="13"/>
      <c r="G57" s="19"/>
      <c r="H57" s="19"/>
      <c r="I57" s="17">
        <f t="shared" si="0"/>
        <v>0</v>
      </c>
    </row>
    <row r="58" spans="5:9" ht="20.25" hidden="1">
      <c r="E58" s="5">
        <v>51</v>
      </c>
      <c r="F58" s="13"/>
      <c r="G58" s="19"/>
      <c r="H58" s="19"/>
      <c r="I58" s="17">
        <f t="shared" si="0"/>
        <v>0</v>
      </c>
    </row>
    <row r="59" spans="5:9">
      <c r="E59" s="6"/>
      <c r="F59" s="6"/>
      <c r="G59" s="6"/>
      <c r="H59" s="6"/>
      <c r="I59" s="6"/>
    </row>
    <row r="60" spans="5:9">
      <c r="E60" s="6"/>
      <c r="F60" s="6"/>
      <c r="G60" s="6"/>
      <c r="H60" s="6"/>
      <c r="I60" s="6"/>
    </row>
    <row r="61" spans="5:9" ht="18.75">
      <c r="E61" s="30" t="s">
        <v>7</v>
      </c>
      <c r="F61" s="30"/>
      <c r="G61" s="30"/>
      <c r="H61" s="30"/>
      <c r="I61" s="6"/>
    </row>
    <row r="62" spans="5:9" ht="18.75">
      <c r="E62" s="11" t="s">
        <v>0</v>
      </c>
      <c r="F62" s="31" t="s">
        <v>8</v>
      </c>
      <c r="G62" s="32"/>
      <c r="H62" s="11" t="s">
        <v>9</v>
      </c>
      <c r="I62" s="6"/>
    </row>
    <row r="63" spans="5:9" ht="18.75">
      <c r="E63" s="10">
        <v>1</v>
      </c>
      <c r="F63" s="27" t="s">
        <v>13</v>
      </c>
      <c r="G63" s="28"/>
      <c r="H63" s="10">
        <f>J1</f>
        <v>119</v>
      </c>
      <c r="I63" s="6"/>
    </row>
    <row r="64" spans="5:9" ht="18.75">
      <c r="E64" s="10">
        <v>2</v>
      </c>
      <c r="F64" s="27" t="s">
        <v>14</v>
      </c>
      <c r="G64" s="28"/>
      <c r="H64" s="10">
        <f>H63*8</f>
        <v>952</v>
      </c>
      <c r="I64" s="6"/>
    </row>
    <row r="65" spans="5:15" ht="18.75">
      <c r="E65" s="10">
        <v>3</v>
      </c>
      <c r="F65" s="27" t="s">
        <v>15</v>
      </c>
      <c r="G65" s="28"/>
      <c r="H65" s="10">
        <f>SUM(G7:G58)</f>
        <v>349</v>
      </c>
      <c r="I65" s="6"/>
    </row>
    <row r="66" spans="5:15" ht="47.25" customHeight="1">
      <c r="E66" s="10">
        <v>4</v>
      </c>
      <c r="F66" s="27" t="s">
        <v>16</v>
      </c>
      <c r="G66" s="28"/>
      <c r="H66" s="10">
        <f>SUM(I7:I58)</f>
        <v>703.5</v>
      </c>
      <c r="I66" s="6"/>
    </row>
    <row r="67" spans="5:15" ht="18.75">
      <c r="E67" s="10">
        <v>5</v>
      </c>
      <c r="F67" s="27" t="s">
        <v>12</v>
      </c>
      <c r="G67" s="28"/>
      <c r="H67" s="10">
        <f>ROUND(H66/H63,2)</f>
        <v>5.91</v>
      </c>
      <c r="I67" s="6"/>
    </row>
    <row r="68" spans="5:15" ht="18.75">
      <c r="E68" s="10">
        <v>6</v>
      </c>
      <c r="F68" s="36" t="s">
        <v>17</v>
      </c>
      <c r="G68" s="37"/>
      <c r="H68" s="21">
        <f>H67/6</f>
        <v>0.98499999999999999</v>
      </c>
      <c r="I68" s="6"/>
    </row>
    <row r="69" spans="5:15" ht="34.5" customHeight="1">
      <c r="E69" s="33" t="s">
        <v>10</v>
      </c>
      <c r="F69" s="33"/>
      <c r="G69" s="9"/>
      <c r="H69" s="8"/>
      <c r="I69" s="8"/>
      <c r="O69" s="12"/>
    </row>
    <row r="70" spans="5:15" ht="81" customHeight="1">
      <c r="E70" s="34" t="s">
        <v>32</v>
      </c>
      <c r="F70" s="34"/>
      <c r="G70" s="34"/>
      <c r="H70" s="34"/>
      <c r="I70" s="34"/>
    </row>
    <row r="71" spans="5:15" ht="39" customHeight="1">
      <c r="E71" s="35" t="s">
        <v>27</v>
      </c>
      <c r="F71" s="35"/>
      <c r="G71" s="6"/>
      <c r="H71" s="6"/>
      <c r="I71" s="6"/>
    </row>
    <row r="72" spans="5:15">
      <c r="E72" s="6"/>
      <c r="F72" s="6"/>
      <c r="G72" s="6"/>
      <c r="H72" s="6"/>
      <c r="I72" s="6"/>
    </row>
  </sheetData>
  <mergeCells count="12">
    <mergeCell ref="F66:G66"/>
    <mergeCell ref="F67:G67"/>
    <mergeCell ref="E69:F69"/>
    <mergeCell ref="E70:I70"/>
    <mergeCell ref="E71:F71"/>
    <mergeCell ref="F68:G68"/>
    <mergeCell ref="F65:G65"/>
    <mergeCell ref="E1:I1"/>
    <mergeCell ref="E61:H61"/>
    <mergeCell ref="F62:G62"/>
    <mergeCell ref="F63:G63"/>
    <mergeCell ref="F64:G64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2026-09-25T12:33:01Z</dcterms:modified>
</cp:coreProperties>
</file>