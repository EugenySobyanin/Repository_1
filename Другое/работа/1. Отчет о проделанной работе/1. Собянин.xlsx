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 firstSheet="1" activeTab="4"/>
  </bookViews>
  <sheets>
    <sheet name="июль" sheetId="10" r:id="rId1"/>
    <sheet name="август" sheetId="11" r:id="rId2"/>
    <sheet name="сентябрь" sheetId="12" r:id="rId3"/>
    <sheet name="3-ий квартал" sheetId="13" r:id="rId4"/>
    <sheet name="за 9 месяцев" sheetId="14" r:id="rId5"/>
  </sheets>
  <definedNames>
    <definedName name="_xlnm.Print_Area" localSheetId="3">'3-ий квартал'!$E$1:$I$70</definedName>
    <definedName name="_xlnm.Print_Area" localSheetId="1">август!$E$1:$I$70</definedName>
    <definedName name="_xlnm.Print_Area" localSheetId="4">'за 9 месяцев'!$E$1:$I$70</definedName>
    <definedName name="_xlnm.Print_Area" localSheetId="0">июль!$E$1:$I$70</definedName>
    <definedName name="_xlnm.Print_Area" localSheetId="2">сентябрь!$E$1:$I$70</definedName>
  </definedNames>
  <calcPr calcId="162913"/>
</workbook>
</file>

<file path=xl/calcChain.xml><?xml version="1.0" encoding="utf-8"?>
<calcChain xmlns="http://schemas.openxmlformats.org/spreadsheetml/2006/main">
  <c r="H66" i="14" l="1"/>
  <c r="G8" i="14"/>
  <c r="G13" i="14"/>
  <c r="G14" i="14"/>
  <c r="G29" i="14"/>
  <c r="G9" i="14"/>
  <c r="G24" i="14"/>
  <c r="G23" i="14"/>
  <c r="H22" i="14"/>
  <c r="I22" i="14" s="1"/>
  <c r="G7" i="14"/>
  <c r="J1" i="14"/>
  <c r="F4" i="14" s="1"/>
  <c r="G28" i="14" l="1"/>
  <c r="H61" i="14"/>
  <c r="H62" i="14" s="1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17" i="14"/>
  <c r="I21" i="14"/>
  <c r="I20" i="14"/>
  <c r="I34" i="14"/>
  <c r="I33" i="14"/>
  <c r="I32" i="14"/>
  <c r="I31" i="14"/>
  <c r="I30" i="14"/>
  <c r="I29" i="14"/>
  <c r="I16" i="14"/>
  <c r="I28" i="14"/>
  <c r="I27" i="14"/>
  <c r="I26" i="14"/>
  <c r="I25" i="14"/>
  <c r="I24" i="14"/>
  <c r="I23" i="14"/>
  <c r="I14" i="14"/>
  <c r="I15" i="14"/>
  <c r="I19" i="14"/>
  <c r="I11" i="14"/>
  <c r="G18" i="14"/>
  <c r="I18" i="14" s="1"/>
  <c r="I10" i="14"/>
  <c r="I13" i="14"/>
  <c r="I12" i="14"/>
  <c r="I9" i="14"/>
  <c r="I8" i="14"/>
  <c r="H66" i="13"/>
  <c r="G23" i="13"/>
  <c r="I23" i="13" s="1"/>
  <c r="H63" i="13"/>
  <c r="H62" i="13"/>
  <c r="I20" i="13"/>
  <c r="G19" i="13"/>
  <c r="G18" i="13"/>
  <c r="I19" i="13"/>
  <c r="I18" i="13"/>
  <c r="I17" i="13"/>
  <c r="I16" i="13"/>
  <c r="G13" i="13"/>
  <c r="G11" i="13"/>
  <c r="G9" i="13"/>
  <c r="G9" i="12"/>
  <c r="G8" i="13"/>
  <c r="G7" i="13"/>
  <c r="F4" i="13"/>
  <c r="G7" i="12"/>
  <c r="H61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2" i="13"/>
  <c r="I21" i="13"/>
  <c r="I15" i="13"/>
  <c r="I14" i="13"/>
  <c r="I13" i="13"/>
  <c r="I12" i="13"/>
  <c r="I11" i="13"/>
  <c r="I10" i="13"/>
  <c r="I9" i="13"/>
  <c r="I7" i="13"/>
  <c r="H63" i="12"/>
  <c r="I15" i="12"/>
  <c r="I14" i="12"/>
  <c r="F4" i="12"/>
  <c r="H61" i="12"/>
  <c r="H62" i="12" s="1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3" i="12"/>
  <c r="I12" i="12"/>
  <c r="I11" i="12"/>
  <c r="I10" i="12"/>
  <c r="I9" i="12"/>
  <c r="I8" i="12"/>
  <c r="I7" i="12"/>
  <c r="H63" i="11"/>
  <c r="I8" i="11"/>
  <c r="I9" i="11"/>
  <c r="I10" i="11"/>
  <c r="I11" i="11"/>
  <c r="I12" i="11"/>
  <c r="I13" i="11"/>
  <c r="I14" i="11"/>
  <c r="I15" i="11"/>
  <c r="G8" i="11"/>
  <c r="G7" i="11"/>
  <c r="F4" i="11"/>
  <c r="H61" i="11"/>
  <c r="H62" i="11" s="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F4" i="10"/>
  <c r="H61" i="10"/>
  <c r="H62" i="10" s="1"/>
  <c r="I13" i="10"/>
  <c r="I14" i="10"/>
  <c r="I15" i="10"/>
  <c r="I12" i="10"/>
  <c r="I11" i="10"/>
  <c r="I10" i="10"/>
  <c r="I9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7" i="10"/>
  <c r="H63" i="10"/>
  <c r="H63" i="14" l="1"/>
  <c r="I7" i="14"/>
  <c r="H64" i="14" s="1"/>
  <c r="H65" i="14" s="1"/>
  <c r="H64" i="12"/>
  <c r="I8" i="13"/>
  <c r="H64" i="13" s="1"/>
  <c r="H65" i="13" s="1"/>
  <c r="H65" i="12"/>
  <c r="H66" i="12" s="1"/>
  <c r="I7" i="11"/>
  <c r="H64" i="11" s="1"/>
  <c r="H65" i="11" s="1"/>
  <c r="H66" i="11" s="1"/>
  <c r="I8" i="10"/>
  <c r="H64" i="10" s="1"/>
  <c r="H65" i="10" s="1"/>
  <c r="H66" i="10" s="1"/>
</calcChain>
</file>

<file path=xl/sharedStrings.xml><?xml version="1.0" encoding="utf-8"?>
<sst xmlns="http://schemas.openxmlformats.org/spreadsheetml/2006/main" count="190" uniqueCount="67">
  <si>
    <t>№</t>
  </si>
  <si>
    <t>Количество</t>
  </si>
  <si>
    <t>Период:</t>
  </si>
  <si>
    <t>Собянин Е.А.</t>
  </si>
  <si>
    <t>Приемка работ по содержанию (в части расценок)</t>
  </si>
  <si>
    <t>Приемка работ по ремонту (в части расценок)</t>
  </si>
  <si>
    <t>Должность:</t>
  </si>
  <si>
    <t>ФИО:</t>
  </si>
  <si>
    <t>Наименование показателя / задачи</t>
  </si>
  <si>
    <r>
      <rPr>
        <b/>
        <sz val="12"/>
        <color theme="1"/>
        <rFont val="Times New Roman"/>
        <family val="1"/>
        <charset val="204"/>
      </rPr>
      <t>Согласование изменений с контролирующими органами:</t>
    </r>
    <r>
      <rPr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- Министерство транспорта
- Коммитет госзаказа
- Казначейство</t>
    </r>
  </si>
  <si>
    <r>
      <rPr>
        <b/>
        <sz val="12"/>
        <color theme="1"/>
        <rFont val="Times New Roman"/>
        <family val="1"/>
        <charset val="204"/>
      </rPr>
      <t>Внесение изменений в план-график закупок:</t>
    </r>
    <r>
      <rPr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- добавление новых объектов
- планирование и распределение федеральных и областных средств между существующими лотами
- корректировка заключенных контрактов в части финансирования
- многократная корректировка лота с малыми закупками</t>
    </r>
  </si>
  <si>
    <t>Собянин Е.А. ___________________________</t>
  </si>
  <si>
    <t>Отчет о проделанной работе (ежемесячный)</t>
  </si>
  <si>
    <t>Информирование подрядчиков в части содержания расценок по содержанию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</si>
  <si>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</si>
  <si>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</si>
  <si>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</si>
  <si>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</si>
  <si>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</si>
  <si>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Главный специалист отдела
строительства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</si>
  <si>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</si>
  <si>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</si>
  <si>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</si>
  <si>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</si>
  <si>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</si>
  <si>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</si>
  <si>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</si>
  <si>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Расчет НМЦК</t>
  </si>
  <si>
    <t>Составление, согласование и размещение извещений о проведении конкурентных процедур</t>
  </si>
  <si>
    <r>
      <t>В отчетном периоде я обеспечил стабильно высокую планку работы. Мой итоговый показатель производительности труда достиг отметки</t>
    </r>
    <r>
      <rPr>
        <b/>
        <sz val="14"/>
        <color theme="1"/>
        <rFont val="Times New Roman"/>
        <family val="1"/>
        <charset val="204"/>
      </rPr>
      <t xml:space="preserve"> 107,7 %</t>
    </r>
    <r>
      <rPr>
        <sz val="14"/>
        <color theme="1"/>
        <rFont val="Times New Roman"/>
        <family val="1"/>
        <charset val="204"/>
      </rPr>
      <t>. Данный результат подтверждает высокий уровень самодисциплины, отсутствие непродуктивных потерь времени и нацеленность на качественное выполнение KPI.</t>
    </r>
  </si>
  <si>
    <r>
      <rPr>
        <b/>
        <sz val="12"/>
        <color theme="1"/>
        <rFont val="Times New Roman"/>
        <family val="1"/>
        <charset val="204"/>
      </rPr>
      <t>Расчет НМЦК</t>
    </r>
    <r>
      <rPr>
        <sz val="12"/>
        <color theme="1"/>
        <rFont val="Times New Roman"/>
        <family val="1"/>
        <charset val="204"/>
      </rPr>
      <t xml:space="preserve">
в том числе:
</t>
    </r>
    <r>
      <rPr>
        <i/>
        <sz val="12"/>
        <color theme="1"/>
        <rFont val="Times New Roman"/>
        <family val="1"/>
        <charset val="204"/>
      </rPr>
      <t>- ремонт а/д
- ПИР
- транспортная безопасность
- АХО (административно-хозяйственное обеспечение)</t>
    </r>
  </si>
  <si>
    <t>Составление служебных записок</t>
  </si>
  <si>
    <r>
      <rPr>
        <b/>
        <sz val="12"/>
        <color theme="1"/>
        <rFont val="Times New Roman"/>
        <family val="1"/>
        <charset val="204"/>
      </rPr>
      <t xml:space="preserve">Проверка сопостовительных ведомостей </t>
    </r>
    <r>
      <rPr>
        <sz val="12"/>
        <color theme="1"/>
        <rFont val="Times New Roman"/>
        <family val="1"/>
        <charset val="204"/>
      </rPr>
      <t xml:space="preserve">(отпавшие и дополнительные работы) в рамках проведения технических овещаний, </t>
    </r>
    <r>
      <rPr>
        <b/>
        <sz val="12"/>
        <color theme="1"/>
        <rFont val="Times New Roman"/>
        <family val="1"/>
        <charset val="204"/>
      </rPr>
      <t>а так же иных смет контрактов</t>
    </r>
  </si>
  <si>
    <r>
      <rPr>
        <b/>
        <sz val="12"/>
        <color theme="1"/>
        <rFont val="Times New Roman"/>
        <family val="1"/>
        <charset val="204"/>
      </rPr>
      <t>Проверка ведомостей объемов и стоимости работ</t>
    </r>
    <r>
      <rPr>
        <sz val="12"/>
        <color theme="1"/>
        <rFont val="Times New Roman"/>
        <family val="1"/>
        <charset val="204"/>
      </rPr>
      <t xml:space="preserve"> в части правильности применения единичных расценок по объектам ремонта</t>
    </r>
  </si>
  <si>
    <t>Пересчет стоимости рабочей документации по объекту "ТПУ Завидово 1 этап"</t>
  </si>
  <si>
    <r>
      <t xml:space="preserve">Итог периода: </t>
    </r>
    <r>
      <rPr>
        <b/>
        <sz val="14"/>
        <color theme="1"/>
        <rFont val="Times New Roman"/>
        <family val="1"/>
        <charset val="204"/>
      </rPr>
      <t>производительность труда — 121,00%</t>
    </r>
    <r>
      <rPr>
        <sz val="14"/>
        <color theme="1"/>
        <rFont val="Times New Roman"/>
        <family val="1"/>
        <charset val="204"/>
      </rPr>
      <t xml:space="preserve"> при полном соблюдении требований к качеству. Что стоит за этим результатом? Дисциплина как база, четкое планирование как инструмент и отсутствие «слепых зон», где обычно теряется время. Такой подход позволяет стабильно закрывать KPI на уровне выше ожидаемого.</t>
    </r>
  </si>
  <si>
    <t>Начальник сметного отдела</t>
  </si>
  <si>
    <t>Собянин Евгений Андреевич</t>
  </si>
  <si>
    <r>
      <rPr>
        <b/>
        <sz val="12"/>
        <color theme="1"/>
        <rFont val="Times New Roman"/>
        <family val="1"/>
        <charset val="204"/>
      </rPr>
      <t>Расчет НМЦК</t>
    </r>
    <r>
      <rPr>
        <sz val="12"/>
        <color theme="1"/>
        <rFont val="Times New Roman"/>
        <family val="1"/>
        <charset val="204"/>
      </rPr>
      <t xml:space="preserve">
в том числе:
</t>
    </r>
    <r>
      <rPr>
        <i/>
        <sz val="12"/>
        <color theme="1"/>
        <rFont val="Times New Roman"/>
        <family val="1"/>
        <charset val="204"/>
      </rPr>
      <t>- ремонт а/д
- капитальный ремонт
- ПИР
- транспортная безопасность
- АХО (административно-хозяйственное обеспечение)</t>
    </r>
  </si>
  <si>
    <t>Разработка системы сбора данных для внедрения системы ключевых показателей оценки труда (KPI)</t>
  </si>
  <si>
    <t>Разработка ведомости расценок для установки и разборки металлического дорожного барьерного ограждения</t>
  </si>
  <si>
    <t>Проверка и составление локальных смет на отдельные работы по содержанию а/д</t>
  </si>
  <si>
    <t>Написание письма в министерство транспорта</t>
  </si>
  <si>
    <t>Отчет о проделанной работе (ежеквартальный)</t>
  </si>
  <si>
    <r>
      <t xml:space="preserve">Разработка системы сбора данных для внедрения системы ключевых показателей оценки труда </t>
    </r>
    <r>
      <rPr>
        <b/>
        <sz val="12"/>
        <color theme="1"/>
        <rFont val="Times New Roman"/>
        <family val="1"/>
        <charset val="204"/>
      </rPr>
      <t>(KPI)</t>
    </r>
  </si>
  <si>
    <r>
      <t xml:space="preserve">Разработка ведомости расценок для установки и разборки металлического дорожного </t>
    </r>
    <r>
      <rPr>
        <b/>
        <sz val="12"/>
        <color theme="1"/>
        <rFont val="Times New Roman"/>
        <family val="1"/>
        <charset val="204"/>
      </rPr>
      <t>барьерного ограждения</t>
    </r>
  </si>
  <si>
    <r>
      <t xml:space="preserve">Проверка и </t>
    </r>
    <r>
      <rPr>
        <b/>
        <sz val="12"/>
        <color theme="1"/>
        <rFont val="Times New Roman"/>
        <family val="1"/>
        <charset val="204"/>
      </rPr>
      <t>составление локальных смет</t>
    </r>
    <r>
      <rPr>
        <sz val="12"/>
        <color theme="1"/>
        <rFont val="Times New Roman"/>
        <family val="1"/>
        <charset val="204"/>
      </rPr>
      <t xml:space="preserve"> на отдельные работы по содержанию а/д</t>
    </r>
  </si>
  <si>
    <r>
      <t>Пересчет стоимости рабочей документации по объекту "</t>
    </r>
    <r>
      <rPr>
        <b/>
        <sz val="12"/>
        <color theme="1"/>
        <rFont val="Times New Roman"/>
        <family val="1"/>
        <charset val="204"/>
      </rPr>
      <t>ТПУ Завидово 1 этап"</t>
    </r>
  </si>
  <si>
    <r>
      <rPr>
        <b/>
        <sz val="12"/>
        <color theme="1"/>
        <rFont val="Times New Roman"/>
        <family val="1"/>
        <charset val="204"/>
      </rPr>
      <t>Приемка работ</t>
    </r>
    <r>
      <rPr>
        <sz val="12"/>
        <color theme="1"/>
        <rFont val="Times New Roman"/>
        <family val="1"/>
        <charset val="204"/>
      </rPr>
      <t xml:space="preserve"> по ремонту (в части расценок)</t>
    </r>
  </si>
  <si>
    <r>
      <rPr>
        <b/>
        <sz val="12"/>
        <color theme="1"/>
        <rFont val="Times New Roman"/>
        <family val="1"/>
        <charset val="204"/>
      </rPr>
      <t>Приемка работ</t>
    </r>
    <r>
      <rPr>
        <sz val="12"/>
        <color theme="1"/>
        <rFont val="Times New Roman"/>
        <family val="1"/>
        <charset val="204"/>
      </rPr>
      <t xml:space="preserve"> по содержанию (в части расценок)</t>
    </r>
  </si>
  <si>
    <r>
      <t xml:space="preserve">Итог периода: </t>
    </r>
    <r>
      <rPr>
        <b/>
        <sz val="14"/>
        <color theme="1"/>
        <rFont val="Times New Roman"/>
        <family val="1"/>
        <charset val="204"/>
      </rPr>
      <t>производительность труда — 111,00%</t>
    </r>
    <r>
      <rPr>
        <sz val="14"/>
        <color theme="1"/>
        <rFont val="Times New Roman"/>
        <family val="1"/>
        <charset val="204"/>
      </rPr>
      <t xml:space="preserve"> при полном соблюдении требований к качеству. Такой результат — не случайность, а следствие системы. В ее основе — дисциплина и четкое планирование, которое я веду ежедневно. Таск-трекеры и продуманные чек-листы позволяют мне не просто фиксировать задачи, а управлять временем и ресурсами. Планирование — это мой главный рабочий инструмент, который дает стабильность и позволяет закрывать KPI выше ожидаемого уровня.</t>
    </r>
  </si>
  <si>
    <t>Проверка и корректиовка изменений, вносимых в сметы контрактов и ведомости объемов и стоимости работ при укрупнении и разукрупнении позиций, исключении и замене ресурсов</t>
  </si>
  <si>
    <t>Участие в производственных совещания, планерках и обучающих курсах</t>
  </si>
  <si>
    <r>
      <t>За период достигнута</t>
    </r>
    <r>
      <rPr>
        <b/>
        <sz val="14"/>
        <color theme="1"/>
        <rFont val="Times New Roman"/>
        <family val="1"/>
        <charset val="204"/>
      </rPr>
      <t xml:space="preserve"> производительность 200,83%</t>
    </r>
    <r>
      <rPr>
        <sz val="14"/>
        <color theme="1"/>
        <rFont val="Times New Roman"/>
        <family val="1"/>
        <charset val="204"/>
      </rPr>
      <t xml:space="preserve"> при соблюдении всех требований к качеству. Драйверами результата стали трудовая дисциплина, системное планирование и высокая самоотдача. Продуманная организация процессов исключает потери времени, что обеспечивает стабильное перевыполнение KPI.</t>
    </r>
  </si>
  <si>
    <t>Отчет о проделанной работе (за 9 месяцев)</t>
  </si>
  <si>
    <t>Рассмотрение заявок участников на участие в закупках</t>
  </si>
  <si>
    <t>Подведение итогов конкурентных процедур</t>
  </si>
  <si>
    <t>Подготовка заявок на участие в закупке</t>
  </si>
  <si>
    <t>Составление проетктов государственных контарктов</t>
  </si>
  <si>
    <r>
      <t xml:space="preserve">Участие в ФАС:
</t>
    </r>
    <r>
      <rPr>
        <i/>
        <sz val="12"/>
        <color theme="1"/>
        <rFont val="Times New Roman"/>
        <family val="1"/>
        <charset val="204"/>
      </rPr>
      <t>- сбор информации и подготовка доводов
- участие в заседаниях и представление позиции</t>
    </r>
  </si>
  <si>
    <t>Сбора информации для внесения изменений 
в 403-па</t>
  </si>
  <si>
    <t>Перегистрация контрактов заключенных до 2026 года в рамках ремонта (только федеральные средства) в программе Бюджет-Смарт для корректного учета бюджетных обязательств</t>
  </si>
  <si>
    <t>Составление и отправка сопроводительных писем</t>
  </si>
  <si>
    <r>
      <t xml:space="preserve">Аналитическая и статистическая работа
    </t>
    </r>
    <r>
      <rPr>
        <i/>
        <sz val="12"/>
        <color theme="1"/>
        <rFont val="Times New Roman"/>
        <family val="1"/>
        <charset val="204"/>
      </rPr>
      <t>- сбор информации
    - оформление</t>
    </r>
  </si>
  <si>
    <r>
      <t xml:space="preserve">Публикация первого плана-графика
</t>
    </r>
    <r>
      <rPr>
        <i/>
        <sz val="12"/>
        <color theme="1"/>
        <rFont val="Times New Roman"/>
        <family val="1"/>
        <charset val="204"/>
      </rPr>
      <t>- планирование
- доработка, исправления
- согласование
- публикация</t>
    </r>
  </si>
  <si>
    <r>
      <rPr>
        <b/>
        <sz val="12"/>
        <color theme="1"/>
        <rFont val="Times New Roman"/>
        <family val="1"/>
        <charset val="204"/>
      </rPr>
      <t>Пересчет цены контракта после экспертизы:</t>
    </r>
    <r>
      <rPr>
        <sz val="12"/>
        <color theme="1"/>
        <rFont val="Times New Roman"/>
        <family val="1"/>
        <charset val="204"/>
      </rPr>
      <t xml:space="preserve">
- </t>
    </r>
    <r>
      <rPr>
        <i/>
        <sz val="12"/>
        <color theme="1"/>
        <rFont val="Times New Roman"/>
        <family val="1"/>
        <charset val="204"/>
      </rPr>
      <t>Бежецкая ЦРБ 1 этап
- Строительство дороги "Подъезд к школе Радужный"</t>
    </r>
  </si>
  <si>
    <r>
      <t>По итогам периода</t>
    </r>
    <r>
      <rPr>
        <b/>
        <sz val="14"/>
        <color theme="1"/>
        <rFont val="Times New Roman"/>
        <family val="1"/>
        <charset val="204"/>
      </rPr>
      <t xml:space="preserve"> производительность составила 202,98%</t>
    </r>
    <r>
      <rPr>
        <sz val="14"/>
        <color theme="1"/>
        <rFont val="Times New Roman"/>
        <family val="1"/>
        <charset val="204"/>
      </rPr>
      <t xml:space="preserve"> — при полном соблюдении стандартов качества. Такой результат стал возможен благодаря дисциплине в работе, продуманному планированию и высокой самоотдаче сотрудников. Грамотно выстроенные процессы не оставляют места для потерь времени, что позволяет стабильно перевыполнять KPI.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</si>
</sst>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/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0" fillId="4" borderId="0" xfId="0" applyFill="1"/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2" borderId="0" xfId="0" applyFont="1" applyFill="1"/>
    <xf numFmtId="0" fontId="7" fillId="0" borderId="0" xfId="0" applyNumberFormat="1" applyFont="1" applyAlignment="1">
      <alignment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0" fontId="3" fillId="4" borderId="14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7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7" xfId="0" applyFont="1" applyBorder="1" applyAlignment="1">
      <alignment wrapText="1"/>
    </xf>
    <xf numFmtId="0" fontId="7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/>
    </xf>
    <xf numFmtId="0" fontId="3" fillId="4" borderId="12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zoomScale="70" zoomScaleNormal="70" zoomScaleSheetLayoutView="85" workbookViewId="0">
      <selection activeCell="F13" sqref="F13:I13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77" t="s">
        <v>12</v>
      </c>
      <c r="F1" s="77"/>
      <c r="G1" s="77"/>
      <c r="H1" s="77"/>
      <c r="I1" s="77"/>
      <c r="J1" s="19">
        <v>23</v>
      </c>
    </row>
    <row r="2" spans="5:10" ht="45" customHeight="1" x14ac:dyDescent="0.25">
      <c r="E2" s="18" t="s">
        <v>6</v>
      </c>
      <c r="F2" s="8" t="s">
        <v>19</v>
      </c>
      <c r="G2" s="1"/>
      <c r="H2" s="1"/>
      <c r="I2" s="1"/>
    </row>
    <row r="3" spans="5:10" ht="35.25" customHeight="1" x14ac:dyDescent="0.25">
      <c r="E3" s="18" t="s">
        <v>7</v>
      </c>
      <c r="F3" s="8" t="s">
        <v>3</v>
      </c>
      <c r="G3" s="1"/>
      <c r="H3" s="1"/>
      <c r="I3" s="1"/>
    </row>
    <row r="4" spans="5:10" ht="35.25" customHeight="1" x14ac:dyDescent="0.25">
      <c r="E4" s="18" t="s">
        <v>2</v>
      </c>
      <c r="F4" s="20" t="str">
        <f>"с 01 июля по 31 июля (" &amp; J1 &amp; " рабочих дня)"</f>
        <v>с 01 июля по 31 июля (23 рабочих дня)</v>
      </c>
      <c r="G4" s="1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1" t="s">
        <v>0</v>
      </c>
      <c r="F6" s="32" t="s">
        <v>8</v>
      </c>
      <c r="G6" s="32" t="s">
        <v>1</v>
      </c>
      <c r="H6" s="33" t="s">
        <v>14</v>
      </c>
      <c r="I6" s="34" t="s">
        <v>20</v>
      </c>
    </row>
    <row r="7" spans="5:10" ht="162" customHeight="1" x14ac:dyDescent="0.25">
      <c r="E7" s="35">
        <v>1</v>
      </c>
      <c r="F7" s="4" t="s">
        <v>10</v>
      </c>
      <c r="G7" s="14">
        <v>9</v>
      </c>
      <c r="H7" s="14">
        <v>3.5</v>
      </c>
      <c r="I7" s="36">
        <f>G7*H7</f>
        <v>31.5</v>
      </c>
    </row>
    <row r="8" spans="5:10" ht="86.25" customHeight="1" x14ac:dyDescent="0.25">
      <c r="E8" s="35">
        <v>2</v>
      </c>
      <c r="F8" s="4" t="s">
        <v>9</v>
      </c>
      <c r="G8" s="14">
        <v>9</v>
      </c>
      <c r="H8" s="14">
        <v>1</v>
      </c>
      <c r="I8" s="36">
        <f t="shared" ref="I8:I56" si="0">G8*H8</f>
        <v>9</v>
      </c>
    </row>
    <row r="9" spans="5:10" ht="18.75" x14ac:dyDescent="0.25">
      <c r="E9" s="35">
        <v>3</v>
      </c>
      <c r="F9" s="3" t="s">
        <v>27</v>
      </c>
      <c r="G9" s="14">
        <v>24</v>
      </c>
      <c r="H9" s="14">
        <v>2.5</v>
      </c>
      <c r="I9" s="36">
        <f t="shared" si="0"/>
        <v>60</v>
      </c>
    </row>
    <row r="10" spans="5:10" ht="18.75" x14ac:dyDescent="0.25">
      <c r="E10" s="35">
        <v>4</v>
      </c>
      <c r="F10" s="3" t="s">
        <v>4</v>
      </c>
      <c r="G10" s="14">
        <v>13</v>
      </c>
      <c r="H10" s="14">
        <v>1</v>
      </c>
      <c r="I10" s="36">
        <f t="shared" ref="I10:I15" si="1">G10*H10</f>
        <v>13</v>
      </c>
    </row>
    <row r="11" spans="5:10" ht="18.75" x14ac:dyDescent="0.25">
      <c r="E11" s="35">
        <v>5</v>
      </c>
      <c r="F11" s="3" t="s">
        <v>5</v>
      </c>
      <c r="G11" s="14">
        <v>4</v>
      </c>
      <c r="H11" s="14">
        <v>0.5</v>
      </c>
      <c r="I11" s="36">
        <f t="shared" si="1"/>
        <v>2</v>
      </c>
    </row>
    <row r="12" spans="5:10" ht="31.5" x14ac:dyDescent="0.25">
      <c r="E12" s="37">
        <v>6</v>
      </c>
      <c r="F12" s="12" t="s">
        <v>13</v>
      </c>
      <c r="G12" s="16">
        <v>13</v>
      </c>
      <c r="H12" s="16">
        <v>1</v>
      </c>
      <c r="I12" s="36">
        <f t="shared" si="1"/>
        <v>13</v>
      </c>
    </row>
    <row r="13" spans="5:10" ht="32.25" thickBot="1" x14ac:dyDescent="0.3">
      <c r="E13" s="38">
        <v>7</v>
      </c>
      <c r="F13" s="39" t="s">
        <v>28</v>
      </c>
      <c r="G13" s="40">
        <v>8</v>
      </c>
      <c r="H13" s="40">
        <v>2.5</v>
      </c>
      <c r="I13" s="41">
        <f t="shared" si="1"/>
        <v>20</v>
      </c>
    </row>
    <row r="14" spans="5:10" ht="18.75" hidden="1" x14ac:dyDescent="0.25">
      <c r="E14" s="27">
        <v>8</v>
      </c>
      <c r="F14" s="28"/>
      <c r="G14" s="29"/>
      <c r="H14" s="29"/>
      <c r="I14" s="30">
        <f t="shared" si="1"/>
        <v>0</v>
      </c>
    </row>
    <row r="15" spans="5:10" ht="18.75" hidden="1" x14ac:dyDescent="0.25">
      <c r="E15" s="5">
        <v>9</v>
      </c>
      <c r="F15" s="12"/>
      <c r="G15" s="16"/>
      <c r="H15" s="16"/>
      <c r="I15" s="15">
        <f t="shared" si="1"/>
        <v>0</v>
      </c>
    </row>
    <row r="16" spans="5:10" ht="20.25" hidden="1" x14ac:dyDescent="0.25">
      <c r="E16" s="5">
        <v>10</v>
      </c>
      <c r="F16" s="12"/>
      <c r="G16" s="17"/>
      <c r="H16" s="17"/>
      <c r="I16" s="15">
        <f t="shared" si="0"/>
        <v>0</v>
      </c>
    </row>
    <row r="17" spans="5:9" ht="20.25" hidden="1" x14ac:dyDescent="0.25">
      <c r="E17" s="5">
        <v>11</v>
      </c>
      <c r="F17" s="12"/>
      <c r="G17" s="17"/>
      <c r="H17" s="17"/>
      <c r="I17" s="15">
        <f t="shared" si="0"/>
        <v>0</v>
      </c>
    </row>
    <row r="18" spans="5:9" ht="20.25" hidden="1" x14ac:dyDescent="0.25">
      <c r="E18" s="7">
        <v>12</v>
      </c>
      <c r="F18" s="12"/>
      <c r="G18" s="17"/>
      <c r="H18" s="17"/>
      <c r="I18" s="15">
        <f t="shared" si="0"/>
        <v>0</v>
      </c>
    </row>
    <row r="19" spans="5:9" ht="20.25" hidden="1" x14ac:dyDescent="0.25">
      <c r="E19" s="5">
        <v>13</v>
      </c>
      <c r="F19" s="12"/>
      <c r="G19" s="17"/>
      <c r="H19" s="17"/>
      <c r="I19" s="15">
        <f t="shared" si="0"/>
        <v>0</v>
      </c>
    </row>
    <row r="20" spans="5:9" ht="20.25" hidden="1" x14ac:dyDescent="0.25">
      <c r="E20" s="5">
        <v>14</v>
      </c>
      <c r="F20" s="12"/>
      <c r="G20" s="17"/>
      <c r="H20" s="17"/>
      <c r="I20" s="15">
        <f t="shared" si="0"/>
        <v>0</v>
      </c>
    </row>
    <row r="21" spans="5:9" ht="20.25" hidden="1" x14ac:dyDescent="0.25">
      <c r="E21" s="5">
        <v>15</v>
      </c>
      <c r="F21" s="12"/>
      <c r="G21" s="17"/>
      <c r="H21" s="17"/>
      <c r="I21" s="15">
        <f t="shared" si="0"/>
        <v>0</v>
      </c>
    </row>
    <row r="22" spans="5:9" ht="20.25" hidden="1" x14ac:dyDescent="0.25">
      <c r="E22" s="5">
        <v>16</v>
      </c>
      <c r="F22" s="12"/>
      <c r="G22" s="17"/>
      <c r="H22" s="17"/>
      <c r="I22" s="15">
        <f t="shared" si="0"/>
        <v>0</v>
      </c>
    </row>
    <row r="23" spans="5:9" ht="20.25" hidden="1" x14ac:dyDescent="0.25">
      <c r="E23" s="5">
        <v>17</v>
      </c>
      <c r="F23" s="12"/>
      <c r="G23" s="17"/>
      <c r="H23" s="17"/>
      <c r="I23" s="15">
        <f t="shared" si="0"/>
        <v>0</v>
      </c>
    </row>
    <row r="24" spans="5:9" ht="20.25" hidden="1" x14ac:dyDescent="0.25">
      <c r="E24" s="7">
        <v>18</v>
      </c>
      <c r="F24" s="12"/>
      <c r="G24" s="17"/>
      <c r="H24" s="17"/>
      <c r="I24" s="15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78" t="s">
        <v>15</v>
      </c>
      <c r="F59" s="79"/>
      <c r="G59" s="79"/>
      <c r="H59" s="80"/>
      <c r="I59" s="6"/>
    </row>
    <row r="60" spans="5:9" ht="18.75" x14ac:dyDescent="0.25">
      <c r="E60" s="21" t="s">
        <v>0</v>
      </c>
      <c r="F60" s="81" t="s">
        <v>16</v>
      </c>
      <c r="G60" s="82"/>
      <c r="H60" s="22" t="s">
        <v>17</v>
      </c>
      <c r="I60" s="6"/>
    </row>
    <row r="61" spans="5:9" ht="18.75" x14ac:dyDescent="0.25">
      <c r="E61" s="23">
        <v>1</v>
      </c>
      <c r="F61" s="70" t="s">
        <v>22</v>
      </c>
      <c r="G61" s="71"/>
      <c r="H61" s="24">
        <f>J1</f>
        <v>23</v>
      </c>
      <c r="I61" s="6"/>
    </row>
    <row r="62" spans="5:9" ht="18.75" x14ac:dyDescent="0.25">
      <c r="E62" s="23">
        <v>2</v>
      </c>
      <c r="F62" s="70" t="s">
        <v>23</v>
      </c>
      <c r="G62" s="71"/>
      <c r="H62" s="24">
        <f>H61*8</f>
        <v>184</v>
      </c>
      <c r="I62" s="6"/>
    </row>
    <row r="63" spans="5:9" ht="18.75" x14ac:dyDescent="0.25">
      <c r="E63" s="23">
        <v>3</v>
      </c>
      <c r="F63" s="70" t="s">
        <v>24</v>
      </c>
      <c r="G63" s="71"/>
      <c r="H63" s="24">
        <f>SUM(G7:G56)</f>
        <v>80</v>
      </c>
      <c r="I63" s="6"/>
    </row>
    <row r="64" spans="5:9" ht="47.25" customHeight="1" x14ac:dyDescent="0.25">
      <c r="E64" s="23">
        <v>4</v>
      </c>
      <c r="F64" s="70" t="s">
        <v>25</v>
      </c>
      <c r="G64" s="71"/>
      <c r="H64" s="24">
        <f>SUM(I7:I56)</f>
        <v>148.5</v>
      </c>
      <c r="I64" s="6"/>
    </row>
    <row r="65" spans="5:15" ht="18.75" x14ac:dyDescent="0.25">
      <c r="E65" s="23">
        <v>5</v>
      </c>
      <c r="F65" s="70" t="s">
        <v>21</v>
      </c>
      <c r="G65" s="71"/>
      <c r="H65" s="24">
        <f>ROUND(H64/H61,2)</f>
        <v>6.46</v>
      </c>
      <c r="I65" s="6"/>
    </row>
    <row r="66" spans="5:15" ht="19.5" thickBot="1" x14ac:dyDescent="0.3">
      <c r="E66" s="25">
        <v>6</v>
      </c>
      <c r="F66" s="75" t="s">
        <v>26</v>
      </c>
      <c r="G66" s="76"/>
      <c r="H66" s="26">
        <f>H65/6</f>
        <v>1.0766666666666667</v>
      </c>
      <c r="I66" s="6"/>
    </row>
    <row r="67" spans="5:15" ht="34.5" customHeight="1" x14ac:dyDescent="0.3">
      <c r="E67" s="72" t="s">
        <v>18</v>
      </c>
      <c r="F67" s="72"/>
      <c r="G67" s="10"/>
      <c r="H67" s="9"/>
      <c r="I67" s="9"/>
      <c r="O67" s="11"/>
    </row>
    <row r="68" spans="5:15" ht="81" customHeight="1" x14ac:dyDescent="0.25">
      <c r="E68" s="73" t="s">
        <v>29</v>
      </c>
      <c r="F68" s="73"/>
      <c r="G68" s="73"/>
      <c r="H68" s="73"/>
      <c r="I68" s="73"/>
    </row>
    <row r="69" spans="5:15" ht="39" customHeight="1" x14ac:dyDescent="0.3">
      <c r="E69" s="74" t="s">
        <v>11</v>
      </c>
      <c r="F69" s="74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2">
    <mergeCell ref="F63:G63"/>
    <mergeCell ref="E1:I1"/>
    <mergeCell ref="E59:H59"/>
    <mergeCell ref="F60:G60"/>
    <mergeCell ref="F61:G61"/>
    <mergeCell ref="F62:G62"/>
    <mergeCell ref="F64:G64"/>
    <mergeCell ref="F65:G65"/>
    <mergeCell ref="E67:F67"/>
    <mergeCell ref="E68:I68"/>
    <mergeCell ref="E69:F69"/>
    <mergeCell ref="F66:G66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180" verticalDpi="180" r:id="rId1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topLeftCell="A7" zoomScale="70" zoomScaleNormal="70" zoomScaleSheetLayoutView="85" workbookViewId="0">
      <selection activeCell="F14" sqref="F14:I15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77" t="s">
        <v>12</v>
      </c>
      <c r="F1" s="77"/>
      <c r="G1" s="77"/>
      <c r="H1" s="77"/>
      <c r="I1" s="77"/>
      <c r="J1" s="19">
        <v>20</v>
      </c>
    </row>
    <row r="2" spans="5:10" ht="45" customHeight="1" x14ac:dyDescent="0.25">
      <c r="E2" s="18" t="s">
        <v>6</v>
      </c>
      <c r="F2" s="8" t="s">
        <v>19</v>
      </c>
      <c r="G2" s="1"/>
      <c r="H2" s="1"/>
      <c r="I2" s="1"/>
    </row>
    <row r="3" spans="5:10" ht="35.25" customHeight="1" x14ac:dyDescent="0.25">
      <c r="E3" s="18" t="s">
        <v>7</v>
      </c>
      <c r="F3" s="8" t="s">
        <v>3</v>
      </c>
      <c r="G3" s="1"/>
      <c r="H3" s="1"/>
      <c r="I3" s="1"/>
    </row>
    <row r="4" spans="5:10" ht="35.25" customHeight="1" x14ac:dyDescent="0.25">
      <c r="E4" s="18" t="s">
        <v>2</v>
      </c>
      <c r="F4" s="20" t="str">
        <f>"с 01 августа по 28 августа (" &amp; J1 &amp; " рабочих дней)"</f>
        <v>с 01 августа по 28 августа (20 рабочих дней)</v>
      </c>
      <c r="G4" s="1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1" t="s">
        <v>0</v>
      </c>
      <c r="F6" s="32" t="s">
        <v>8</v>
      </c>
      <c r="G6" s="32" t="s">
        <v>1</v>
      </c>
      <c r="H6" s="33" t="s">
        <v>14</v>
      </c>
      <c r="I6" s="34" t="s">
        <v>20</v>
      </c>
    </row>
    <row r="7" spans="5:10" ht="117.75" customHeight="1" x14ac:dyDescent="0.25">
      <c r="E7" s="35">
        <v>1</v>
      </c>
      <c r="F7" s="3" t="s">
        <v>30</v>
      </c>
      <c r="G7" s="14">
        <f>10+2+1+12</f>
        <v>25</v>
      </c>
      <c r="H7" s="14">
        <v>2.5</v>
      </c>
      <c r="I7" s="36">
        <f t="shared" ref="I7:I56" si="0">G7*H7</f>
        <v>62.5</v>
      </c>
    </row>
    <row r="8" spans="5:10" ht="78" customHeight="1" x14ac:dyDescent="0.25">
      <c r="E8" s="35">
        <v>2</v>
      </c>
      <c r="F8" s="3" t="s">
        <v>32</v>
      </c>
      <c r="G8" s="14">
        <f>13+8+2</f>
        <v>23</v>
      </c>
      <c r="H8" s="14">
        <v>1.75</v>
      </c>
      <c r="I8" s="36">
        <f t="shared" si="0"/>
        <v>40.25</v>
      </c>
    </row>
    <row r="9" spans="5:10" ht="62.25" customHeight="1" x14ac:dyDescent="0.25">
      <c r="E9" s="42">
        <v>5</v>
      </c>
      <c r="F9" s="43" t="s">
        <v>33</v>
      </c>
      <c r="G9" s="44">
        <v>10</v>
      </c>
      <c r="H9" s="44">
        <v>0.75</v>
      </c>
      <c r="I9" s="36">
        <f t="shared" si="0"/>
        <v>7.5</v>
      </c>
    </row>
    <row r="10" spans="5:10" ht="62.25" customHeight="1" x14ac:dyDescent="0.25">
      <c r="E10" s="42">
        <v>6</v>
      </c>
      <c r="F10" s="43" t="s">
        <v>34</v>
      </c>
      <c r="G10" s="44">
        <v>1</v>
      </c>
      <c r="H10" s="44">
        <v>8</v>
      </c>
      <c r="I10" s="36">
        <f t="shared" si="0"/>
        <v>8</v>
      </c>
    </row>
    <row r="11" spans="5:10" ht="62.25" customHeight="1" x14ac:dyDescent="0.25">
      <c r="E11" s="42">
        <v>7</v>
      </c>
      <c r="F11" s="43" t="s">
        <v>5</v>
      </c>
      <c r="G11" s="44">
        <v>12</v>
      </c>
      <c r="H11" s="44">
        <v>0.5</v>
      </c>
      <c r="I11" s="36">
        <f t="shared" si="0"/>
        <v>6</v>
      </c>
    </row>
    <row r="12" spans="5:10" ht="62.25" customHeight="1" x14ac:dyDescent="0.25">
      <c r="E12" s="42">
        <v>8</v>
      </c>
      <c r="F12" s="43" t="s">
        <v>4</v>
      </c>
      <c r="G12" s="44">
        <v>1</v>
      </c>
      <c r="H12" s="44">
        <v>3</v>
      </c>
      <c r="I12" s="36">
        <f t="shared" si="0"/>
        <v>3</v>
      </c>
    </row>
    <row r="13" spans="5:10" ht="38.25" customHeight="1" x14ac:dyDescent="0.25">
      <c r="E13" s="48">
        <v>9</v>
      </c>
      <c r="F13" s="12" t="s">
        <v>31</v>
      </c>
      <c r="G13" s="16">
        <v>21</v>
      </c>
      <c r="H13" s="16">
        <v>0.35</v>
      </c>
      <c r="I13" s="36">
        <f t="shared" si="0"/>
        <v>7.35</v>
      </c>
    </row>
    <row r="14" spans="5:10" ht="146.25" customHeight="1" x14ac:dyDescent="0.25">
      <c r="E14" s="48">
        <v>10</v>
      </c>
      <c r="F14" s="47" t="s">
        <v>10</v>
      </c>
      <c r="G14" s="16">
        <v>3</v>
      </c>
      <c r="H14" s="16">
        <v>2.5</v>
      </c>
      <c r="I14" s="36">
        <f t="shared" si="0"/>
        <v>7.5</v>
      </c>
    </row>
    <row r="15" spans="5:10" ht="79.5" thickBot="1" x14ac:dyDescent="0.3">
      <c r="E15" s="49">
        <v>11</v>
      </c>
      <c r="F15" s="50" t="s">
        <v>9</v>
      </c>
      <c r="G15" s="51">
        <v>3</v>
      </c>
      <c r="H15" s="51">
        <v>1</v>
      </c>
      <c r="I15" s="41">
        <f t="shared" si="0"/>
        <v>3</v>
      </c>
    </row>
    <row r="16" spans="5:10" ht="20.25" hidden="1" x14ac:dyDescent="0.25">
      <c r="E16" s="27">
        <v>10</v>
      </c>
      <c r="F16" s="45"/>
      <c r="G16" s="46"/>
      <c r="H16" s="46"/>
      <c r="I16" s="30">
        <f t="shared" si="0"/>
        <v>0</v>
      </c>
    </row>
    <row r="17" spans="5:9" ht="20.25" hidden="1" x14ac:dyDescent="0.25">
      <c r="E17" s="5">
        <v>11</v>
      </c>
      <c r="F17" s="12"/>
      <c r="G17" s="17"/>
      <c r="H17" s="17"/>
      <c r="I17" s="15">
        <f t="shared" si="0"/>
        <v>0</v>
      </c>
    </row>
    <row r="18" spans="5:9" ht="20.25" hidden="1" x14ac:dyDescent="0.25">
      <c r="E18" s="7">
        <v>12</v>
      </c>
      <c r="F18" s="12"/>
      <c r="G18" s="17"/>
      <c r="H18" s="17"/>
      <c r="I18" s="15">
        <f t="shared" si="0"/>
        <v>0</v>
      </c>
    </row>
    <row r="19" spans="5:9" ht="20.25" hidden="1" x14ac:dyDescent="0.25">
      <c r="E19" s="5">
        <v>13</v>
      </c>
      <c r="F19" s="12"/>
      <c r="G19" s="17"/>
      <c r="H19" s="17"/>
      <c r="I19" s="15">
        <f t="shared" si="0"/>
        <v>0</v>
      </c>
    </row>
    <row r="20" spans="5:9" ht="20.25" hidden="1" x14ac:dyDescent="0.25">
      <c r="E20" s="5">
        <v>14</v>
      </c>
      <c r="F20" s="12"/>
      <c r="G20" s="17"/>
      <c r="H20" s="17"/>
      <c r="I20" s="15">
        <f t="shared" si="0"/>
        <v>0</v>
      </c>
    </row>
    <row r="21" spans="5:9" ht="20.25" hidden="1" x14ac:dyDescent="0.25">
      <c r="E21" s="5">
        <v>15</v>
      </c>
      <c r="F21" s="12"/>
      <c r="G21" s="17"/>
      <c r="H21" s="17"/>
      <c r="I21" s="15">
        <f t="shared" si="0"/>
        <v>0</v>
      </c>
    </row>
    <row r="22" spans="5:9" ht="20.25" hidden="1" x14ac:dyDescent="0.25">
      <c r="E22" s="5">
        <v>16</v>
      </c>
      <c r="F22" s="12"/>
      <c r="G22" s="17"/>
      <c r="H22" s="17"/>
      <c r="I22" s="15">
        <f t="shared" si="0"/>
        <v>0</v>
      </c>
    </row>
    <row r="23" spans="5:9" ht="20.25" hidden="1" x14ac:dyDescent="0.25">
      <c r="E23" s="5">
        <v>17</v>
      </c>
      <c r="F23" s="12"/>
      <c r="G23" s="17"/>
      <c r="H23" s="17"/>
      <c r="I23" s="15">
        <f t="shared" si="0"/>
        <v>0</v>
      </c>
    </row>
    <row r="24" spans="5:9" ht="20.25" hidden="1" x14ac:dyDescent="0.25">
      <c r="E24" s="7">
        <v>18</v>
      </c>
      <c r="F24" s="12"/>
      <c r="G24" s="17"/>
      <c r="H24" s="17"/>
      <c r="I24" s="15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78" t="s">
        <v>15</v>
      </c>
      <c r="F59" s="79"/>
      <c r="G59" s="79"/>
      <c r="H59" s="80"/>
      <c r="I59" s="6"/>
    </row>
    <row r="60" spans="5:9" ht="18.75" x14ac:dyDescent="0.25">
      <c r="E60" s="21" t="s">
        <v>0</v>
      </c>
      <c r="F60" s="81" t="s">
        <v>16</v>
      </c>
      <c r="G60" s="82"/>
      <c r="H60" s="22" t="s">
        <v>17</v>
      </c>
      <c r="I60" s="6"/>
    </row>
    <row r="61" spans="5:9" ht="18.75" x14ac:dyDescent="0.25">
      <c r="E61" s="23">
        <v>1</v>
      </c>
      <c r="F61" s="70" t="s">
        <v>22</v>
      </c>
      <c r="G61" s="71"/>
      <c r="H61" s="24">
        <f>J1</f>
        <v>20</v>
      </c>
      <c r="I61" s="6"/>
    </row>
    <row r="62" spans="5:9" ht="18.75" x14ac:dyDescent="0.25">
      <c r="E62" s="23">
        <v>2</v>
      </c>
      <c r="F62" s="70" t="s">
        <v>23</v>
      </c>
      <c r="G62" s="71"/>
      <c r="H62" s="24">
        <f>H61*8</f>
        <v>160</v>
      </c>
      <c r="I62" s="6"/>
    </row>
    <row r="63" spans="5:9" ht="18.75" x14ac:dyDescent="0.25">
      <c r="E63" s="23">
        <v>3</v>
      </c>
      <c r="F63" s="70" t="s">
        <v>24</v>
      </c>
      <c r="G63" s="71"/>
      <c r="H63" s="24">
        <f>SUM(G7:G56)</f>
        <v>99</v>
      </c>
      <c r="I63" s="6"/>
    </row>
    <row r="64" spans="5:9" ht="47.25" customHeight="1" x14ac:dyDescent="0.25">
      <c r="E64" s="23">
        <v>4</v>
      </c>
      <c r="F64" s="70" t="s">
        <v>25</v>
      </c>
      <c r="G64" s="71"/>
      <c r="H64" s="24">
        <f>SUM(I7:I56)</f>
        <v>145.1</v>
      </c>
      <c r="I64" s="6"/>
    </row>
    <row r="65" spans="5:15" ht="18.75" x14ac:dyDescent="0.25">
      <c r="E65" s="23">
        <v>5</v>
      </c>
      <c r="F65" s="70" t="s">
        <v>21</v>
      </c>
      <c r="G65" s="71"/>
      <c r="H65" s="24">
        <f>ROUND(H64/H61,2)</f>
        <v>7.26</v>
      </c>
      <c r="I65" s="6"/>
    </row>
    <row r="66" spans="5:15" ht="19.5" thickBot="1" x14ac:dyDescent="0.3">
      <c r="E66" s="25">
        <v>6</v>
      </c>
      <c r="F66" s="75" t="s">
        <v>26</v>
      </c>
      <c r="G66" s="76"/>
      <c r="H66" s="26">
        <f>H65/6</f>
        <v>1.21</v>
      </c>
      <c r="I66" s="6"/>
    </row>
    <row r="67" spans="5:15" ht="34.5" customHeight="1" x14ac:dyDescent="0.3">
      <c r="E67" s="72" t="s">
        <v>18</v>
      </c>
      <c r="F67" s="72"/>
      <c r="G67" s="10"/>
      <c r="H67" s="9"/>
      <c r="I67" s="9"/>
      <c r="O67" s="11"/>
    </row>
    <row r="68" spans="5:15" ht="81" customHeight="1" x14ac:dyDescent="0.25">
      <c r="E68" s="73" t="s">
        <v>35</v>
      </c>
      <c r="F68" s="73"/>
      <c r="G68" s="73"/>
      <c r="H68" s="73"/>
      <c r="I68" s="73"/>
    </row>
    <row r="69" spans="5:15" ht="39" customHeight="1" x14ac:dyDescent="0.3">
      <c r="E69" s="74" t="s">
        <v>11</v>
      </c>
      <c r="F69" s="74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2">
    <mergeCell ref="E69:F69"/>
    <mergeCell ref="E1:I1"/>
    <mergeCell ref="E59:H59"/>
    <mergeCell ref="F60:G60"/>
    <mergeCell ref="F61:G61"/>
    <mergeCell ref="F62:G62"/>
    <mergeCell ref="F63:G63"/>
    <mergeCell ref="F64:G64"/>
    <mergeCell ref="F65:G65"/>
    <mergeCell ref="F66:G66"/>
    <mergeCell ref="E67:F67"/>
    <mergeCell ref="E68:I68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zoomScale="70" zoomScaleNormal="70" zoomScaleSheetLayoutView="85" workbookViewId="0">
      <selection activeCell="O67" sqref="O67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7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77" t="s">
        <v>12</v>
      </c>
      <c r="F1" s="77"/>
      <c r="G1" s="77"/>
      <c r="H1" s="77"/>
      <c r="I1" s="77"/>
      <c r="J1" s="19">
        <v>20</v>
      </c>
    </row>
    <row r="2" spans="5:10" ht="45" customHeight="1" x14ac:dyDescent="0.25">
      <c r="E2" s="18" t="s">
        <v>6</v>
      </c>
      <c r="F2" s="8" t="s">
        <v>36</v>
      </c>
      <c r="G2" s="1"/>
      <c r="H2" s="1"/>
      <c r="I2" s="1"/>
    </row>
    <row r="3" spans="5:10" ht="35.25" customHeight="1" x14ac:dyDescent="0.25">
      <c r="E3" s="18" t="s">
        <v>7</v>
      </c>
      <c r="F3" s="8" t="s">
        <v>37</v>
      </c>
      <c r="G3" s="1"/>
      <c r="H3" s="1"/>
      <c r="I3" s="1"/>
    </row>
    <row r="4" spans="5:10" ht="35.25" customHeight="1" x14ac:dyDescent="0.25">
      <c r="E4" s="18" t="s">
        <v>2</v>
      </c>
      <c r="F4" s="83" t="str">
        <f>"с 01 сентября по 28 сентября (" &amp; J1 &amp; " рабочих дней)"</f>
        <v>с 01 сентября по 28 сентября (20 рабочих дней)</v>
      </c>
      <c r="G4" s="83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1" t="s">
        <v>0</v>
      </c>
      <c r="F6" s="32" t="s">
        <v>8</v>
      </c>
      <c r="G6" s="32" t="s">
        <v>1</v>
      </c>
      <c r="H6" s="33" t="s">
        <v>14</v>
      </c>
      <c r="I6" s="34" t="s">
        <v>20</v>
      </c>
    </row>
    <row r="7" spans="5:10" ht="141.75" customHeight="1" x14ac:dyDescent="0.25">
      <c r="E7" s="35">
        <v>1</v>
      </c>
      <c r="F7" s="3" t="s">
        <v>38</v>
      </c>
      <c r="G7" s="14">
        <f>21</f>
        <v>21</v>
      </c>
      <c r="H7" s="14">
        <v>2</v>
      </c>
      <c r="I7" s="36">
        <f t="shared" ref="I7:I56" si="0">G7*H7</f>
        <v>42</v>
      </c>
    </row>
    <row r="8" spans="5:10" ht="78" customHeight="1" x14ac:dyDescent="0.25">
      <c r="E8" s="35">
        <v>2</v>
      </c>
      <c r="F8" s="3" t="s">
        <v>32</v>
      </c>
      <c r="G8" s="14">
        <v>14</v>
      </c>
      <c r="H8" s="14">
        <v>1.75</v>
      </c>
      <c r="I8" s="36">
        <f t="shared" si="0"/>
        <v>24.5</v>
      </c>
    </row>
    <row r="9" spans="5:10" ht="62.25" customHeight="1" x14ac:dyDescent="0.25">
      <c r="E9" s="42">
        <v>3</v>
      </c>
      <c r="F9" s="43" t="s">
        <v>33</v>
      </c>
      <c r="G9" s="44">
        <f>3</f>
        <v>3</v>
      </c>
      <c r="H9" s="44">
        <v>1</v>
      </c>
      <c r="I9" s="36">
        <f t="shared" si="0"/>
        <v>3</v>
      </c>
    </row>
    <row r="10" spans="5:10" ht="62.25" customHeight="1" x14ac:dyDescent="0.25">
      <c r="E10" s="42">
        <v>4</v>
      </c>
      <c r="F10" s="43" t="s">
        <v>39</v>
      </c>
      <c r="G10" s="44">
        <v>1</v>
      </c>
      <c r="H10" s="44">
        <v>20</v>
      </c>
      <c r="I10" s="36">
        <f t="shared" si="0"/>
        <v>20</v>
      </c>
    </row>
    <row r="11" spans="5:10" ht="62.25" customHeight="1" x14ac:dyDescent="0.25">
      <c r="E11" s="42">
        <v>5</v>
      </c>
      <c r="F11" s="43" t="s">
        <v>5</v>
      </c>
      <c r="G11" s="44">
        <v>3</v>
      </c>
      <c r="H11" s="44">
        <v>0.5</v>
      </c>
      <c r="I11" s="36">
        <f t="shared" si="0"/>
        <v>1.5</v>
      </c>
    </row>
    <row r="12" spans="5:10" ht="62.25" customHeight="1" x14ac:dyDescent="0.25">
      <c r="E12" s="42">
        <v>6</v>
      </c>
      <c r="F12" s="43" t="s">
        <v>40</v>
      </c>
      <c r="G12" s="44">
        <v>1</v>
      </c>
      <c r="H12" s="44">
        <v>30</v>
      </c>
      <c r="I12" s="36">
        <f t="shared" si="0"/>
        <v>30</v>
      </c>
    </row>
    <row r="13" spans="5:10" ht="38.25" customHeight="1" x14ac:dyDescent="0.25">
      <c r="E13" s="48">
        <v>7</v>
      </c>
      <c r="F13" s="12" t="s">
        <v>31</v>
      </c>
      <c r="G13" s="16">
        <v>13</v>
      </c>
      <c r="H13" s="16">
        <v>0.35</v>
      </c>
      <c r="I13" s="36">
        <f t="shared" si="0"/>
        <v>4.55</v>
      </c>
    </row>
    <row r="14" spans="5:10" ht="38.25" customHeight="1" x14ac:dyDescent="0.25">
      <c r="E14" s="53">
        <v>8</v>
      </c>
      <c r="F14" s="54" t="s">
        <v>41</v>
      </c>
      <c r="G14" s="55">
        <v>3</v>
      </c>
      <c r="H14" s="55">
        <v>16</v>
      </c>
      <c r="I14" s="56">
        <f t="shared" si="0"/>
        <v>48</v>
      </c>
    </row>
    <row r="15" spans="5:10" ht="38.25" customHeight="1" thickBot="1" x14ac:dyDescent="0.3">
      <c r="E15" s="49">
        <v>9</v>
      </c>
      <c r="F15" s="52" t="s">
        <v>42</v>
      </c>
      <c r="G15" s="51">
        <v>1</v>
      </c>
      <c r="H15" s="51">
        <v>4</v>
      </c>
      <c r="I15" s="59">
        <f t="shared" si="0"/>
        <v>4</v>
      </c>
    </row>
    <row r="16" spans="5:10" ht="20.25" hidden="1" x14ac:dyDescent="0.25">
      <c r="E16" s="57">
        <v>10</v>
      </c>
      <c r="F16" s="45"/>
      <c r="G16" s="46"/>
      <c r="H16" s="46"/>
      <c r="I16" s="58">
        <f t="shared" si="0"/>
        <v>0</v>
      </c>
    </row>
    <row r="17" spans="5:9" ht="20.25" hidden="1" x14ac:dyDescent="0.25">
      <c r="E17" s="27">
        <v>11</v>
      </c>
      <c r="F17" s="45"/>
      <c r="G17" s="46"/>
      <c r="H17" s="46"/>
      <c r="I17" s="30">
        <f t="shared" si="0"/>
        <v>0</v>
      </c>
    </row>
    <row r="18" spans="5:9" ht="20.25" hidden="1" x14ac:dyDescent="0.25">
      <c r="E18" s="7">
        <v>12</v>
      </c>
      <c r="F18" s="12"/>
      <c r="G18" s="17"/>
      <c r="H18" s="17"/>
      <c r="I18" s="15">
        <f t="shared" si="0"/>
        <v>0</v>
      </c>
    </row>
    <row r="19" spans="5:9" ht="20.25" hidden="1" x14ac:dyDescent="0.25">
      <c r="E19" s="5">
        <v>13</v>
      </c>
      <c r="F19" s="12"/>
      <c r="G19" s="17"/>
      <c r="H19" s="17"/>
      <c r="I19" s="15">
        <f t="shared" si="0"/>
        <v>0</v>
      </c>
    </row>
    <row r="20" spans="5:9" ht="20.25" hidden="1" x14ac:dyDescent="0.25">
      <c r="E20" s="5">
        <v>14</v>
      </c>
      <c r="F20" s="12"/>
      <c r="G20" s="17"/>
      <c r="H20" s="17"/>
      <c r="I20" s="15">
        <f t="shared" si="0"/>
        <v>0</v>
      </c>
    </row>
    <row r="21" spans="5:9" ht="20.25" hidden="1" x14ac:dyDescent="0.25">
      <c r="E21" s="5">
        <v>15</v>
      </c>
      <c r="F21" s="12"/>
      <c r="G21" s="17"/>
      <c r="H21" s="17"/>
      <c r="I21" s="15">
        <f t="shared" si="0"/>
        <v>0</v>
      </c>
    </row>
    <row r="22" spans="5:9" ht="20.25" hidden="1" x14ac:dyDescent="0.25">
      <c r="E22" s="5">
        <v>16</v>
      </c>
      <c r="F22" s="12"/>
      <c r="G22" s="17"/>
      <c r="H22" s="17"/>
      <c r="I22" s="15">
        <f t="shared" si="0"/>
        <v>0</v>
      </c>
    </row>
    <row r="23" spans="5:9" ht="20.25" hidden="1" x14ac:dyDescent="0.25">
      <c r="E23" s="5">
        <v>17</v>
      </c>
      <c r="F23" s="12"/>
      <c r="G23" s="17"/>
      <c r="H23" s="17"/>
      <c r="I23" s="15">
        <f t="shared" si="0"/>
        <v>0</v>
      </c>
    </row>
    <row r="24" spans="5:9" ht="20.25" hidden="1" x14ac:dyDescent="0.25">
      <c r="E24" s="7">
        <v>18</v>
      </c>
      <c r="F24" s="12"/>
      <c r="G24" s="17"/>
      <c r="H24" s="17"/>
      <c r="I24" s="15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78" t="s">
        <v>15</v>
      </c>
      <c r="F59" s="79"/>
      <c r="G59" s="79"/>
      <c r="H59" s="80"/>
      <c r="I59" s="6"/>
    </row>
    <row r="60" spans="5:9" ht="18.75" x14ac:dyDescent="0.25">
      <c r="E60" s="21" t="s">
        <v>0</v>
      </c>
      <c r="F60" s="81" t="s">
        <v>16</v>
      </c>
      <c r="G60" s="82"/>
      <c r="H60" s="22" t="s">
        <v>17</v>
      </c>
      <c r="I60" s="6"/>
    </row>
    <row r="61" spans="5:9" ht="18.75" x14ac:dyDescent="0.25">
      <c r="E61" s="23">
        <v>1</v>
      </c>
      <c r="F61" s="70" t="s">
        <v>22</v>
      </c>
      <c r="G61" s="71"/>
      <c r="H61" s="24">
        <f>J1</f>
        <v>20</v>
      </c>
      <c r="I61" s="6"/>
    </row>
    <row r="62" spans="5:9" ht="18.75" x14ac:dyDescent="0.25">
      <c r="E62" s="23">
        <v>2</v>
      </c>
      <c r="F62" s="70" t="s">
        <v>23</v>
      </c>
      <c r="G62" s="71"/>
      <c r="H62" s="24">
        <f>H61*8</f>
        <v>160</v>
      </c>
      <c r="I62" s="6"/>
    </row>
    <row r="63" spans="5:9" ht="18.75" x14ac:dyDescent="0.25">
      <c r="E63" s="23">
        <v>3</v>
      </c>
      <c r="F63" s="70" t="s">
        <v>24</v>
      </c>
      <c r="G63" s="71"/>
      <c r="H63" s="24">
        <f>SUM(G7:G56)</f>
        <v>60</v>
      </c>
      <c r="I63" s="6"/>
    </row>
    <row r="64" spans="5:9" ht="47.25" customHeight="1" x14ac:dyDescent="0.25">
      <c r="E64" s="23">
        <v>4</v>
      </c>
      <c r="F64" s="70" t="s">
        <v>25</v>
      </c>
      <c r="G64" s="71"/>
      <c r="H64" s="24">
        <f>SUM(I7:I56)</f>
        <v>177.55</v>
      </c>
      <c r="I64" s="6"/>
    </row>
    <row r="65" spans="5:15" ht="18.75" x14ac:dyDescent="0.25">
      <c r="E65" s="23">
        <v>5</v>
      </c>
      <c r="F65" s="70" t="s">
        <v>21</v>
      </c>
      <c r="G65" s="71"/>
      <c r="H65" s="24">
        <f>ROUND(H64/H61,2)</f>
        <v>8.8800000000000008</v>
      </c>
      <c r="I65" s="6"/>
    </row>
    <row r="66" spans="5:15" ht="19.5" thickBot="1" x14ac:dyDescent="0.3">
      <c r="E66" s="25">
        <v>6</v>
      </c>
      <c r="F66" s="75" t="s">
        <v>26</v>
      </c>
      <c r="G66" s="76"/>
      <c r="H66" s="26">
        <f>H65/8</f>
        <v>1.1100000000000001</v>
      </c>
      <c r="I66" s="6"/>
    </row>
    <row r="67" spans="5:15" ht="34.5" customHeight="1" x14ac:dyDescent="0.3">
      <c r="E67" s="72" t="s">
        <v>18</v>
      </c>
      <c r="F67" s="72"/>
      <c r="G67" s="10"/>
      <c r="H67" s="9"/>
      <c r="I67" s="9"/>
      <c r="O67" s="11"/>
    </row>
    <row r="68" spans="5:15" ht="111" customHeight="1" x14ac:dyDescent="0.25">
      <c r="E68" s="73" t="s">
        <v>50</v>
      </c>
      <c r="F68" s="73"/>
      <c r="G68" s="73"/>
      <c r="H68" s="73"/>
      <c r="I68" s="73"/>
    </row>
    <row r="69" spans="5:15" ht="39" customHeight="1" x14ac:dyDescent="0.3">
      <c r="E69" s="74" t="s">
        <v>11</v>
      </c>
      <c r="F69" s="74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3">
    <mergeCell ref="E69:F69"/>
    <mergeCell ref="E1:I1"/>
    <mergeCell ref="E59:H59"/>
    <mergeCell ref="F60:G60"/>
    <mergeCell ref="F61:G61"/>
    <mergeCell ref="F62:G62"/>
    <mergeCell ref="F63:G63"/>
    <mergeCell ref="F4:G4"/>
    <mergeCell ref="F64:G64"/>
    <mergeCell ref="F65:G65"/>
    <mergeCell ref="F66:G66"/>
    <mergeCell ref="E67:F67"/>
    <mergeCell ref="E68:I68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topLeftCell="A16" zoomScale="70" zoomScaleNormal="70" zoomScaleSheetLayoutView="85" workbookViewId="0">
      <selection activeCell="L21" sqref="L21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6.57031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77" t="s">
        <v>43</v>
      </c>
      <c r="F1" s="77"/>
      <c r="G1" s="77"/>
      <c r="H1" s="77"/>
      <c r="I1" s="77"/>
      <c r="J1" s="19">
        <v>63</v>
      </c>
    </row>
    <row r="2" spans="5:10" ht="45" customHeight="1" x14ac:dyDescent="0.25">
      <c r="E2" s="18" t="s">
        <v>6</v>
      </c>
      <c r="F2" s="8" t="s">
        <v>36</v>
      </c>
      <c r="G2" s="1"/>
      <c r="H2" s="1"/>
      <c r="I2" s="1"/>
    </row>
    <row r="3" spans="5:10" ht="35.25" customHeight="1" x14ac:dyDescent="0.25">
      <c r="E3" s="18" t="s">
        <v>7</v>
      </c>
      <c r="F3" s="8" t="s">
        <v>37</v>
      </c>
      <c r="G3" s="1"/>
      <c r="H3" s="1"/>
      <c r="I3" s="1"/>
    </row>
    <row r="4" spans="5:10" ht="35.25" customHeight="1" x14ac:dyDescent="0.25">
      <c r="E4" s="18" t="s">
        <v>2</v>
      </c>
      <c r="F4" s="83" t="str">
        <f>"с 01 июля по 28 сентября (" &amp; J1 &amp; " рабочих дня)"</f>
        <v>с 01 июля по 28 сентября (63 рабочих дня)</v>
      </c>
      <c r="G4" s="83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61" t="s">
        <v>0</v>
      </c>
      <c r="F6" s="62" t="s">
        <v>8</v>
      </c>
      <c r="G6" s="62" t="s">
        <v>1</v>
      </c>
      <c r="H6" s="63" t="s">
        <v>14</v>
      </c>
      <c r="I6" s="64" t="s">
        <v>20</v>
      </c>
    </row>
    <row r="7" spans="5:10" ht="141.75" customHeight="1" x14ac:dyDescent="0.25">
      <c r="E7" s="48">
        <v>1</v>
      </c>
      <c r="F7" s="12" t="s">
        <v>38</v>
      </c>
      <c r="G7" s="16">
        <f>21+24+25</f>
        <v>70</v>
      </c>
      <c r="H7" s="16">
        <v>2.5</v>
      </c>
      <c r="I7" s="65">
        <f t="shared" ref="I7:I56" si="0">G7*H7</f>
        <v>175</v>
      </c>
    </row>
    <row r="8" spans="5:10" ht="78" customHeight="1" x14ac:dyDescent="0.25">
      <c r="E8" s="48">
        <v>2</v>
      </c>
      <c r="F8" s="12" t="s">
        <v>32</v>
      </c>
      <c r="G8" s="16">
        <f>14+23</f>
        <v>37</v>
      </c>
      <c r="H8" s="16">
        <v>2</v>
      </c>
      <c r="I8" s="65">
        <f t="shared" si="0"/>
        <v>74</v>
      </c>
    </row>
    <row r="9" spans="5:10" ht="62.25" customHeight="1" x14ac:dyDescent="0.25">
      <c r="E9" s="48">
        <v>3</v>
      </c>
      <c r="F9" s="12" t="s">
        <v>33</v>
      </c>
      <c r="G9" s="16">
        <f>3+10+10</f>
        <v>23</v>
      </c>
      <c r="H9" s="16">
        <v>2</v>
      </c>
      <c r="I9" s="65">
        <f t="shared" si="0"/>
        <v>46</v>
      </c>
    </row>
    <row r="10" spans="5:10" ht="38.1" customHeight="1" x14ac:dyDescent="0.25">
      <c r="E10" s="48">
        <v>4</v>
      </c>
      <c r="F10" s="12" t="s">
        <v>44</v>
      </c>
      <c r="G10" s="16">
        <v>1</v>
      </c>
      <c r="H10" s="16">
        <v>20</v>
      </c>
      <c r="I10" s="65">
        <f t="shared" si="0"/>
        <v>20</v>
      </c>
    </row>
    <row r="11" spans="5:10" ht="38.1" customHeight="1" x14ac:dyDescent="0.25">
      <c r="E11" s="48">
        <v>5</v>
      </c>
      <c r="F11" s="12" t="s">
        <v>48</v>
      </c>
      <c r="G11" s="16">
        <f>3+12+10</f>
        <v>25</v>
      </c>
      <c r="H11" s="16">
        <v>0.5</v>
      </c>
      <c r="I11" s="65">
        <f t="shared" si="0"/>
        <v>12.5</v>
      </c>
    </row>
    <row r="12" spans="5:10" ht="62.25" customHeight="1" x14ac:dyDescent="0.25">
      <c r="E12" s="48">
        <v>6</v>
      </c>
      <c r="F12" s="12" t="s">
        <v>45</v>
      </c>
      <c r="G12" s="16">
        <v>1</v>
      </c>
      <c r="H12" s="16">
        <v>30</v>
      </c>
      <c r="I12" s="65">
        <f t="shared" si="0"/>
        <v>30</v>
      </c>
    </row>
    <row r="13" spans="5:10" ht="38.1" customHeight="1" x14ac:dyDescent="0.25">
      <c r="E13" s="48">
        <v>7</v>
      </c>
      <c r="F13" s="12" t="s">
        <v>31</v>
      </c>
      <c r="G13" s="16">
        <f>13+21</f>
        <v>34</v>
      </c>
      <c r="H13" s="16">
        <v>0.35</v>
      </c>
      <c r="I13" s="65">
        <f t="shared" si="0"/>
        <v>11.899999999999999</v>
      </c>
    </row>
    <row r="14" spans="5:10" ht="38.1" customHeight="1" x14ac:dyDescent="0.25">
      <c r="E14" s="48">
        <v>8</v>
      </c>
      <c r="F14" s="12" t="s">
        <v>46</v>
      </c>
      <c r="G14" s="16">
        <v>3</v>
      </c>
      <c r="H14" s="16">
        <v>20</v>
      </c>
      <c r="I14" s="65">
        <f t="shared" si="0"/>
        <v>60</v>
      </c>
    </row>
    <row r="15" spans="5:10" ht="38.1" customHeight="1" x14ac:dyDescent="0.25">
      <c r="E15" s="48">
        <v>9</v>
      </c>
      <c r="F15" s="12" t="s">
        <v>42</v>
      </c>
      <c r="G15" s="16">
        <v>1</v>
      </c>
      <c r="H15" s="16">
        <v>4</v>
      </c>
      <c r="I15" s="65">
        <f t="shared" si="0"/>
        <v>4</v>
      </c>
    </row>
    <row r="16" spans="5:10" ht="38.1" customHeight="1" x14ac:dyDescent="0.25">
      <c r="E16" s="48">
        <v>10</v>
      </c>
      <c r="F16" s="12" t="s">
        <v>47</v>
      </c>
      <c r="G16" s="16">
        <v>1</v>
      </c>
      <c r="H16" s="16">
        <v>12</v>
      </c>
      <c r="I16" s="65">
        <f t="shared" si="0"/>
        <v>12</v>
      </c>
    </row>
    <row r="17" spans="5:9" ht="38.1" customHeight="1" x14ac:dyDescent="0.25">
      <c r="E17" s="48">
        <v>8</v>
      </c>
      <c r="F17" s="12" t="s">
        <v>49</v>
      </c>
      <c r="G17" s="16">
        <v>15</v>
      </c>
      <c r="H17" s="16">
        <v>1</v>
      </c>
      <c r="I17" s="65">
        <f t="shared" si="0"/>
        <v>15</v>
      </c>
    </row>
    <row r="18" spans="5:9" ht="146.25" customHeight="1" x14ac:dyDescent="0.25">
      <c r="E18" s="66">
        <v>12</v>
      </c>
      <c r="F18" s="47" t="s">
        <v>10</v>
      </c>
      <c r="G18" s="16">
        <f>3+9</f>
        <v>12</v>
      </c>
      <c r="H18" s="16">
        <v>2.5</v>
      </c>
      <c r="I18" s="65">
        <f t="shared" si="0"/>
        <v>30</v>
      </c>
    </row>
    <row r="19" spans="5:9" ht="84" customHeight="1" x14ac:dyDescent="0.25">
      <c r="E19" s="48">
        <v>13</v>
      </c>
      <c r="F19" s="47" t="s">
        <v>9</v>
      </c>
      <c r="G19" s="16">
        <f>3+9</f>
        <v>12</v>
      </c>
      <c r="H19" s="16">
        <v>1</v>
      </c>
      <c r="I19" s="65">
        <f t="shared" si="0"/>
        <v>12</v>
      </c>
    </row>
    <row r="20" spans="5:9" ht="38.1" customHeight="1" x14ac:dyDescent="0.25">
      <c r="E20" s="48">
        <v>14</v>
      </c>
      <c r="F20" s="12" t="s">
        <v>28</v>
      </c>
      <c r="G20" s="16">
        <v>8</v>
      </c>
      <c r="H20" s="16">
        <v>2.5</v>
      </c>
      <c r="I20" s="65">
        <f t="shared" si="0"/>
        <v>20</v>
      </c>
    </row>
    <row r="21" spans="5:9" ht="63" x14ac:dyDescent="0.25">
      <c r="E21" s="67">
        <v>15</v>
      </c>
      <c r="F21" s="45" t="s">
        <v>51</v>
      </c>
      <c r="G21" s="46">
        <v>20</v>
      </c>
      <c r="H21" s="46">
        <v>1</v>
      </c>
      <c r="I21" s="68">
        <f t="shared" si="0"/>
        <v>20</v>
      </c>
    </row>
    <row r="22" spans="5:9" ht="31.5" x14ac:dyDescent="0.25">
      <c r="E22" s="35">
        <v>16</v>
      </c>
      <c r="F22" s="12" t="s">
        <v>60</v>
      </c>
      <c r="G22" s="17">
        <v>1</v>
      </c>
      <c r="H22" s="17">
        <v>25</v>
      </c>
      <c r="I22" s="36">
        <f t="shared" si="0"/>
        <v>25</v>
      </c>
    </row>
    <row r="23" spans="5:9" ht="32.25" thickBot="1" x14ac:dyDescent="0.3">
      <c r="E23" s="38">
        <v>17</v>
      </c>
      <c r="F23" s="52" t="s">
        <v>52</v>
      </c>
      <c r="G23" s="69">
        <f>J1/2+0.5</f>
        <v>32</v>
      </c>
      <c r="H23" s="69">
        <v>1.25</v>
      </c>
      <c r="I23" s="41">
        <f>ROUND(G23*H23,2)</f>
        <v>40</v>
      </c>
    </row>
    <row r="24" spans="5:9" ht="20.25" hidden="1" x14ac:dyDescent="0.25">
      <c r="E24" s="60">
        <v>18</v>
      </c>
      <c r="F24" s="45"/>
      <c r="G24" s="46"/>
      <c r="H24" s="46"/>
      <c r="I24" s="30">
        <f t="shared" si="0"/>
        <v>0</v>
      </c>
    </row>
    <row r="25" spans="5:9" ht="20.25" hidden="1" x14ac:dyDescent="0.25">
      <c r="E25" s="5">
        <v>19</v>
      </c>
      <c r="F25" s="12"/>
      <c r="G25" s="17"/>
      <c r="H25" s="17"/>
      <c r="I25" s="15">
        <f t="shared" si="0"/>
        <v>0</v>
      </c>
    </row>
    <row r="26" spans="5:9" ht="20.25" hidden="1" x14ac:dyDescent="0.25">
      <c r="E26" s="5">
        <v>20</v>
      </c>
      <c r="F26" s="12"/>
      <c r="G26" s="17"/>
      <c r="H26" s="17"/>
      <c r="I26" s="15">
        <f t="shared" si="0"/>
        <v>0</v>
      </c>
    </row>
    <row r="27" spans="5:9" ht="20.25" hidden="1" x14ac:dyDescent="0.25">
      <c r="E27" s="13">
        <v>21</v>
      </c>
      <c r="F27" s="12"/>
      <c r="G27" s="17"/>
      <c r="H27" s="17"/>
      <c r="I27" s="15">
        <f t="shared" si="0"/>
        <v>0</v>
      </c>
    </row>
    <row r="28" spans="5:9" ht="20.25" hidden="1" x14ac:dyDescent="0.25">
      <c r="E28" s="5">
        <v>22</v>
      </c>
      <c r="F28" s="12"/>
      <c r="G28" s="17"/>
      <c r="H28" s="17"/>
      <c r="I28" s="15">
        <f t="shared" si="0"/>
        <v>0</v>
      </c>
    </row>
    <row r="29" spans="5:9" ht="20.25" hidden="1" x14ac:dyDescent="0.25">
      <c r="E29" s="5">
        <v>23</v>
      </c>
      <c r="F29" s="12"/>
      <c r="G29" s="17"/>
      <c r="H29" s="17"/>
      <c r="I29" s="15">
        <f t="shared" si="0"/>
        <v>0</v>
      </c>
    </row>
    <row r="30" spans="5:9" ht="20.25" hidden="1" x14ac:dyDescent="0.25">
      <c r="E30" s="5">
        <v>24</v>
      </c>
      <c r="F30" s="12"/>
      <c r="G30" s="17"/>
      <c r="H30" s="17"/>
      <c r="I30" s="15">
        <f t="shared" si="0"/>
        <v>0</v>
      </c>
    </row>
    <row r="31" spans="5:9" ht="20.25" hidden="1" x14ac:dyDescent="0.25">
      <c r="E31" s="7">
        <v>25</v>
      </c>
      <c r="F31" s="12"/>
      <c r="G31" s="17"/>
      <c r="H31" s="17"/>
      <c r="I31" s="15">
        <f t="shared" si="0"/>
        <v>0</v>
      </c>
    </row>
    <row r="32" spans="5:9" ht="20.25" hidden="1" x14ac:dyDescent="0.25">
      <c r="E32" s="5">
        <v>26</v>
      </c>
      <c r="F32" s="12"/>
      <c r="G32" s="17"/>
      <c r="H32" s="17"/>
      <c r="I32" s="15">
        <f t="shared" si="0"/>
        <v>0</v>
      </c>
    </row>
    <row r="33" spans="5:9" ht="20.25" hidden="1" x14ac:dyDescent="0.25">
      <c r="E33" s="5">
        <v>27</v>
      </c>
      <c r="F33" s="12"/>
      <c r="G33" s="17"/>
      <c r="H33" s="17"/>
      <c r="I33" s="15">
        <f t="shared" si="0"/>
        <v>0</v>
      </c>
    </row>
    <row r="34" spans="5:9" ht="20.25" hidden="1" x14ac:dyDescent="0.25">
      <c r="E34" s="5">
        <v>28</v>
      </c>
      <c r="F34" s="12"/>
      <c r="G34" s="17"/>
      <c r="H34" s="17"/>
      <c r="I34" s="15">
        <f t="shared" si="0"/>
        <v>0</v>
      </c>
    </row>
    <row r="35" spans="5:9" ht="20.25" hidden="1" x14ac:dyDescent="0.25">
      <c r="E35" s="5">
        <v>29</v>
      </c>
      <c r="F35" s="12"/>
      <c r="G35" s="17"/>
      <c r="H35" s="17"/>
      <c r="I35" s="15">
        <f t="shared" si="0"/>
        <v>0</v>
      </c>
    </row>
    <row r="36" spans="5:9" ht="20.25" hidden="1" x14ac:dyDescent="0.25">
      <c r="E36" s="5">
        <v>30</v>
      </c>
      <c r="F36" s="12"/>
      <c r="G36" s="17"/>
      <c r="H36" s="17"/>
      <c r="I36" s="15">
        <f t="shared" si="0"/>
        <v>0</v>
      </c>
    </row>
    <row r="37" spans="5:9" ht="20.25" hidden="1" x14ac:dyDescent="0.25">
      <c r="E37" s="5">
        <v>31</v>
      </c>
      <c r="F37" s="12"/>
      <c r="G37" s="17"/>
      <c r="H37" s="17"/>
      <c r="I37" s="15">
        <f t="shared" si="0"/>
        <v>0</v>
      </c>
    </row>
    <row r="38" spans="5:9" ht="20.25" hidden="1" x14ac:dyDescent="0.25">
      <c r="E38" s="7">
        <v>32</v>
      </c>
      <c r="F38" s="12"/>
      <c r="G38" s="17"/>
      <c r="H38" s="17"/>
      <c r="I38" s="15">
        <f t="shared" si="0"/>
        <v>0</v>
      </c>
    </row>
    <row r="39" spans="5:9" ht="20.25" hidden="1" x14ac:dyDescent="0.25">
      <c r="E39" s="5">
        <v>33</v>
      </c>
      <c r="F39" s="12"/>
      <c r="G39" s="17"/>
      <c r="H39" s="17"/>
      <c r="I39" s="15">
        <f t="shared" si="0"/>
        <v>0</v>
      </c>
    </row>
    <row r="40" spans="5:9" ht="20.25" hidden="1" x14ac:dyDescent="0.25">
      <c r="E40" s="5">
        <v>34</v>
      </c>
      <c r="F40" s="12"/>
      <c r="G40" s="17"/>
      <c r="H40" s="17"/>
      <c r="I40" s="15">
        <f t="shared" si="0"/>
        <v>0</v>
      </c>
    </row>
    <row r="41" spans="5:9" ht="20.25" hidden="1" x14ac:dyDescent="0.25">
      <c r="E41" s="5">
        <v>35</v>
      </c>
      <c r="F41" s="12"/>
      <c r="G41" s="17"/>
      <c r="H41" s="17"/>
      <c r="I41" s="15">
        <f t="shared" si="0"/>
        <v>0</v>
      </c>
    </row>
    <row r="42" spans="5:9" ht="20.25" hidden="1" x14ac:dyDescent="0.25">
      <c r="E42" s="5">
        <v>36</v>
      </c>
      <c r="F42" s="12"/>
      <c r="G42" s="17"/>
      <c r="H42" s="17"/>
      <c r="I42" s="15">
        <f t="shared" si="0"/>
        <v>0</v>
      </c>
    </row>
    <row r="43" spans="5:9" ht="20.25" hidden="1" x14ac:dyDescent="0.25">
      <c r="E43" s="5">
        <v>37</v>
      </c>
      <c r="F43" s="12"/>
      <c r="G43" s="17"/>
      <c r="H43" s="17"/>
      <c r="I43" s="15">
        <f t="shared" si="0"/>
        <v>0</v>
      </c>
    </row>
    <row r="44" spans="5:9" ht="20.25" hidden="1" x14ac:dyDescent="0.25">
      <c r="E44" s="5">
        <v>38</v>
      </c>
      <c r="F44" s="12"/>
      <c r="G44" s="17"/>
      <c r="H44" s="17"/>
      <c r="I44" s="15">
        <f t="shared" si="0"/>
        <v>0</v>
      </c>
    </row>
    <row r="45" spans="5:9" ht="20.25" hidden="1" x14ac:dyDescent="0.25">
      <c r="E45" s="7">
        <v>39</v>
      </c>
      <c r="F45" s="12"/>
      <c r="G45" s="17"/>
      <c r="H45" s="17"/>
      <c r="I45" s="15">
        <f t="shared" si="0"/>
        <v>0</v>
      </c>
    </row>
    <row r="46" spans="5:9" ht="20.25" hidden="1" x14ac:dyDescent="0.25">
      <c r="E46" s="5">
        <v>40</v>
      </c>
      <c r="F46" s="12"/>
      <c r="G46" s="17"/>
      <c r="H46" s="17"/>
      <c r="I46" s="15">
        <f t="shared" si="0"/>
        <v>0</v>
      </c>
    </row>
    <row r="47" spans="5:9" ht="20.25" hidden="1" x14ac:dyDescent="0.25">
      <c r="E47" s="5">
        <v>41</v>
      </c>
      <c r="F47" s="12"/>
      <c r="G47" s="17"/>
      <c r="H47" s="17"/>
      <c r="I47" s="15">
        <f t="shared" si="0"/>
        <v>0</v>
      </c>
    </row>
    <row r="48" spans="5:9" ht="20.25" hidden="1" x14ac:dyDescent="0.25">
      <c r="E48" s="5">
        <v>42</v>
      </c>
      <c r="F48" s="12"/>
      <c r="G48" s="17"/>
      <c r="H48" s="17"/>
      <c r="I48" s="15">
        <f t="shared" si="0"/>
        <v>0</v>
      </c>
    </row>
    <row r="49" spans="5:9" ht="20.25" hidden="1" x14ac:dyDescent="0.25">
      <c r="E49" s="5">
        <v>43</v>
      </c>
      <c r="F49" s="12"/>
      <c r="G49" s="17"/>
      <c r="H49" s="17"/>
      <c r="I49" s="15">
        <f t="shared" si="0"/>
        <v>0</v>
      </c>
    </row>
    <row r="50" spans="5:9" ht="20.25" hidden="1" x14ac:dyDescent="0.25">
      <c r="E50" s="5">
        <v>44</v>
      </c>
      <c r="F50" s="12"/>
      <c r="G50" s="17"/>
      <c r="H50" s="17"/>
      <c r="I50" s="15">
        <f t="shared" si="0"/>
        <v>0</v>
      </c>
    </row>
    <row r="51" spans="5:9" ht="20.25" hidden="1" x14ac:dyDescent="0.25">
      <c r="E51" s="5">
        <v>45</v>
      </c>
      <c r="F51" s="12"/>
      <c r="G51" s="17"/>
      <c r="H51" s="17"/>
      <c r="I51" s="15">
        <f t="shared" si="0"/>
        <v>0</v>
      </c>
    </row>
    <row r="52" spans="5:9" ht="20.25" hidden="1" x14ac:dyDescent="0.25">
      <c r="E52" s="7">
        <v>46</v>
      </c>
      <c r="F52" s="12"/>
      <c r="G52" s="17"/>
      <c r="H52" s="17"/>
      <c r="I52" s="15">
        <f t="shared" si="0"/>
        <v>0</v>
      </c>
    </row>
    <row r="53" spans="5:9" ht="20.25" hidden="1" x14ac:dyDescent="0.25">
      <c r="E53" s="5">
        <v>47</v>
      </c>
      <c r="F53" s="12"/>
      <c r="G53" s="17"/>
      <c r="H53" s="17"/>
      <c r="I53" s="15">
        <f t="shared" si="0"/>
        <v>0</v>
      </c>
    </row>
    <row r="54" spans="5:9" ht="20.25" hidden="1" x14ac:dyDescent="0.25">
      <c r="E54" s="5">
        <v>48</v>
      </c>
      <c r="F54" s="12"/>
      <c r="G54" s="17"/>
      <c r="H54" s="17"/>
      <c r="I54" s="15">
        <f t="shared" si="0"/>
        <v>0</v>
      </c>
    </row>
    <row r="55" spans="5:9" ht="20.25" hidden="1" x14ac:dyDescent="0.25">
      <c r="E55" s="5">
        <v>49</v>
      </c>
      <c r="F55" s="12"/>
      <c r="G55" s="17"/>
      <c r="H55" s="17"/>
      <c r="I55" s="15">
        <f t="shared" si="0"/>
        <v>0</v>
      </c>
    </row>
    <row r="56" spans="5:9" ht="20.25" hidden="1" x14ac:dyDescent="0.25">
      <c r="E56" s="5">
        <v>50</v>
      </c>
      <c r="F56" s="12"/>
      <c r="G56" s="17"/>
      <c r="H56" s="17"/>
      <c r="I56" s="1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78" t="s">
        <v>15</v>
      </c>
      <c r="F59" s="79"/>
      <c r="G59" s="79"/>
      <c r="H59" s="80"/>
      <c r="I59" s="6"/>
    </row>
    <row r="60" spans="5:9" ht="18.75" x14ac:dyDescent="0.25">
      <c r="E60" s="21" t="s">
        <v>0</v>
      </c>
      <c r="F60" s="81" t="s">
        <v>16</v>
      </c>
      <c r="G60" s="82"/>
      <c r="H60" s="22" t="s">
        <v>17</v>
      </c>
      <c r="I60" s="6"/>
    </row>
    <row r="61" spans="5:9" ht="18.75" x14ac:dyDescent="0.25">
      <c r="E61" s="23">
        <v>1</v>
      </c>
      <c r="F61" s="70" t="s">
        <v>22</v>
      </c>
      <c r="G61" s="71"/>
      <c r="H61" s="24">
        <f>J1</f>
        <v>63</v>
      </c>
      <c r="I61" s="6"/>
    </row>
    <row r="62" spans="5:9" ht="18.75" x14ac:dyDescent="0.25">
      <c r="E62" s="23">
        <v>2</v>
      </c>
      <c r="F62" s="70" t="s">
        <v>23</v>
      </c>
      <c r="G62" s="71"/>
      <c r="H62" s="24">
        <f>H61*8</f>
        <v>504</v>
      </c>
      <c r="I62" s="6"/>
    </row>
    <row r="63" spans="5:9" ht="18.75" x14ac:dyDescent="0.25">
      <c r="E63" s="23">
        <v>3</v>
      </c>
      <c r="F63" s="70" t="s">
        <v>24</v>
      </c>
      <c r="G63" s="71"/>
      <c r="H63" s="24">
        <f>SUM(G7:G56)</f>
        <v>296</v>
      </c>
      <c r="I63" s="6"/>
    </row>
    <row r="64" spans="5:9" ht="47.25" customHeight="1" x14ac:dyDescent="0.25">
      <c r="E64" s="23">
        <v>4</v>
      </c>
      <c r="F64" s="70" t="s">
        <v>25</v>
      </c>
      <c r="G64" s="71"/>
      <c r="H64" s="24">
        <f>SUM(I7:I56)</f>
        <v>607.4</v>
      </c>
      <c r="I64" s="6"/>
    </row>
    <row r="65" spans="5:15" ht="18.75" x14ac:dyDescent="0.25">
      <c r="E65" s="23">
        <v>5</v>
      </c>
      <c r="F65" s="70" t="s">
        <v>21</v>
      </c>
      <c r="G65" s="71"/>
      <c r="H65" s="24">
        <f>ROUND(H64/H61,2)</f>
        <v>9.64</v>
      </c>
      <c r="I65" s="6"/>
    </row>
    <row r="66" spans="5:15" ht="19.5" thickBot="1" x14ac:dyDescent="0.3">
      <c r="E66" s="25">
        <v>6</v>
      </c>
      <c r="F66" s="75" t="s">
        <v>26</v>
      </c>
      <c r="G66" s="76"/>
      <c r="H66" s="26">
        <f>H65/(8-3.2)</f>
        <v>2.0083333333333337</v>
      </c>
      <c r="I66" s="6"/>
    </row>
    <row r="67" spans="5:15" ht="34.5" customHeight="1" x14ac:dyDescent="0.3">
      <c r="E67" s="72" t="s">
        <v>18</v>
      </c>
      <c r="F67" s="72"/>
      <c r="G67" s="10"/>
      <c r="H67" s="9"/>
      <c r="I67" s="9"/>
      <c r="O67" s="11"/>
    </row>
    <row r="68" spans="5:15" ht="81" customHeight="1" x14ac:dyDescent="0.25">
      <c r="E68" s="73" t="s">
        <v>53</v>
      </c>
      <c r="F68" s="73"/>
      <c r="G68" s="73"/>
      <c r="H68" s="73"/>
      <c r="I68" s="73"/>
    </row>
    <row r="69" spans="5:15" ht="39" customHeight="1" x14ac:dyDescent="0.3">
      <c r="E69" s="74" t="s">
        <v>11</v>
      </c>
      <c r="F69" s="74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3">
    <mergeCell ref="E69:F69"/>
    <mergeCell ref="F63:G63"/>
    <mergeCell ref="F64:G64"/>
    <mergeCell ref="F65:G65"/>
    <mergeCell ref="F66:G66"/>
    <mergeCell ref="E67:F67"/>
    <mergeCell ref="E68:I68"/>
    <mergeCell ref="F62:G62"/>
    <mergeCell ref="E1:I1"/>
    <mergeCell ref="F4:G4"/>
    <mergeCell ref="E59:H59"/>
    <mergeCell ref="F60:G60"/>
    <mergeCell ref="F61:G61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0"/>
  <sheetViews>
    <sheetView showGridLines="0" tabSelected="1" zoomScale="70" zoomScaleNormal="70" zoomScaleSheetLayoutView="85" workbookViewId="0">
      <selection activeCell="B29" sqref="B29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1" style="2" customWidth="1"/>
    <col min="10" max="10" width="17.28515625" style="2" bestFit="1" customWidth="1"/>
    <col min="11" max="16384" width="9.140625" style="2"/>
  </cols>
  <sheetData>
    <row r="1" spans="5:10" ht="56.25" customHeight="1" x14ac:dyDescent="0.9">
      <c r="E1" s="77" t="s">
        <v>54</v>
      </c>
      <c r="F1" s="77"/>
      <c r="G1" s="77"/>
      <c r="H1" s="77"/>
      <c r="I1" s="77"/>
      <c r="J1" s="19">
        <f>63+117</f>
        <v>180</v>
      </c>
    </row>
    <row r="2" spans="5:10" ht="45" customHeight="1" x14ac:dyDescent="0.25">
      <c r="E2" s="18" t="s">
        <v>6</v>
      </c>
      <c r="F2" s="8" t="s">
        <v>36</v>
      </c>
      <c r="G2" s="1"/>
      <c r="H2" s="1"/>
      <c r="I2" s="1"/>
    </row>
    <row r="3" spans="5:10" ht="35.25" customHeight="1" x14ac:dyDescent="0.25">
      <c r="E3" s="18" t="s">
        <v>7</v>
      </c>
      <c r="F3" s="8" t="s">
        <v>37</v>
      </c>
      <c r="G3" s="1"/>
      <c r="H3" s="1"/>
      <c r="I3" s="1"/>
    </row>
    <row r="4" spans="5:10" ht="35.25" customHeight="1" x14ac:dyDescent="0.25">
      <c r="E4" s="18" t="s">
        <v>2</v>
      </c>
      <c r="F4" s="83" t="str">
        <f>"с 12 января по 28 сентября (" &amp; J1 &amp; " рабочих дней)"</f>
        <v>с 12 января по 28 сентября (180 рабочих дней)</v>
      </c>
      <c r="G4" s="83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89" t="s">
        <v>0</v>
      </c>
      <c r="F6" s="90" t="s">
        <v>8</v>
      </c>
      <c r="G6" s="90" t="s">
        <v>1</v>
      </c>
      <c r="H6" s="91" t="s">
        <v>14</v>
      </c>
      <c r="I6" s="92" t="s">
        <v>20</v>
      </c>
    </row>
    <row r="7" spans="5:10" ht="142.5" customHeight="1" x14ac:dyDescent="0.25">
      <c r="E7" s="48">
        <v>1</v>
      </c>
      <c r="F7" s="12" t="s">
        <v>38</v>
      </c>
      <c r="G7" s="16">
        <f>21+24+25+67</f>
        <v>137</v>
      </c>
      <c r="H7" s="16">
        <v>3</v>
      </c>
      <c r="I7" s="65">
        <f t="shared" ref="I7:I56" si="0">G7*H7</f>
        <v>411</v>
      </c>
    </row>
    <row r="8" spans="5:10" ht="83.25" customHeight="1" x14ac:dyDescent="0.25">
      <c r="E8" s="48">
        <v>2</v>
      </c>
      <c r="F8" s="12" t="s">
        <v>32</v>
      </c>
      <c r="G8" s="16">
        <f>14+23+20</f>
        <v>57</v>
      </c>
      <c r="H8" s="16">
        <v>2.5</v>
      </c>
      <c r="I8" s="65">
        <f t="shared" si="0"/>
        <v>142.5</v>
      </c>
    </row>
    <row r="9" spans="5:10" ht="54.75" customHeight="1" x14ac:dyDescent="0.25">
      <c r="E9" s="48">
        <v>3</v>
      </c>
      <c r="F9" s="12" t="s">
        <v>33</v>
      </c>
      <c r="G9" s="16">
        <f>3+10+10+71-15</f>
        <v>79</v>
      </c>
      <c r="H9" s="16">
        <v>2</v>
      </c>
      <c r="I9" s="65">
        <f t="shared" si="0"/>
        <v>158</v>
      </c>
    </row>
    <row r="10" spans="5:10" ht="53.25" customHeight="1" x14ac:dyDescent="0.25">
      <c r="E10" s="48">
        <v>4</v>
      </c>
      <c r="F10" s="12" t="s">
        <v>45</v>
      </c>
      <c r="G10" s="16">
        <v>1</v>
      </c>
      <c r="H10" s="16">
        <v>30</v>
      </c>
      <c r="I10" s="65">
        <f>G10*H10</f>
        <v>30</v>
      </c>
    </row>
    <row r="11" spans="5:10" ht="38.1" customHeight="1" x14ac:dyDescent="0.25">
      <c r="E11" s="48">
        <v>5</v>
      </c>
      <c r="F11" s="12" t="s">
        <v>46</v>
      </c>
      <c r="G11" s="16">
        <v>3</v>
      </c>
      <c r="H11" s="16">
        <v>20</v>
      </c>
      <c r="I11" s="65">
        <f>G11*H11</f>
        <v>60</v>
      </c>
    </row>
    <row r="12" spans="5:10" ht="38.1" customHeight="1" x14ac:dyDescent="0.25">
      <c r="E12" s="48">
        <v>6</v>
      </c>
      <c r="F12" s="12" t="s">
        <v>44</v>
      </c>
      <c r="G12" s="16">
        <v>1</v>
      </c>
      <c r="H12" s="16">
        <v>20</v>
      </c>
      <c r="I12" s="65">
        <f t="shared" si="0"/>
        <v>20</v>
      </c>
    </row>
    <row r="13" spans="5:10" ht="38.1" customHeight="1" x14ac:dyDescent="0.25">
      <c r="E13" s="48">
        <v>7</v>
      </c>
      <c r="F13" s="12" t="s">
        <v>48</v>
      </c>
      <c r="G13" s="16">
        <f>3+12+10+10</f>
        <v>35</v>
      </c>
      <c r="H13" s="16">
        <v>0.5</v>
      </c>
      <c r="I13" s="65">
        <f t="shared" si="0"/>
        <v>17.5</v>
      </c>
    </row>
    <row r="14" spans="5:10" ht="38.1" customHeight="1" x14ac:dyDescent="0.25">
      <c r="E14" s="48">
        <v>8</v>
      </c>
      <c r="F14" s="12" t="s">
        <v>49</v>
      </c>
      <c r="G14" s="16">
        <f>15+39</f>
        <v>54</v>
      </c>
      <c r="H14" s="16">
        <v>1</v>
      </c>
      <c r="I14" s="65">
        <f>G14*H14</f>
        <v>54</v>
      </c>
    </row>
    <row r="15" spans="5:10" ht="38.1" customHeight="1" x14ac:dyDescent="0.25">
      <c r="E15" s="48">
        <v>9</v>
      </c>
      <c r="F15" s="12" t="s">
        <v>47</v>
      </c>
      <c r="G15" s="16">
        <v>1</v>
      </c>
      <c r="H15" s="16">
        <v>12</v>
      </c>
      <c r="I15" s="65">
        <f>G15*H15</f>
        <v>12</v>
      </c>
    </row>
    <row r="16" spans="5:10" ht="81" customHeight="1" x14ac:dyDescent="0.25">
      <c r="E16" s="48">
        <v>10</v>
      </c>
      <c r="F16" s="12" t="s">
        <v>65</v>
      </c>
      <c r="G16" s="86">
        <v>2</v>
      </c>
      <c r="H16" s="86">
        <v>8</v>
      </c>
      <c r="I16" s="65">
        <f>G16*H16</f>
        <v>16</v>
      </c>
    </row>
    <row r="17" spans="5:9" ht="57" customHeight="1" x14ac:dyDescent="0.25">
      <c r="E17" s="48">
        <v>11</v>
      </c>
      <c r="F17" s="12" t="s">
        <v>63</v>
      </c>
      <c r="G17" s="86">
        <v>20</v>
      </c>
      <c r="H17" s="86">
        <v>4</v>
      </c>
      <c r="I17" s="65">
        <f>G17*H17</f>
        <v>80</v>
      </c>
    </row>
    <row r="18" spans="5:9" ht="38.1" customHeight="1" x14ac:dyDescent="0.25">
      <c r="E18" s="48">
        <v>12</v>
      </c>
      <c r="F18" s="12" t="s">
        <v>31</v>
      </c>
      <c r="G18" s="16">
        <f>13+21</f>
        <v>34</v>
      </c>
      <c r="H18" s="16">
        <v>0.35</v>
      </c>
      <c r="I18" s="65">
        <f t="shared" si="0"/>
        <v>11.899999999999999</v>
      </c>
    </row>
    <row r="19" spans="5:9" ht="38.1" customHeight="1" x14ac:dyDescent="0.25">
      <c r="E19" s="48">
        <v>13</v>
      </c>
      <c r="F19" s="12" t="s">
        <v>42</v>
      </c>
      <c r="G19" s="16">
        <v>1</v>
      </c>
      <c r="H19" s="16">
        <v>4</v>
      </c>
      <c r="I19" s="65">
        <f>G19*H19</f>
        <v>4</v>
      </c>
    </row>
    <row r="20" spans="5:9" ht="38.1" customHeight="1" x14ac:dyDescent="0.25">
      <c r="E20" s="48">
        <v>14</v>
      </c>
      <c r="F20" s="12" t="s">
        <v>62</v>
      </c>
      <c r="G20" s="86">
        <v>24</v>
      </c>
      <c r="H20" s="86">
        <v>0.45</v>
      </c>
      <c r="I20" s="65">
        <f>G20*H20</f>
        <v>10.8</v>
      </c>
    </row>
    <row r="21" spans="5:9" ht="38.1" customHeight="1" x14ac:dyDescent="0.25">
      <c r="E21" s="48">
        <v>15</v>
      </c>
      <c r="F21" s="12" t="s">
        <v>13</v>
      </c>
      <c r="G21" s="86">
        <v>40</v>
      </c>
      <c r="H21" s="86">
        <v>0.5</v>
      </c>
      <c r="I21" s="65">
        <f>G21*H21</f>
        <v>20</v>
      </c>
    </row>
    <row r="22" spans="5:9" ht="97.5" customHeight="1" x14ac:dyDescent="0.25">
      <c r="E22" s="48">
        <v>16</v>
      </c>
      <c r="F22" s="88" t="s">
        <v>64</v>
      </c>
      <c r="G22" s="86">
        <v>1</v>
      </c>
      <c r="H22" s="86">
        <f>9*8</f>
        <v>72</v>
      </c>
      <c r="I22" s="65">
        <f>G22*H22</f>
        <v>72</v>
      </c>
    </row>
    <row r="23" spans="5:9" ht="156" customHeight="1" x14ac:dyDescent="0.25">
      <c r="E23" s="48">
        <v>17</v>
      </c>
      <c r="F23" s="47" t="s">
        <v>10</v>
      </c>
      <c r="G23" s="16">
        <f>3+9+32</f>
        <v>44</v>
      </c>
      <c r="H23" s="16">
        <v>2.5</v>
      </c>
      <c r="I23" s="65">
        <f>G23*H23</f>
        <v>110</v>
      </c>
    </row>
    <row r="24" spans="5:9" ht="88.5" customHeight="1" x14ac:dyDescent="0.25">
      <c r="E24" s="48">
        <v>18</v>
      </c>
      <c r="F24" s="47" t="s">
        <v>9</v>
      </c>
      <c r="G24" s="16">
        <f>3+9+32</f>
        <v>44</v>
      </c>
      <c r="H24" s="16">
        <v>1.25</v>
      </c>
      <c r="I24" s="65">
        <f>G24*H24</f>
        <v>55</v>
      </c>
    </row>
    <row r="25" spans="5:9" ht="38.1" customHeight="1" x14ac:dyDescent="0.25">
      <c r="E25" s="48">
        <v>19</v>
      </c>
      <c r="F25" s="12" t="s">
        <v>28</v>
      </c>
      <c r="G25" s="16">
        <v>8</v>
      </c>
      <c r="H25" s="16">
        <v>2.5</v>
      </c>
      <c r="I25" s="65">
        <f>G25*H25</f>
        <v>20</v>
      </c>
    </row>
    <row r="26" spans="5:9" ht="78" customHeight="1" x14ac:dyDescent="0.25">
      <c r="E26" s="48">
        <v>20</v>
      </c>
      <c r="F26" s="12" t="s">
        <v>51</v>
      </c>
      <c r="G26" s="17">
        <v>20</v>
      </c>
      <c r="H26" s="17">
        <v>1</v>
      </c>
      <c r="I26" s="65">
        <f>G26*H26</f>
        <v>20</v>
      </c>
    </row>
    <row r="27" spans="5:9" ht="42" customHeight="1" x14ac:dyDescent="0.25">
      <c r="E27" s="48">
        <v>21</v>
      </c>
      <c r="F27" s="12" t="s">
        <v>60</v>
      </c>
      <c r="G27" s="17">
        <v>1</v>
      </c>
      <c r="H27" s="17">
        <v>25</v>
      </c>
      <c r="I27" s="65">
        <f>G27*H27</f>
        <v>25</v>
      </c>
    </row>
    <row r="28" spans="5:9" ht="42.75" customHeight="1" x14ac:dyDescent="0.25">
      <c r="E28" s="48">
        <v>22</v>
      </c>
      <c r="F28" s="12" t="s">
        <v>52</v>
      </c>
      <c r="G28" s="17">
        <f>J1/2</f>
        <v>90</v>
      </c>
      <c r="H28" s="17">
        <v>1.25</v>
      </c>
      <c r="I28" s="65">
        <f>ROUND(G28*H28,2)</f>
        <v>112.5</v>
      </c>
    </row>
    <row r="29" spans="5:9" ht="38.1" customHeight="1" x14ac:dyDescent="0.25">
      <c r="E29" s="48">
        <v>23</v>
      </c>
      <c r="F29" s="12" t="s">
        <v>55</v>
      </c>
      <c r="G29" s="86">
        <f>17*1.2</f>
        <v>20.399999999999999</v>
      </c>
      <c r="H29" s="86">
        <v>4</v>
      </c>
      <c r="I29" s="65">
        <f t="shared" si="0"/>
        <v>81.599999999999994</v>
      </c>
    </row>
    <row r="30" spans="5:9" ht="38.1" customHeight="1" x14ac:dyDescent="0.25">
      <c r="E30" s="48">
        <v>24</v>
      </c>
      <c r="F30" s="12" t="s">
        <v>56</v>
      </c>
      <c r="G30" s="86">
        <v>40</v>
      </c>
      <c r="H30" s="86">
        <v>2</v>
      </c>
      <c r="I30" s="65">
        <f t="shared" si="0"/>
        <v>80</v>
      </c>
    </row>
    <row r="31" spans="5:9" ht="38.1" customHeight="1" x14ac:dyDescent="0.25">
      <c r="E31" s="48">
        <v>25</v>
      </c>
      <c r="F31" s="12" t="s">
        <v>57</v>
      </c>
      <c r="G31" s="86">
        <v>18</v>
      </c>
      <c r="H31" s="86">
        <v>2</v>
      </c>
      <c r="I31" s="65">
        <f t="shared" si="0"/>
        <v>36</v>
      </c>
    </row>
    <row r="32" spans="5:9" ht="38.1" customHeight="1" x14ac:dyDescent="0.25">
      <c r="E32" s="48">
        <v>26</v>
      </c>
      <c r="F32" s="12" t="s">
        <v>58</v>
      </c>
      <c r="G32" s="86">
        <v>8</v>
      </c>
      <c r="H32" s="86">
        <v>3.5</v>
      </c>
      <c r="I32" s="65">
        <f t="shared" si="0"/>
        <v>28</v>
      </c>
    </row>
    <row r="33" spans="5:9" ht="61.5" customHeight="1" x14ac:dyDescent="0.25">
      <c r="E33" s="48">
        <v>27</v>
      </c>
      <c r="F33" s="12" t="s">
        <v>59</v>
      </c>
      <c r="G33" s="86">
        <v>2</v>
      </c>
      <c r="H33" s="86">
        <v>5</v>
      </c>
      <c r="I33" s="65">
        <f t="shared" si="0"/>
        <v>10</v>
      </c>
    </row>
    <row r="34" spans="5:9" ht="73.5" customHeight="1" thickBot="1" x14ac:dyDescent="0.3">
      <c r="E34" s="48">
        <v>28</v>
      </c>
      <c r="F34" s="52" t="s">
        <v>61</v>
      </c>
      <c r="G34" s="93">
        <v>1</v>
      </c>
      <c r="H34" s="93">
        <v>19</v>
      </c>
      <c r="I34" s="59">
        <f t="shared" si="0"/>
        <v>19</v>
      </c>
    </row>
    <row r="35" spans="5:9" ht="38.1" hidden="1" customHeight="1" x14ac:dyDescent="0.25">
      <c r="E35" s="57">
        <v>29</v>
      </c>
      <c r="F35" s="45"/>
      <c r="G35" s="46"/>
      <c r="H35" s="46"/>
      <c r="I35" s="58">
        <f t="shared" si="0"/>
        <v>0</v>
      </c>
    </row>
    <row r="36" spans="5:9" ht="38.1" hidden="1" customHeight="1" x14ac:dyDescent="0.25">
      <c r="E36" s="84">
        <v>30</v>
      </c>
      <c r="F36" s="12"/>
      <c r="G36" s="17"/>
      <c r="H36" s="17"/>
      <c r="I36" s="85">
        <f t="shared" si="0"/>
        <v>0</v>
      </c>
    </row>
    <row r="37" spans="5:9" ht="38.1" hidden="1" customHeight="1" x14ac:dyDescent="0.25">
      <c r="E37" s="84">
        <v>31</v>
      </c>
      <c r="F37" s="12"/>
      <c r="G37" s="17"/>
      <c r="H37" s="17"/>
      <c r="I37" s="85">
        <f t="shared" si="0"/>
        <v>0</v>
      </c>
    </row>
    <row r="38" spans="5:9" ht="38.1" hidden="1" customHeight="1" x14ac:dyDescent="0.25">
      <c r="E38" s="87">
        <v>32</v>
      </c>
      <c r="F38" s="12"/>
      <c r="G38" s="17"/>
      <c r="H38" s="17"/>
      <c r="I38" s="85">
        <f t="shared" si="0"/>
        <v>0</v>
      </c>
    </row>
    <row r="39" spans="5:9" ht="38.1" hidden="1" customHeight="1" x14ac:dyDescent="0.25">
      <c r="E39" s="84">
        <v>33</v>
      </c>
      <c r="F39" s="12"/>
      <c r="G39" s="17"/>
      <c r="H39" s="17"/>
      <c r="I39" s="85">
        <f t="shared" si="0"/>
        <v>0</v>
      </c>
    </row>
    <row r="40" spans="5:9" ht="38.1" hidden="1" customHeight="1" x14ac:dyDescent="0.25">
      <c r="E40" s="84">
        <v>34</v>
      </c>
      <c r="F40" s="12"/>
      <c r="G40" s="17"/>
      <c r="H40" s="17"/>
      <c r="I40" s="85">
        <f t="shared" si="0"/>
        <v>0</v>
      </c>
    </row>
    <row r="41" spans="5:9" ht="38.1" hidden="1" customHeight="1" x14ac:dyDescent="0.25">
      <c r="E41" s="84">
        <v>35</v>
      </c>
      <c r="F41" s="12"/>
      <c r="G41" s="17"/>
      <c r="H41" s="17"/>
      <c r="I41" s="85">
        <f t="shared" si="0"/>
        <v>0</v>
      </c>
    </row>
    <row r="42" spans="5:9" ht="38.1" hidden="1" customHeight="1" x14ac:dyDescent="0.25">
      <c r="E42" s="84">
        <v>36</v>
      </c>
      <c r="F42" s="12"/>
      <c r="G42" s="17"/>
      <c r="H42" s="17"/>
      <c r="I42" s="85">
        <f t="shared" si="0"/>
        <v>0</v>
      </c>
    </row>
    <row r="43" spans="5:9" ht="38.1" hidden="1" customHeight="1" x14ac:dyDescent="0.25">
      <c r="E43" s="84">
        <v>37</v>
      </c>
      <c r="F43" s="12"/>
      <c r="G43" s="17"/>
      <c r="H43" s="17"/>
      <c r="I43" s="85">
        <f t="shared" si="0"/>
        <v>0</v>
      </c>
    </row>
    <row r="44" spans="5:9" ht="38.1" hidden="1" customHeight="1" x14ac:dyDescent="0.25">
      <c r="E44" s="84">
        <v>38</v>
      </c>
      <c r="F44" s="12"/>
      <c r="G44" s="17"/>
      <c r="H44" s="17"/>
      <c r="I44" s="85">
        <f t="shared" si="0"/>
        <v>0</v>
      </c>
    </row>
    <row r="45" spans="5:9" ht="38.1" hidden="1" customHeight="1" x14ac:dyDescent="0.25">
      <c r="E45" s="87">
        <v>39</v>
      </c>
      <c r="F45" s="12"/>
      <c r="G45" s="17"/>
      <c r="H45" s="17"/>
      <c r="I45" s="85">
        <f t="shared" si="0"/>
        <v>0</v>
      </c>
    </row>
    <row r="46" spans="5:9" ht="38.1" hidden="1" customHeight="1" x14ac:dyDescent="0.25">
      <c r="E46" s="84">
        <v>40</v>
      </c>
      <c r="F46" s="12"/>
      <c r="G46" s="17"/>
      <c r="H46" s="17"/>
      <c r="I46" s="85">
        <f t="shared" si="0"/>
        <v>0</v>
      </c>
    </row>
    <row r="47" spans="5:9" ht="38.1" hidden="1" customHeight="1" x14ac:dyDescent="0.25">
      <c r="E47" s="84">
        <v>41</v>
      </c>
      <c r="F47" s="12"/>
      <c r="G47" s="17"/>
      <c r="H47" s="17"/>
      <c r="I47" s="85">
        <f t="shared" si="0"/>
        <v>0</v>
      </c>
    </row>
    <row r="48" spans="5:9" ht="38.1" hidden="1" customHeight="1" x14ac:dyDescent="0.25">
      <c r="E48" s="84">
        <v>42</v>
      </c>
      <c r="F48" s="12"/>
      <c r="G48" s="17"/>
      <c r="H48" s="17"/>
      <c r="I48" s="85">
        <f t="shared" si="0"/>
        <v>0</v>
      </c>
    </row>
    <row r="49" spans="5:9" ht="38.1" hidden="1" customHeight="1" x14ac:dyDescent="0.25">
      <c r="E49" s="84">
        <v>43</v>
      </c>
      <c r="F49" s="12"/>
      <c r="G49" s="17"/>
      <c r="H49" s="17"/>
      <c r="I49" s="85">
        <f t="shared" si="0"/>
        <v>0</v>
      </c>
    </row>
    <row r="50" spans="5:9" ht="38.1" hidden="1" customHeight="1" x14ac:dyDescent="0.25">
      <c r="E50" s="84">
        <v>44</v>
      </c>
      <c r="F50" s="12"/>
      <c r="G50" s="17"/>
      <c r="H50" s="17"/>
      <c r="I50" s="85">
        <f t="shared" si="0"/>
        <v>0</v>
      </c>
    </row>
    <row r="51" spans="5:9" ht="38.1" hidden="1" customHeight="1" x14ac:dyDescent="0.25">
      <c r="E51" s="84">
        <v>45</v>
      </c>
      <c r="F51" s="12"/>
      <c r="G51" s="17"/>
      <c r="H51" s="17"/>
      <c r="I51" s="85">
        <f t="shared" si="0"/>
        <v>0</v>
      </c>
    </row>
    <row r="52" spans="5:9" ht="38.1" hidden="1" customHeight="1" x14ac:dyDescent="0.25">
      <c r="E52" s="87">
        <v>46</v>
      </c>
      <c r="F52" s="12"/>
      <c r="G52" s="17"/>
      <c r="H52" s="17"/>
      <c r="I52" s="85">
        <f t="shared" si="0"/>
        <v>0</v>
      </c>
    </row>
    <row r="53" spans="5:9" ht="38.1" hidden="1" customHeight="1" x14ac:dyDescent="0.25">
      <c r="E53" s="84">
        <v>47</v>
      </c>
      <c r="F53" s="12"/>
      <c r="G53" s="17"/>
      <c r="H53" s="17"/>
      <c r="I53" s="85">
        <f t="shared" si="0"/>
        <v>0</v>
      </c>
    </row>
    <row r="54" spans="5:9" ht="38.1" hidden="1" customHeight="1" x14ac:dyDescent="0.25">
      <c r="E54" s="84">
        <v>48</v>
      </c>
      <c r="F54" s="12"/>
      <c r="G54" s="17"/>
      <c r="H54" s="17"/>
      <c r="I54" s="85">
        <f t="shared" si="0"/>
        <v>0</v>
      </c>
    </row>
    <row r="55" spans="5:9" ht="38.1" hidden="1" customHeight="1" x14ac:dyDescent="0.25">
      <c r="E55" s="84">
        <v>49</v>
      </c>
      <c r="F55" s="12"/>
      <c r="G55" s="17"/>
      <c r="H55" s="17"/>
      <c r="I55" s="85">
        <f t="shared" si="0"/>
        <v>0</v>
      </c>
    </row>
    <row r="56" spans="5:9" ht="38.1" hidden="1" customHeight="1" x14ac:dyDescent="0.25">
      <c r="E56" s="84">
        <v>50</v>
      </c>
      <c r="F56" s="12"/>
      <c r="G56" s="17"/>
      <c r="H56" s="17"/>
      <c r="I56" s="85">
        <f t="shared" si="0"/>
        <v>0</v>
      </c>
    </row>
    <row r="57" spans="5:9" x14ac:dyDescent="0.25">
      <c r="E57" s="6"/>
      <c r="F57" s="6"/>
      <c r="G57" s="6"/>
      <c r="H57" s="6"/>
      <c r="I57" s="6"/>
    </row>
    <row r="58" spans="5:9" ht="15.75" thickBot="1" x14ac:dyDescent="0.3">
      <c r="E58" s="6"/>
      <c r="F58" s="6"/>
      <c r="G58" s="6"/>
      <c r="H58" s="6"/>
      <c r="I58" s="6"/>
    </row>
    <row r="59" spans="5:9" ht="18.75" x14ac:dyDescent="0.25">
      <c r="E59" s="78" t="s">
        <v>15</v>
      </c>
      <c r="F59" s="79"/>
      <c r="G59" s="79"/>
      <c r="H59" s="80"/>
      <c r="I59" s="6"/>
    </row>
    <row r="60" spans="5:9" ht="18.75" x14ac:dyDescent="0.25">
      <c r="E60" s="21" t="s">
        <v>0</v>
      </c>
      <c r="F60" s="81" t="s">
        <v>16</v>
      </c>
      <c r="G60" s="82"/>
      <c r="H60" s="22" t="s">
        <v>17</v>
      </c>
      <c r="I60" s="6"/>
    </row>
    <row r="61" spans="5:9" ht="18.75" x14ac:dyDescent="0.25">
      <c r="E61" s="23">
        <v>1</v>
      </c>
      <c r="F61" s="70" t="s">
        <v>22</v>
      </c>
      <c r="G61" s="71"/>
      <c r="H61" s="24">
        <f>J1</f>
        <v>180</v>
      </c>
      <c r="I61" s="6"/>
    </row>
    <row r="62" spans="5:9" ht="18.75" x14ac:dyDescent="0.25">
      <c r="E62" s="23">
        <v>2</v>
      </c>
      <c r="F62" s="70" t="s">
        <v>23</v>
      </c>
      <c r="G62" s="71"/>
      <c r="H62" s="24">
        <f>H61*8</f>
        <v>1440</v>
      </c>
      <c r="I62" s="6"/>
    </row>
    <row r="63" spans="5:9" ht="18.75" x14ac:dyDescent="0.25">
      <c r="E63" s="23">
        <v>3</v>
      </c>
      <c r="F63" s="70" t="s">
        <v>24</v>
      </c>
      <c r="G63" s="71"/>
      <c r="H63" s="24">
        <f>SUM(G7:G56)</f>
        <v>786.4</v>
      </c>
      <c r="I63" s="6"/>
    </row>
    <row r="64" spans="5:9" ht="47.25" customHeight="1" x14ac:dyDescent="0.25">
      <c r="E64" s="23">
        <v>4</v>
      </c>
      <c r="F64" s="70" t="s">
        <v>25</v>
      </c>
      <c r="G64" s="71"/>
      <c r="H64" s="24">
        <f>SUM(I7:I56)</f>
        <v>1716.8</v>
      </c>
      <c r="I64" s="6"/>
    </row>
    <row r="65" spans="5:15" ht="18.75" x14ac:dyDescent="0.25">
      <c r="E65" s="23">
        <v>5</v>
      </c>
      <c r="F65" s="70" t="s">
        <v>21</v>
      </c>
      <c r="G65" s="71"/>
      <c r="H65" s="24">
        <f>ROUND(H64/H61,2)</f>
        <v>9.5399999999999991</v>
      </c>
      <c r="I65" s="6"/>
    </row>
    <row r="66" spans="5:15" ht="19.5" thickBot="1" x14ac:dyDescent="0.3">
      <c r="E66" s="25">
        <v>6</v>
      </c>
      <c r="F66" s="75" t="s">
        <v>26</v>
      </c>
      <c r="G66" s="76"/>
      <c r="H66" s="26">
        <f>H65/(8-3.3)</f>
        <v>2.0297872340425531</v>
      </c>
      <c r="I66" s="6"/>
    </row>
    <row r="67" spans="5:15" ht="34.5" customHeight="1" x14ac:dyDescent="0.3">
      <c r="E67" s="72" t="s">
        <v>18</v>
      </c>
      <c r="F67" s="72"/>
      <c r="G67" s="10"/>
      <c r="H67" s="9"/>
      <c r="I67" s="9"/>
      <c r="O67" s="11"/>
    </row>
    <row r="68" spans="5:15" ht="81" customHeight="1" x14ac:dyDescent="0.25">
      <c r="E68" s="73" t="s">
        <v>66</v>
      </c>
      <c r="F68" s="73"/>
      <c r="G68" s="73"/>
      <c r="H68" s="73"/>
      <c r="I68" s="73"/>
    </row>
    <row r="69" spans="5:15" ht="39" customHeight="1" x14ac:dyDescent="0.3">
      <c r="E69" s="74" t="s">
        <v>11</v>
      </c>
      <c r="F69" s="74"/>
      <c r="G69" s="6"/>
      <c r="H69" s="6"/>
      <c r="I69" s="6"/>
    </row>
    <row r="70" spans="5:15" x14ac:dyDescent="0.25">
      <c r="E70" s="6"/>
      <c r="F70" s="6"/>
      <c r="G70" s="6"/>
      <c r="H70" s="6"/>
      <c r="I70" s="6"/>
    </row>
  </sheetData>
  <mergeCells count="13">
    <mergeCell ref="F62:G62"/>
    <mergeCell ref="E1:I1"/>
    <mergeCell ref="F4:G4"/>
    <mergeCell ref="E59:H59"/>
    <mergeCell ref="F60:G60"/>
    <mergeCell ref="F61:G61"/>
    <mergeCell ref="E69:F69"/>
    <mergeCell ref="F63:G63"/>
    <mergeCell ref="F64:G64"/>
    <mergeCell ref="F65:G65"/>
    <mergeCell ref="F66:G66"/>
    <mergeCell ref="E67:F67"/>
    <mergeCell ref="E68:I68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июль</vt:lpstr>
      <vt:lpstr>август</vt:lpstr>
      <vt:lpstr>сентябрь</vt:lpstr>
      <vt:lpstr>3-ий квартал</vt:lpstr>
      <vt:lpstr>за 9 месяцев</vt:lpstr>
      <vt:lpstr>'3-ий квартал'!Область_печати</vt:lpstr>
      <vt:lpstr>август!Область_печати</vt:lpstr>
      <vt:lpstr>'за 9 месяцев'!Область_печати</vt:lpstr>
      <vt:lpstr>июль!Область_печати</vt:lpstr>
      <vt:lpstr>сентябрь!Область_печати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2026-09-27T08:52:14Z</dcterms:modified>
</cp:coreProperties>
</file>