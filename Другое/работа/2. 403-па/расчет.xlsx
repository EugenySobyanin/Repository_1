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13395" windowHeight="12090"/>
  </bookViews>
  <sheets>
    <sheet name="Титульный лист" sheetId="5" r:id="rId1"/>
    <sheet name="Ремонт (усовершенствованное)" sheetId="4" r:id="rId2"/>
    <sheet name="Лист1" sheetId="1" r:id="rId3"/>
    <sheet name="Расчет" sheetId="2" r:id="rId4"/>
    <sheet name="Лист3" sheetId="3" r:id="rId5"/>
  </sheets>
  <calcPr calcId="125725"/>
</workbook>
</file>

<file path=xl/calcChain.xml><?xml version="1.0" encoding="utf-8"?>
<calcChain xmlns="http://schemas.openxmlformats.org/spreadsheetml/2006/main">
  <c r="B12" i="3"/>
  <c r="C12"/>
  <c r="D12"/>
  <c r="E12"/>
  <c r="C11"/>
  <c r="D11"/>
  <c r="E11"/>
  <c r="B10"/>
  <c r="C10"/>
  <c r="D10"/>
  <c r="H54" i="2"/>
  <c r="H56"/>
  <c r="H49"/>
  <c r="I49" s="1"/>
  <c r="J49" s="1"/>
  <c r="J50" s="1"/>
  <c r="H48"/>
  <c r="I48" s="1"/>
  <c r="J48" s="1"/>
  <c r="H47"/>
  <c r="I47" s="1"/>
  <c r="I45"/>
  <c r="J45" s="1"/>
  <c r="J44"/>
  <c r="I44"/>
  <c r="I46"/>
  <c r="J46" s="1"/>
  <c r="G43"/>
  <c r="H43"/>
  <c r="H63"/>
  <c r="I43" l="1"/>
  <c r="J43" s="1"/>
  <c r="I64"/>
  <c r="J64" s="1"/>
  <c r="I65"/>
  <c r="J65" s="1"/>
  <c r="I66"/>
  <c r="J66" s="1"/>
  <c r="I67"/>
  <c r="J67" s="1"/>
  <c r="H64"/>
  <c r="I63" l="1"/>
  <c r="J63" s="1"/>
  <c r="I62"/>
  <c r="J62" s="1"/>
  <c r="I61"/>
  <c r="J61" s="1"/>
  <c r="I58"/>
  <c r="J58" s="1"/>
  <c r="I57"/>
  <c r="J57" s="1"/>
  <c r="I56"/>
  <c r="J56" s="1"/>
  <c r="J55"/>
  <c r="I55"/>
  <c r="I54"/>
  <c r="I53"/>
  <c r="J53" s="1"/>
  <c r="I52"/>
  <c r="J52" s="1"/>
  <c r="J54" l="1"/>
  <c r="J59" s="1"/>
  <c r="J68"/>
  <c r="H12" i="1"/>
  <c r="H11"/>
  <c r="H8"/>
  <c r="H10"/>
  <c r="H9"/>
  <c r="H7"/>
  <c r="H6"/>
</calcChain>
</file>

<file path=xl/sharedStrings.xml><?xml version="1.0" encoding="utf-8"?>
<sst xmlns="http://schemas.openxmlformats.org/spreadsheetml/2006/main" count="158" uniqueCount="88">
  <si>
    <t>Год</t>
  </si>
  <si>
    <t>Категория</t>
  </si>
  <si>
    <t>Объект</t>
  </si>
  <si>
    <t>Протяженность</t>
  </si>
  <si>
    <t>IV</t>
  </si>
  <si>
    <t>Стоимость</t>
  </si>
  <si>
    <t>№</t>
  </si>
  <si>
    <t>Кашин-Фалево</t>
  </si>
  <si>
    <t>Кашин-Фалево-Карабузино</t>
  </si>
  <si>
    <t>Стоимость за км</t>
  </si>
  <si>
    <t>Москва – Рига» - Николо-Пустынь</t>
  </si>
  <si>
    <t>подъезд к д. Коньково</t>
  </si>
  <si>
    <t>Глебово – Дунилово</t>
  </si>
  <si>
    <t>Рамешки-Замытье-Вырец</t>
  </si>
  <si>
    <t>ЕИС</t>
  </si>
  <si>
    <t>https://zakupki.gov.ru/epz/contract/contractCard/common-info.html?reestrNumber=1690500503825000065</t>
  </si>
  <si>
    <t>III</t>
  </si>
  <si>
    <t>https://zakupki.gov.ru/epz/contract/contractCard/common-info.html?reestrNumber=1690500503825000064</t>
  </si>
  <si>
    <t>II</t>
  </si>
  <si>
    <t>Расчет стоимости ремонта и капитального ремонта 1 км автомобильных дорог общего пользования регионального и межмуниципального значения Тверской области (в ценах 2026 года)</t>
  </si>
  <si>
    <t>Ремонт автомобильных дорог с переходных типом покрытия</t>
  </si>
  <si>
    <t>Год выполнения работ</t>
  </si>
  <si>
    <t>Коэффициент дефлятор</t>
  </si>
  <si>
    <t>Стоимость в ценах 2026 года</t>
  </si>
  <si>
    <t>V</t>
  </si>
  <si>
    <t>Заказчик</t>
  </si>
  <si>
    <t>ГКУ "Дирекция ТДФ"</t>
  </si>
  <si>
    <t>-</t>
  </si>
  <si>
    <t xml:space="preserve">2690500901826000018
</t>
  </si>
  <si>
    <t>2690500901826000021</t>
  </si>
  <si>
    <t xml:space="preserve">2690500901826000027
</t>
  </si>
  <si>
    <t>2690500901826000026</t>
  </si>
  <si>
    <t>2690500901826000023</t>
  </si>
  <si>
    <t>Среднее значение (за исключением крайних значений)</t>
  </si>
  <si>
    <t>2690500901826000033</t>
  </si>
  <si>
    <t>2690500901824000017</t>
  </si>
  <si>
    <t>Таблица № 1</t>
  </si>
  <si>
    <t>Значение</t>
  </si>
  <si>
    <t>Основание</t>
  </si>
  <si>
    <t>Индексы-дефляторы, публикуемые Министерством экономического развития Российской Федерации по строке «Инвестиции в основной капитал».</t>
  </si>
  <si>
    <t>II Категория</t>
  </si>
  <si>
    <t>IV Категория</t>
  </si>
  <si>
    <t>V Категория</t>
  </si>
  <si>
    <t>III Категория</t>
  </si>
  <si>
    <t>Реестровый номер контракта на ЕИС</t>
  </si>
  <si>
    <t>Категория дороги</t>
  </si>
  <si>
    <t>Протяженность, км</t>
  </si>
  <si>
    <t>2690500901826000045</t>
  </si>
  <si>
    <t xml:space="preserve">2690500901823000033
</t>
  </si>
  <si>
    <t>https://zakupki.gov.ru/epz/order/notice/zk20/view/documents.html?regNumber=0136500001126001865</t>
  </si>
  <si>
    <t>https://zakupki.gov.ru/epz/order/notice/ea20/view/documents.html?regNumber=0136300003526000045</t>
  </si>
  <si>
    <t>Администрация Кесовогорского муниципального округа Тверской области</t>
  </si>
  <si>
    <t>3692600057726000025</t>
  </si>
  <si>
    <t>3692600057726000010</t>
  </si>
  <si>
    <t>https://zakupki.gov.ru/epz/order/notice/ea20/view/documents.html?regNumber=0136300003526000044</t>
  </si>
  <si>
    <t>Администрация Нелидовского муниципального округа Тверской области</t>
  </si>
  <si>
    <t>3691201231826000057</t>
  </si>
  <si>
    <r>
      <rPr>
        <b/>
        <u/>
        <sz val="12"/>
        <color theme="1"/>
        <rFont val="Times New Roman"/>
        <family val="1"/>
        <charset val="204"/>
      </rPr>
      <t>Методические основы расчета.</t>
    </r>
    <r>
      <rPr>
        <b/>
        <sz val="12"/>
        <color theme="1"/>
        <rFont val="Times New Roman"/>
        <family val="1"/>
        <charset val="204"/>
      </rPr>
      <t xml:space="preserve">
Метод расчета: </t>
    </r>
    <r>
      <rPr>
        <i/>
        <sz val="12"/>
        <color theme="1"/>
        <rFont val="Times New Roman"/>
        <family val="1"/>
        <charset val="204"/>
      </rPr>
      <t>метод усреднения фактической стоимости работ по заключенным государственным контрактам.</t>
    </r>
    <r>
      <rPr>
        <b/>
        <sz val="12"/>
        <color theme="1"/>
        <rFont val="Times New Roman"/>
        <family val="1"/>
        <charset val="204"/>
      </rPr>
      <t xml:space="preserve">
Источник данных: </t>
    </r>
    <r>
      <rPr>
        <i/>
        <sz val="12"/>
        <color theme="1"/>
        <rFont val="Times New Roman"/>
        <family val="1"/>
        <charset val="204"/>
      </rPr>
      <t>Единая информационная система в сфере закупок (ЕИС), реестр контрактов.</t>
    </r>
    <r>
      <rPr>
        <b/>
        <sz val="12"/>
        <color theme="1"/>
        <rFont val="Times New Roman"/>
        <family val="1"/>
        <charset val="204"/>
      </rPr>
      <t xml:space="preserve">
Порядок расчета:
    </t>
    </r>
    <r>
      <rPr>
        <i/>
        <sz val="12"/>
        <color theme="1"/>
        <rFont val="Times New Roman"/>
        <family val="1"/>
        <charset val="204"/>
      </rPr>
      <t>1. По каждому виду работ формируется выборка из 7 объектов-аналогов.
    2. Из выборки исключаются два крайних значения — минимальное и максимальное.
    3. Средняя стоимость работ определяется как среднее арифметическое оставшихся 5 значений.</t>
    </r>
    <r>
      <rPr>
        <b/>
        <sz val="12"/>
        <color theme="1"/>
        <rFont val="Times New Roman"/>
        <family val="1"/>
        <charset val="204"/>
      </rPr>
      <t xml:space="preserve">
Итоговые показатели: </t>
    </r>
    <r>
      <rPr>
        <i/>
        <sz val="12"/>
        <color theme="1"/>
        <rFont val="Times New Roman"/>
        <family val="1"/>
        <charset val="204"/>
      </rPr>
      <t>итоговые показатели расчитаны в текущем уровне цен (2026 год.)</t>
    </r>
    <r>
      <rPr>
        <b/>
        <sz val="12"/>
        <color theme="1"/>
        <rFont val="Times New Roman"/>
        <family val="1"/>
        <charset val="204"/>
      </rPr>
      <t xml:space="preserve">
Порядок пересчета в уровень цен 2026 года:
    </t>
    </r>
    <r>
      <rPr>
        <i/>
        <sz val="12"/>
        <color theme="1"/>
        <rFont val="Times New Roman"/>
        <family val="1"/>
        <charset val="204"/>
      </rPr>
      <t>1. Для каждого выбранного объекта-аналога определяется год выполнения работ.
    2. Рассчитывается период пересчета — количество лет от года выполнения работ до 2026 года.
    3. Для каждого года пересчета применяются индексы-дефляторы, публикуемые Министерством экономического развития Российской Федерации по строке «Инвестиции в основной капитал». Значения индексов-дефляторов приведены в Таблице № 1.
    4. Стоимость работ объекта-аналога последовательно перемножается на индексы-дефляторы за каждый год пересчета и приводится к уровню цен 2026 года.</t>
    </r>
    <r>
      <rPr>
        <b/>
        <sz val="12"/>
        <color theme="1"/>
        <rFont val="Times New Roman"/>
        <family val="1"/>
        <charset val="204"/>
      </rPr>
      <t xml:space="preserve">
</t>
    </r>
  </si>
  <si>
    <t>Таблица № 2</t>
  </si>
  <si>
    <t>Таблица № 3</t>
  </si>
  <si>
    <t>Стоимость контракта, руб.</t>
  </si>
  <si>
    <t>2690500901826000059</t>
  </si>
  <si>
    <t>2690500901824000018</t>
  </si>
  <si>
    <t>Стоимость выполненных работ</t>
  </si>
  <si>
    <t>ОГКУ "Управление дорожного хозяйства и транспорта Белгородской области"</t>
  </si>
  <si>
    <t>2312336140426000179</t>
  </si>
  <si>
    <t>2312336140426000084</t>
  </si>
  <si>
    <t>ФКУ "Упрдор "Москва — Санкт-Петербург"</t>
  </si>
  <si>
    <t>1690500503825000065</t>
  </si>
  <si>
    <t>1690500503825000063</t>
  </si>
  <si>
    <t>2690500901824000016</t>
  </si>
  <si>
    <t>2690500901824000047</t>
  </si>
  <si>
    <t>2690500901823000043</t>
  </si>
  <si>
    <t>Ремонт автомобильных дорог с усовершенствованным типом покрытия</t>
  </si>
  <si>
    <t>Ремонт а/д  с усовершенствованным типом покрытия</t>
  </si>
  <si>
    <t>Расчет нормативов финансовых затрат на содержание, ремонт и капитальный ремонт 1 км автомобильных дорог общего пользования регионального и межмуниципального значения Тверской области (в ценах 2026 года)</t>
  </si>
  <si>
    <t>3. Методика сбора данных</t>
  </si>
  <si>
    <t>3.1. Источник данных. Использованы сведения о заключённых и исполненных государственных контрактах на выполнение работ по содержанию, ремонту и капитальному ремонту автомобильных дорог регионального и межмуниципального значения Тверской области, размещённые в единой информационной системе в сфере закупок (ЕИС), а также данные бухгалтерского учёта заказчика о фактической стоимости исполненных контрактов.
3.2. Период отбора. Для расчёта отобраны контракты, исполненные в [2022–2025] годах. Глубина ретроспективы обусловлена необходимостью накопления достаточной выборки по видам работ и категориям дорог и сопоставимостью состава работ.
3.3. Критерии включения контракта в расчёт:
предмет контракта относится к одному из видов работ: содержание, ремонт (с переходным типом покрытия), ремонт (с усовершенствованным типом покрытия), капитальный ремонт;
контракт исполнен в полном объёме, факт исполнения подтверждён актами приёмки;
в составе контракта (техническое задание, ведомость объёмов, проектная документация) идентифицируемы участок работ, его протяжённость и тип покрытия;
участок работ отнесён к автомобильной дороге соответствующей категории (II, III, IV, V) по данным реестра автомобильных дорог Тверской области (форма 1-ДГ и региональный реестр);
работы выполнялись на дороге, находившейся в нормативном техническом состоянии (для содержания) либо на участке, включённом в программу работ по ремонту/капитальному ремонту.
3.4. Критерии исключения контракта:
контракт расторгнут или исполнен не в полном объёме;
в составе контракта невозможно выделить стоимость работ, относимых к дорожным (например, включены работы по обустройству, не относящиеся к содержанию/ремонту дороги в понимании 257-ФЗ);
участок включает искусственные сооружения, стоимость работ по которым превышает [__]% общей стоимости контракта, — такие контракты учитываются отдельно и не включаются в общую выборку (примечание: при наличии достаточного числа таких контрактов они учитываются как отдельная группа, см. п. 3.6);
контракт содержит работы, финансировавшиеся за счёт средств, не относящихся к дорожному фонду, и их невозможно выделить.
3.5. Определение категории дороги. Категория дороги устанавливается не по карточке контракта (в которой она указывается не всегда), а путём идентификации участка работ по данным реестра автомобильных дорог Тверской области и адресного перечня дорожного фонда. Это обеспечивает полноту и достоверность группировки контрактов по категориям.
3.6. Учёт искусственных сооружений. Работы по ремонту и капитальному ремонту искусственных сооружений (мостов, путепроводов, труб) являются неотъемлемой частью комплекса дорожных работ и не исключаются из расчёта, поскольку отражают реальную структуру затрат на 1 км дороги. При этом для целей сопоставимости удельная стоимость по контрактам, включающим искусственные сооружения, анализируется как в общей выборке, так и отдельно — с целью оценки влияния данного фактора на результат. В расчёте-обосновании приводится сопоставление удельной стоимости по контрактам с искусственными сооружениями и без них.</t>
  </si>
  <si>
    <t>4. Приведение стоимости к единой базе цен</t>
  </si>
  <si>
    <t>.1. Стоимость работ по каждому контракту приведена к ценам [2025] года с применением индексов-дефляторов инвестиций в основной капитал (для ремонта и капитального ремонта) и индексов потребительских цен (для содержания), доведённых Минэкономразвития России и учитываемых при формировании областного бюджета Тверской области, в порядке, аналогичном п. 3 Правил расчёта (приложение 2 к Постановлению № 403-па).
4.2. Формула приведения:
С_прив = С_факт × (И_баз / И_год)
где С_факт — фактическая стоимость контракта; И_год — индекс-дефлятор года исполнения контракта; И_баз — индекс-дефлятор базового года (принят за 1,0).
4.3. Удельная стоимость по контракту определяется как:
Н_к = С_прив / L
где L — протяжённость участка работ, км.</t>
  </si>
  <si>
    <t>5. Обработка выборки и расчёт норматива</t>
  </si>
  <si>
    <t xml:space="preserve">5.1. По каждому виду работ и каждой категории дороги формируется выборка значений Н_к.
5.2. В качестве расчётного показателя принимается медианное значение удельной стоимости, как наиболее устойчивое к выбросам. Дополнительно рассчитываются среднее арифметическое, минимальное и максимальное значения, коэффициент вариации.
5.3. При наличии статистически значимых выбросов (отклонение от медианы более чем на [30]%) соответствующий контракт исключается из выборки с указанием причины в расчёте-обосновании.
5.4. При количестве наблюдений в выборке менее [5] единиц расчётный показатель принимается по медиане имеющейся выборки с обязательным указанием на ограниченность выборки.
</t>
  </si>
  <si>
    <t>О недостаточности данных и применении пропорционального метода</t>
  </si>
  <si>
    <t>6.1. По результатам сбора данных установлено, что выборка контрактов является достаточной для расчёта нормативов по [IV и V] категориям дорог. По [II и III] категориям количество исполненных контрактов, удовлетворяющих критериям п. 3.3, ограничено ([__] ед.), что не позволяет получить статистически устойчивый результат прямым расчётом.
6.2. В отношении позиций с недостаточным объёмом данных применён пропорциональный (вторичный) метод: расчётный норматив определяется путём переноса соотношения нормативов между категориями дорог, сложившегося по действующим нормативам (в ценах 2010 года), на уровень цен базового года, установленный прямым расчётом по категориям с достаточной выборкой.
Формула:
Н(кат. i) = Н(кат. j, расч.) × [Н(кат. i, 2010) / Н(кат. j, 2010)]
где Н(кат. i, 2010) и Н(кат. j, 2010) — нормативы в ценах 2010 года по соответствующим категориям; Н(кат. j, расч.) — норматив, установленный прямым расчётом по категории с достаточной выборкой.
6.3. Применение пропорционального метода является вынужденной мерой, обусловленной объективным отсутствием достаточного количества исполненных контрактов по отдельным категориям дорог. Результаты, полученные данным методом, подлежат уточнению по мере накопления данных о фактической стоимости работ.
6.4. Для позиций, по которым применение пропорционального метода невозможно (отсутствие сопоставимой базы), норматив принимается на уровне действующего с индексацией в порядке п. 2 Правил расчёта, с указанием на это в расчёте-обосновании.</t>
  </si>
  <si>
    <t xml:space="preserve">    1. Назначение расчёта</t>
  </si>
  <si>
    <r>
      <t xml:space="preserve">    Расчёт выполнен в целях актуализации нормативов финансовых затрат, утверждённых Постановлением администрации Тверской области от 17.08.2010 № 403-па (в ценах 2010 года), и определения их уровня</t>
    </r>
    <r>
      <rPr>
        <b/>
        <i/>
        <u/>
        <sz val="12"/>
        <color theme="1"/>
        <rFont val="Times New Roman"/>
        <family val="1"/>
        <charset val="204"/>
      </rPr>
      <t xml:space="preserve"> в ценах 2026 года.
</t>
    </r>
    <r>
      <rPr>
        <i/>
        <sz val="12"/>
        <color theme="1"/>
        <rFont val="Times New Roman"/>
        <family val="1"/>
        <charset val="204"/>
      </rPr>
      <t xml:space="preserve">
    Нормативы финансовых затрат представляют собой удельный показатель стоимости работ (тыс. руб. на 1 км) и применяются для планирования бюджетных ассигнований, а не для определения стоимости конкретного объекта. </t>
    </r>
  </si>
  <si>
    <t xml:space="preserve">    2. Методология расчета</t>
  </si>
  <si>
    <t xml:space="preserve">    В качестве основного принят аналитический метод, основанный на обработке данных о фактической стоимости работ по исполненным контрактам, приведённой к единой базе цен и к сопоставимой расчётной единице (1 км автомобильной дороги соответствующей категории и типа покрытия). Такой подход соответствует экономическому смыслу норматива — средневзвешенной стоимости поддержания 1 км дороги в нормативном состоянии.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</si>
</sst>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0.0"/>
    <numFmt numFmtId="166" formatCode="0.0000"/>
  </numFmts>
  <fonts count="1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u/>
      <sz val="12"/>
      <color rgb="FF0070C0"/>
      <name val="Times New Roman"/>
      <family val="1"/>
      <charset val="204"/>
    </font>
    <font>
      <b/>
      <i/>
      <u/>
      <sz val="12"/>
      <color theme="1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249977111117893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6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3" borderId="0" xfId="0" applyFont="1" applyFill="1"/>
    <xf numFmtId="164" fontId="1" fillId="3" borderId="0" xfId="0" applyNumberFormat="1" applyFont="1" applyFill="1"/>
    <xf numFmtId="0" fontId="2" fillId="0" borderId="0" xfId="1" applyAlignment="1" applyProtection="1">
      <alignment wrapText="1"/>
    </xf>
    <xf numFmtId="0" fontId="0" fillId="4" borderId="0" xfId="0" applyFill="1"/>
    <xf numFmtId="164" fontId="0" fillId="4" borderId="0" xfId="0" applyNumberFormat="1" applyFill="1"/>
    <xf numFmtId="2" fontId="0" fillId="4" borderId="0" xfId="0" applyNumberFormat="1" applyFill="1"/>
    <xf numFmtId="0" fontId="3" fillId="0" borderId="0" xfId="0" applyFont="1" applyAlignment="1">
      <alignment vertical="center" wrapText="1"/>
    </xf>
    <xf numFmtId="0" fontId="4" fillId="2" borderId="0" xfId="0" applyFont="1" applyFill="1"/>
    <xf numFmtId="0" fontId="3" fillId="0" borderId="0" xfId="0" applyFont="1" applyAlignment="1">
      <alignment vertical="top" wrapText="1"/>
    </xf>
    <xf numFmtId="0" fontId="4" fillId="0" borderId="0" xfId="0" applyFont="1" applyAlignment="1"/>
    <xf numFmtId="0" fontId="4" fillId="0" borderId="0" xfId="0" applyFont="1"/>
    <xf numFmtId="0" fontId="4" fillId="0" borderId="4" xfId="0" applyFont="1" applyBorder="1"/>
    <xf numFmtId="0" fontId="4" fillId="0" borderId="0" xfId="0" applyFont="1" applyBorder="1"/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0" fillId="6" borderId="0" xfId="0" applyFill="1"/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4" fillId="6" borderId="3" xfId="0" applyFont="1" applyFill="1" applyBorder="1"/>
    <xf numFmtId="0" fontId="4" fillId="6" borderId="4" xfId="0" applyFont="1" applyFill="1" applyBorder="1"/>
    <xf numFmtId="49" fontId="9" fillId="0" borderId="4" xfId="1" applyNumberFormat="1" applyFont="1" applyBorder="1" applyAlignment="1" applyProtection="1">
      <alignment vertical="center" wrapText="1"/>
    </xf>
    <xf numFmtId="49" fontId="9" fillId="0" borderId="4" xfId="1" applyNumberFormat="1" applyFont="1" applyBorder="1" applyAlignment="1" applyProtection="1">
      <alignment vertical="center"/>
    </xf>
    <xf numFmtId="165" fontId="4" fillId="0" borderId="4" xfId="0" applyNumberFormat="1" applyFont="1" applyBorder="1" applyAlignment="1">
      <alignment horizontal="center" vertical="center"/>
    </xf>
    <xf numFmtId="0" fontId="0" fillId="2" borderId="0" xfId="0" applyFill="1" applyAlignment="1"/>
    <xf numFmtId="164" fontId="4" fillId="0" borderId="4" xfId="0" applyNumberFormat="1" applyFont="1" applyBorder="1" applyAlignment="1">
      <alignment horizontal="right"/>
    </xf>
    <xf numFmtId="166" fontId="4" fillId="0" borderId="4" xfId="0" applyNumberFormat="1" applyFont="1" applyBorder="1" applyAlignment="1">
      <alignment horizontal="center" vertical="center"/>
    </xf>
    <xf numFmtId="0" fontId="2" fillId="0" borderId="4" xfId="1" applyBorder="1" applyAlignment="1" applyProtection="1">
      <alignment horizontal="center" vertical="center" wrapText="1"/>
    </xf>
    <xf numFmtId="164" fontId="0" fillId="2" borderId="0" xfId="0" applyNumberFormat="1" applyFill="1"/>
    <xf numFmtId="0" fontId="4" fillId="0" borderId="4" xfId="0" applyFont="1" applyBorder="1" applyAlignment="1">
      <alignment wrapText="1"/>
    </xf>
    <xf numFmtId="164" fontId="4" fillId="0" borderId="4" xfId="0" applyNumberFormat="1" applyFont="1" applyBorder="1" applyAlignment="1">
      <alignment horizontal="right" vertical="center"/>
    </xf>
    <xf numFmtId="2" fontId="4" fillId="0" borderId="4" xfId="0" applyNumberFormat="1" applyFont="1" applyBorder="1" applyAlignment="1">
      <alignment horizontal="center" vertical="center"/>
    </xf>
    <xf numFmtId="49" fontId="9" fillId="0" borderId="4" xfId="1" applyNumberFormat="1" applyFont="1" applyBorder="1" applyAlignment="1" applyProtection="1">
      <alignment horizontal="center" vertical="center" wrapText="1"/>
    </xf>
    <xf numFmtId="0" fontId="4" fillId="0" borderId="4" xfId="0" applyFont="1" applyBorder="1" applyAlignment="1">
      <alignment horizontal="left" wrapText="1"/>
    </xf>
    <xf numFmtId="0" fontId="4" fillId="0" borderId="4" xfId="0" applyFont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8" fillId="2" borderId="0" xfId="0" applyFont="1" applyFill="1"/>
    <xf numFmtId="0" fontId="8" fillId="2" borderId="0" xfId="0" applyFont="1" applyFill="1" applyAlignment="1">
      <alignment vertical="center"/>
    </xf>
    <xf numFmtId="0" fontId="4" fillId="6" borderId="0" xfId="0" applyFont="1" applyFill="1"/>
    <xf numFmtId="0" fontId="7" fillId="6" borderId="0" xfId="0" applyFont="1" applyFill="1"/>
    <xf numFmtId="0" fontId="4" fillId="0" borderId="0" xfId="0" applyFont="1" applyAlignment="1">
      <alignment horizontal="right"/>
    </xf>
    <xf numFmtId="0" fontId="4" fillId="3" borderId="4" xfId="0" applyFont="1" applyFill="1" applyBorder="1"/>
    <xf numFmtId="164" fontId="3" fillId="3" borderId="4" xfId="0" applyNumberFormat="1" applyFont="1" applyFill="1" applyBorder="1"/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49" fontId="9" fillId="4" borderId="4" xfId="1" applyNumberFormat="1" applyFont="1" applyFill="1" applyBorder="1" applyAlignment="1" applyProtection="1">
      <alignment vertical="center" wrapText="1"/>
    </xf>
    <xf numFmtId="0" fontId="4" fillId="4" borderId="4" xfId="0" applyFont="1" applyFill="1" applyBorder="1" applyAlignment="1">
      <alignment wrapText="1"/>
    </xf>
    <xf numFmtId="164" fontId="4" fillId="4" borderId="4" xfId="0" applyNumberFormat="1" applyFont="1" applyFill="1" applyBorder="1" applyAlignment="1">
      <alignment horizontal="right" vertical="center"/>
    </xf>
    <xf numFmtId="0" fontId="4" fillId="6" borderId="4" xfId="0" applyFont="1" applyFill="1" applyBorder="1" applyAlignment="1">
      <alignment horizontal="center" vertical="center"/>
    </xf>
    <xf numFmtId="49" fontId="9" fillId="6" borderId="4" xfId="1" applyNumberFormat="1" applyFont="1" applyFill="1" applyBorder="1" applyAlignment="1" applyProtection="1">
      <alignment vertical="center" wrapText="1"/>
    </xf>
    <xf numFmtId="164" fontId="4" fillId="6" borderId="4" xfId="0" applyNumberFormat="1" applyFont="1" applyFill="1" applyBorder="1" applyAlignment="1">
      <alignment horizontal="right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8" borderId="19" xfId="0" applyFont="1" applyFill="1" applyBorder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3" fillId="8" borderId="21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wrapText="1"/>
    </xf>
    <xf numFmtId="4" fontId="0" fillId="0" borderId="4" xfId="0" applyNumberFormat="1" applyBorder="1"/>
    <xf numFmtId="10" fontId="0" fillId="0" borderId="4" xfId="0" applyNumberForma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0" fillId="9" borderId="0" xfId="0" applyFill="1"/>
    <xf numFmtId="0" fontId="3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top" wrapText="1"/>
    </xf>
    <xf numFmtId="0" fontId="3" fillId="0" borderId="0" xfId="0" applyFont="1" applyAlignment="1">
      <alignment horizontal="center"/>
    </xf>
    <xf numFmtId="0" fontId="4" fillId="9" borderId="0" xfId="0" applyFont="1" applyFill="1" applyAlignment="1">
      <alignment horizontal="center"/>
    </xf>
    <xf numFmtId="0" fontId="4" fillId="9" borderId="0" xfId="0" applyFont="1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zakupki.gov.ru/epz/contract/contractCard/common-info.html?reestrNumber=1690500503825000064" TargetMode="External"/><Relationship Id="rId1" Type="http://schemas.openxmlformats.org/officeDocument/2006/relationships/hyperlink" Target="https://zakupki.gov.ru/epz/contract/contractCard/common-info.html?reestrNumber=1690500503825000065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zakupki.gov.ru/epz/contract/contractCard/common-info.html?reestrNumber=2690500901824000017" TargetMode="External"/><Relationship Id="rId13" Type="http://schemas.openxmlformats.org/officeDocument/2006/relationships/hyperlink" Target="https://zakupki.gov.ru/epz/contract/contractCard/common-info.html?reestrNumber=3692600057726000010" TargetMode="External"/><Relationship Id="rId18" Type="http://schemas.openxmlformats.org/officeDocument/2006/relationships/hyperlink" Target="https://zakupki.gov.ru/epz/contract/search/results.html?searchString=&amp;orderNumber=0826500000926002864&amp;openMode=USE_DEFAULT_PARAMS&amp;fz44=on&amp;priceFrom=0&amp;priceTo=200000000000&amp;contractStageList=0%2C1%2C2%2C3&amp;budgetaryFunds=on&amp;extraBudgetaryFunds=on" TargetMode="External"/><Relationship Id="rId3" Type="http://schemas.openxmlformats.org/officeDocument/2006/relationships/hyperlink" Target="https://zakupki.gov.ru/epz/contract/contractCard/common-info.html?reestrNumber=2690500901826000027" TargetMode="External"/><Relationship Id="rId21" Type="http://schemas.openxmlformats.org/officeDocument/2006/relationships/hyperlink" Target="https://zakupki.gov.ru/epz/contract/contractCard/common-info.html?reestrNumber=1690500503825000063" TargetMode="External"/><Relationship Id="rId7" Type="http://schemas.openxmlformats.org/officeDocument/2006/relationships/hyperlink" Target="https://zakupki.gov.ru/epz/contract/contractCard/common-info.html?reestrNumber=2690500901826000045" TargetMode="External"/><Relationship Id="rId12" Type="http://schemas.openxmlformats.org/officeDocument/2006/relationships/hyperlink" Target="https://zakupki.gov.ru/epz/contract/contractCard/common-info.html?reestrNumber=3692600057726000025" TargetMode="External"/><Relationship Id="rId17" Type="http://schemas.openxmlformats.org/officeDocument/2006/relationships/hyperlink" Target="https://zakupki.gov.ru/epz/contract/contractCard/common-info.html?reestrNumber=2690500901824000018" TargetMode="External"/><Relationship Id="rId25" Type="http://schemas.openxmlformats.org/officeDocument/2006/relationships/printerSettings" Target="../printerSettings/printerSettings3.bin"/><Relationship Id="rId2" Type="http://schemas.openxmlformats.org/officeDocument/2006/relationships/hyperlink" Target="https://zakupki.gov.ru/epz/contract/contractCard/common-info.html?reestrNumber=2690500901826000021" TargetMode="External"/><Relationship Id="rId16" Type="http://schemas.openxmlformats.org/officeDocument/2006/relationships/hyperlink" Target="https://zakupki.gov.ru/epz/contract/contractCard/common-info.html?reestrNumber=2690500901826000059" TargetMode="External"/><Relationship Id="rId20" Type="http://schemas.openxmlformats.org/officeDocument/2006/relationships/hyperlink" Target="https://zakupki.gov.ru/epz/contract/search/results.html?searchString=&amp;orderNumber=0336100012525000058&amp;openMode=USE_DEFAULT_PARAMS&amp;fz44=on&amp;priceFrom=0&amp;priceTo=200000000000&amp;contractStageList=0%2C1%2C2%2C3&amp;budgetaryFunds=on&amp;extraBudgetaryFunds=on" TargetMode="External"/><Relationship Id="rId1" Type="http://schemas.openxmlformats.org/officeDocument/2006/relationships/hyperlink" Target="https://zakupki.gov.ru/epz/contract/contractCard/common-info.html?reestrNumber=2690500901826000018" TargetMode="External"/><Relationship Id="rId6" Type="http://schemas.openxmlformats.org/officeDocument/2006/relationships/hyperlink" Target="https://zakupki.gov.ru/epz/contract/contractCard/common-info.html?reestrNumber=2690500901826000033" TargetMode="External"/><Relationship Id="rId11" Type="http://schemas.openxmlformats.org/officeDocument/2006/relationships/hyperlink" Target="https://zakupki.gov.ru/epz/order/notice/ea20/view/documents.html?regNumber=0136300003526000045" TargetMode="External"/><Relationship Id="rId24" Type="http://schemas.openxmlformats.org/officeDocument/2006/relationships/hyperlink" Target="https://zakupki.gov.ru/epz/contract/contractCard/common-info.html?reestrNumber=2690500901823000043" TargetMode="External"/><Relationship Id="rId5" Type="http://schemas.openxmlformats.org/officeDocument/2006/relationships/hyperlink" Target="https://zakupki.gov.ru/epz/contract/contractCard/common-info.html?reestrNumber=2690500901826000023" TargetMode="External"/><Relationship Id="rId15" Type="http://schemas.openxmlformats.org/officeDocument/2006/relationships/hyperlink" Target="https://zakupki.gov.ru/epz/contract/contractCard/common-info.html?reestrNumber=3691201231826000057" TargetMode="External"/><Relationship Id="rId23" Type="http://schemas.openxmlformats.org/officeDocument/2006/relationships/hyperlink" Target="https://zakupki.gov.ru/epz/contract/contractCard/common-info.html?reestrNumber=2690500901824000047" TargetMode="External"/><Relationship Id="rId10" Type="http://schemas.openxmlformats.org/officeDocument/2006/relationships/hyperlink" Target="https://zakupki.gov.ru/epz/order/notice/zk20/view/documents.html?regNumber=0136500001126001865" TargetMode="External"/><Relationship Id="rId19" Type="http://schemas.openxmlformats.org/officeDocument/2006/relationships/hyperlink" Target="https://zakupki.gov.ru/epz/contract/contractCard/common-info.html?reestrNumber=2312336140426000084" TargetMode="External"/><Relationship Id="rId4" Type="http://schemas.openxmlformats.org/officeDocument/2006/relationships/hyperlink" Target="https://zakupki.gov.ru/epz/contract/contractCard/common-info.html?reestrNumber=2690500901826000026" TargetMode="External"/><Relationship Id="rId9" Type="http://schemas.openxmlformats.org/officeDocument/2006/relationships/hyperlink" Target="https://zakupki.gov.ru/epz/contract/contractCard/common-info.html?reestrNumber=2690500901823000033" TargetMode="External"/><Relationship Id="rId14" Type="http://schemas.openxmlformats.org/officeDocument/2006/relationships/hyperlink" Target="https://zakupki.gov.ru/epz/order/notice/ea20/view/documents.html?regNumber=0136300003526000044" TargetMode="External"/><Relationship Id="rId22" Type="http://schemas.openxmlformats.org/officeDocument/2006/relationships/hyperlink" Target="https://zakupki.gov.ru/epz/contract/contractCard/common-info.html?reestrNumber=2690500901824000016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abSelected="1" workbookViewId="0">
      <selection activeCell="S15" sqref="S15"/>
    </sheetView>
  </sheetViews>
  <sheetFormatPr defaultRowHeight="15.75"/>
  <cols>
    <col min="1" max="10" width="9.140625" style="95"/>
    <col min="11" max="16384" width="9.140625" style="87"/>
  </cols>
  <sheetData>
    <row r="1" spans="1:10" ht="51.75" customHeight="1">
      <c r="A1" s="88" t="s">
        <v>75</v>
      </c>
      <c r="B1" s="88"/>
      <c r="C1" s="88"/>
      <c r="D1" s="88"/>
      <c r="E1" s="88"/>
      <c r="F1" s="88"/>
      <c r="G1" s="88"/>
      <c r="H1" s="88"/>
      <c r="I1" s="88"/>
      <c r="J1" s="88"/>
    </row>
    <row r="2" spans="1:10" ht="30" customHeight="1">
      <c r="A2" s="90" t="s">
        <v>84</v>
      </c>
      <c r="B2" s="90"/>
      <c r="C2" s="90"/>
      <c r="D2" s="90"/>
      <c r="E2" s="90"/>
      <c r="F2" s="90"/>
      <c r="G2" s="90"/>
      <c r="H2" s="90"/>
      <c r="I2" s="90"/>
      <c r="J2" s="90"/>
    </row>
    <row r="3" spans="1:10" ht="113.25" customHeight="1">
      <c r="A3" s="92" t="s">
        <v>85</v>
      </c>
      <c r="B3" s="92"/>
      <c r="C3" s="92"/>
      <c r="D3" s="92"/>
      <c r="E3" s="92"/>
      <c r="F3" s="92"/>
      <c r="G3" s="92"/>
      <c r="H3" s="92"/>
      <c r="I3" s="92"/>
      <c r="J3" s="92"/>
    </row>
    <row r="4" spans="1:10" ht="31.5" customHeight="1">
      <c r="A4" s="90" t="s">
        <v>86</v>
      </c>
      <c r="B4" s="90"/>
      <c r="C4" s="90"/>
      <c r="D4" s="90"/>
      <c r="E4" s="90"/>
      <c r="F4" s="90"/>
      <c r="G4" s="90"/>
      <c r="H4" s="90"/>
      <c r="I4" s="90"/>
      <c r="J4" s="90"/>
    </row>
    <row r="5" spans="1:10" ht="99" customHeight="1">
      <c r="A5" s="92" t="s">
        <v>87</v>
      </c>
      <c r="B5" s="92"/>
      <c r="C5" s="92"/>
      <c r="D5" s="92"/>
      <c r="E5" s="92"/>
      <c r="F5" s="92"/>
      <c r="G5" s="92"/>
      <c r="H5" s="92"/>
      <c r="I5" s="92"/>
      <c r="J5" s="92"/>
    </row>
    <row r="6" spans="1:10">
      <c r="A6" s="90" t="s">
        <v>76</v>
      </c>
      <c r="B6" s="90"/>
      <c r="C6" s="90"/>
      <c r="D6" s="90"/>
      <c r="E6" s="90"/>
      <c r="F6" s="90"/>
      <c r="G6" s="90"/>
      <c r="H6" s="90"/>
      <c r="I6" s="90"/>
      <c r="J6" s="90"/>
    </row>
    <row r="7" spans="1:10">
      <c r="A7" s="89" t="s">
        <v>77</v>
      </c>
      <c r="B7" s="91"/>
      <c r="C7" s="91"/>
      <c r="D7" s="91"/>
      <c r="E7" s="91"/>
      <c r="F7" s="91"/>
      <c r="G7" s="91"/>
      <c r="H7" s="91"/>
      <c r="I7" s="91"/>
      <c r="J7" s="91"/>
    </row>
    <row r="8" spans="1:10">
      <c r="A8" s="90" t="s">
        <v>78</v>
      </c>
      <c r="B8" s="90"/>
      <c r="C8" s="90"/>
      <c r="D8" s="90"/>
      <c r="E8" s="90"/>
      <c r="F8" s="90"/>
      <c r="G8" s="90"/>
      <c r="H8" s="90"/>
      <c r="I8" s="90"/>
      <c r="J8" s="90"/>
    </row>
    <row r="9" spans="1:10">
      <c r="A9" s="86" t="s">
        <v>79</v>
      </c>
      <c r="B9" s="85"/>
      <c r="C9" s="85"/>
      <c r="D9" s="85"/>
      <c r="E9" s="85"/>
      <c r="F9" s="85"/>
      <c r="G9" s="85"/>
      <c r="H9" s="85"/>
      <c r="I9" s="85"/>
      <c r="J9" s="85"/>
    </row>
    <row r="10" spans="1:10">
      <c r="A10" s="90" t="s">
        <v>80</v>
      </c>
      <c r="B10" s="90"/>
      <c r="C10" s="90"/>
      <c r="D10" s="90"/>
      <c r="E10" s="90"/>
      <c r="F10" s="90"/>
      <c r="G10" s="90"/>
      <c r="H10" s="90"/>
      <c r="I10" s="90"/>
      <c r="J10" s="90"/>
    </row>
    <row r="11" spans="1:10">
      <c r="A11" s="86" t="s">
        <v>81</v>
      </c>
      <c r="B11" s="85"/>
      <c r="C11" s="85"/>
      <c r="D11" s="85"/>
      <c r="E11" s="85"/>
      <c r="F11" s="85"/>
      <c r="G11" s="85"/>
      <c r="H11" s="85"/>
      <c r="I11" s="85"/>
      <c r="J11" s="85"/>
    </row>
    <row r="12" spans="1:10">
      <c r="A12" s="93" t="s">
        <v>82</v>
      </c>
      <c r="B12" s="93"/>
      <c r="C12" s="93"/>
      <c r="D12" s="93"/>
      <c r="E12" s="93"/>
      <c r="F12" s="93"/>
      <c r="G12" s="93"/>
      <c r="H12" s="93"/>
      <c r="I12" s="93"/>
      <c r="J12" s="93"/>
    </row>
    <row r="13" spans="1:10">
      <c r="A13" s="86" t="s">
        <v>83</v>
      </c>
      <c r="B13" s="85"/>
      <c r="C13" s="85"/>
      <c r="D13" s="85"/>
      <c r="E13" s="85"/>
      <c r="F13" s="85"/>
      <c r="G13" s="85"/>
      <c r="H13" s="85"/>
      <c r="I13" s="85"/>
      <c r="J13" s="85"/>
    </row>
    <row r="14" spans="1:10">
      <c r="A14" s="94"/>
      <c r="B14" s="94"/>
      <c r="C14" s="94"/>
      <c r="D14" s="94"/>
      <c r="E14" s="94"/>
      <c r="F14" s="94"/>
      <c r="G14" s="94"/>
      <c r="H14" s="94"/>
      <c r="I14" s="94"/>
      <c r="J14" s="94"/>
    </row>
    <row r="15" spans="1:10">
      <c r="A15" s="94"/>
      <c r="B15" s="94"/>
      <c r="C15" s="94"/>
      <c r="D15" s="94"/>
      <c r="E15" s="94"/>
      <c r="F15" s="94"/>
      <c r="G15" s="94"/>
      <c r="H15" s="94"/>
      <c r="I15" s="94"/>
      <c r="J15" s="94"/>
    </row>
    <row r="16" spans="1:10">
      <c r="A16" s="94"/>
      <c r="B16" s="94"/>
      <c r="C16" s="94"/>
      <c r="D16" s="94"/>
      <c r="E16" s="94"/>
      <c r="F16" s="94"/>
      <c r="G16" s="94"/>
      <c r="H16" s="94"/>
      <c r="I16" s="94"/>
      <c r="J16" s="94"/>
    </row>
    <row r="17" spans="1:10">
      <c r="A17" s="94"/>
      <c r="B17" s="94"/>
      <c r="C17" s="94"/>
      <c r="D17" s="94"/>
      <c r="E17" s="94"/>
      <c r="F17" s="94"/>
      <c r="G17" s="94"/>
      <c r="H17" s="94"/>
      <c r="I17" s="94"/>
      <c r="J17" s="94"/>
    </row>
    <row r="18" spans="1:10">
      <c r="A18" s="94"/>
      <c r="B18" s="94"/>
      <c r="C18" s="94"/>
      <c r="D18" s="94"/>
      <c r="E18" s="94"/>
      <c r="F18" s="94"/>
      <c r="G18" s="94"/>
      <c r="H18" s="94"/>
      <c r="I18" s="94"/>
      <c r="J18" s="94"/>
    </row>
    <row r="19" spans="1:10">
      <c r="A19" s="94"/>
      <c r="B19" s="94"/>
      <c r="C19" s="94"/>
      <c r="D19" s="94"/>
      <c r="E19" s="94"/>
      <c r="F19" s="94"/>
      <c r="G19" s="94"/>
      <c r="H19" s="94"/>
      <c r="I19" s="94"/>
      <c r="J19" s="94"/>
    </row>
    <row r="20" spans="1:10">
      <c r="A20" s="94"/>
      <c r="B20" s="94"/>
      <c r="C20" s="94"/>
      <c r="D20" s="94"/>
      <c r="E20" s="94"/>
      <c r="F20" s="94"/>
      <c r="G20" s="94"/>
      <c r="H20" s="94"/>
      <c r="I20" s="94"/>
      <c r="J20" s="94"/>
    </row>
    <row r="21" spans="1:10">
      <c r="A21" s="94"/>
      <c r="B21" s="94"/>
      <c r="C21" s="94"/>
      <c r="D21" s="94"/>
      <c r="E21" s="94"/>
      <c r="F21" s="94"/>
      <c r="G21" s="94"/>
      <c r="H21" s="94"/>
      <c r="I21" s="94"/>
      <c r="J21" s="94"/>
    </row>
    <row r="22" spans="1:10">
      <c r="A22" s="94"/>
      <c r="B22" s="94"/>
      <c r="C22" s="94"/>
      <c r="D22" s="94"/>
      <c r="E22" s="94"/>
      <c r="F22" s="94"/>
      <c r="G22" s="94"/>
      <c r="H22" s="94"/>
      <c r="I22" s="94"/>
      <c r="J22" s="94"/>
    </row>
    <row r="23" spans="1:10">
      <c r="A23" s="94"/>
      <c r="B23" s="94"/>
      <c r="C23" s="94"/>
      <c r="D23" s="94"/>
      <c r="E23" s="94"/>
      <c r="F23" s="94"/>
      <c r="G23" s="94"/>
      <c r="H23" s="94"/>
      <c r="I23" s="94"/>
      <c r="J23" s="94"/>
    </row>
    <row r="24" spans="1:10">
      <c r="A24" s="94"/>
      <c r="B24" s="94"/>
      <c r="C24" s="94"/>
      <c r="D24" s="94"/>
      <c r="E24" s="94"/>
      <c r="F24" s="94"/>
      <c r="G24" s="94"/>
      <c r="H24" s="94"/>
      <c r="I24" s="94"/>
      <c r="J24" s="94"/>
    </row>
    <row r="25" spans="1:10">
      <c r="A25" s="94"/>
      <c r="B25" s="94"/>
      <c r="C25" s="94"/>
      <c r="D25" s="94"/>
      <c r="E25" s="94"/>
      <c r="F25" s="94"/>
      <c r="G25" s="94"/>
      <c r="H25" s="94"/>
      <c r="I25" s="94"/>
      <c r="J25" s="94"/>
    </row>
    <row r="26" spans="1:10">
      <c r="A26" s="94"/>
      <c r="B26" s="94"/>
      <c r="C26" s="94"/>
      <c r="D26" s="94"/>
      <c r="E26" s="94"/>
      <c r="F26" s="94"/>
      <c r="G26" s="94"/>
      <c r="H26" s="94"/>
      <c r="I26" s="94"/>
      <c r="J26" s="94"/>
    </row>
    <row r="27" spans="1:10">
      <c r="A27" s="94"/>
      <c r="B27" s="94"/>
      <c r="C27" s="94"/>
      <c r="D27" s="94"/>
      <c r="E27" s="94"/>
      <c r="F27" s="94"/>
      <c r="G27" s="94"/>
      <c r="H27" s="94"/>
      <c r="I27" s="94"/>
      <c r="J27" s="94"/>
    </row>
    <row r="28" spans="1:10">
      <c r="A28" s="94"/>
      <c r="B28" s="94"/>
      <c r="C28" s="94"/>
      <c r="D28" s="94"/>
      <c r="E28" s="94"/>
      <c r="F28" s="94"/>
      <c r="G28" s="94"/>
      <c r="H28" s="94"/>
      <c r="I28" s="94"/>
      <c r="J28" s="94"/>
    </row>
    <row r="29" spans="1:10">
      <c r="A29" s="94"/>
      <c r="B29" s="94"/>
      <c r="C29" s="94"/>
      <c r="D29" s="94"/>
      <c r="E29" s="94"/>
      <c r="F29" s="94"/>
      <c r="G29" s="94"/>
      <c r="H29" s="94"/>
      <c r="I29" s="94"/>
      <c r="J29" s="94"/>
    </row>
    <row r="30" spans="1:10">
      <c r="A30" s="94"/>
      <c r="B30" s="94"/>
      <c r="C30" s="94"/>
      <c r="D30" s="94"/>
      <c r="E30" s="94"/>
      <c r="F30" s="94"/>
      <c r="G30" s="94"/>
      <c r="H30" s="94"/>
      <c r="I30" s="94"/>
      <c r="J30" s="94"/>
    </row>
    <row r="31" spans="1:10">
      <c r="A31" s="94"/>
      <c r="B31" s="94"/>
      <c r="C31" s="94"/>
      <c r="D31" s="94"/>
      <c r="E31" s="94"/>
      <c r="F31" s="94"/>
      <c r="G31" s="94"/>
      <c r="H31" s="94"/>
      <c r="I31" s="94"/>
      <c r="J31" s="94"/>
    </row>
    <row r="32" spans="1:10">
      <c r="A32" s="94"/>
      <c r="B32" s="94"/>
      <c r="C32" s="94"/>
      <c r="D32" s="94"/>
      <c r="E32" s="94"/>
      <c r="F32" s="94"/>
      <c r="G32" s="94"/>
      <c r="H32" s="94"/>
      <c r="I32" s="94"/>
      <c r="J32" s="94"/>
    </row>
    <row r="33" spans="1:10">
      <c r="A33" s="94"/>
      <c r="B33" s="94"/>
      <c r="C33" s="94"/>
      <c r="D33" s="94"/>
      <c r="E33" s="94"/>
      <c r="F33" s="94"/>
      <c r="G33" s="94"/>
      <c r="H33" s="94"/>
      <c r="I33" s="94"/>
      <c r="J33" s="94"/>
    </row>
    <row r="34" spans="1:10">
      <c r="A34" s="94"/>
      <c r="B34" s="94"/>
      <c r="C34" s="94"/>
      <c r="D34" s="94"/>
      <c r="E34" s="94"/>
      <c r="F34" s="94"/>
      <c r="G34" s="94"/>
      <c r="H34" s="94"/>
      <c r="I34" s="94"/>
      <c r="J34" s="94"/>
    </row>
    <row r="35" spans="1:10">
      <c r="A35" s="94"/>
      <c r="B35" s="94"/>
      <c r="C35" s="94"/>
      <c r="D35" s="94"/>
      <c r="E35" s="94"/>
      <c r="F35" s="94"/>
      <c r="G35" s="94"/>
      <c r="H35" s="94"/>
      <c r="I35" s="94"/>
      <c r="J35" s="94"/>
    </row>
    <row r="36" spans="1:10">
      <c r="A36" s="94"/>
      <c r="B36" s="94"/>
      <c r="C36" s="94"/>
      <c r="D36" s="94"/>
      <c r="E36" s="94"/>
      <c r="F36" s="94"/>
      <c r="G36" s="94"/>
      <c r="H36" s="94"/>
      <c r="I36" s="94"/>
      <c r="J36" s="94"/>
    </row>
    <row r="37" spans="1:10">
      <c r="A37" s="94"/>
      <c r="B37" s="94"/>
      <c r="C37" s="94"/>
      <c r="D37" s="94"/>
      <c r="E37" s="94"/>
      <c r="F37" s="94"/>
      <c r="G37" s="94"/>
      <c r="H37" s="94"/>
      <c r="I37" s="94"/>
      <c r="J37" s="94"/>
    </row>
    <row r="38" spans="1:10">
      <c r="A38" s="94"/>
      <c r="B38" s="94"/>
      <c r="C38" s="94"/>
      <c r="D38" s="94"/>
      <c r="E38" s="94"/>
      <c r="F38" s="94"/>
      <c r="G38" s="94"/>
      <c r="H38" s="94"/>
      <c r="I38" s="94"/>
      <c r="J38" s="94"/>
    </row>
    <row r="39" spans="1:10">
      <c r="A39" s="94"/>
      <c r="B39" s="94"/>
      <c r="C39" s="94"/>
      <c r="D39" s="94"/>
      <c r="E39" s="94"/>
      <c r="F39" s="94"/>
      <c r="G39" s="94"/>
      <c r="H39" s="94"/>
      <c r="I39" s="94"/>
      <c r="J39" s="94"/>
    </row>
    <row r="40" spans="1:10">
      <c r="A40" s="94"/>
      <c r="B40" s="94"/>
      <c r="C40" s="94"/>
      <c r="D40" s="94"/>
      <c r="E40" s="94"/>
      <c r="F40" s="94"/>
      <c r="G40" s="94"/>
      <c r="H40" s="94"/>
      <c r="I40" s="94"/>
      <c r="J40" s="94"/>
    </row>
    <row r="41" spans="1:10">
      <c r="A41" s="94"/>
      <c r="B41" s="94"/>
      <c r="C41" s="94"/>
      <c r="D41" s="94"/>
      <c r="E41" s="94"/>
      <c r="F41" s="94"/>
      <c r="G41" s="94"/>
      <c r="H41" s="94"/>
      <c r="I41" s="94"/>
      <c r="J41" s="94"/>
    </row>
    <row r="42" spans="1:10">
      <c r="A42" s="94"/>
      <c r="B42" s="94"/>
      <c r="C42" s="94"/>
      <c r="D42" s="94"/>
      <c r="E42" s="94"/>
      <c r="F42" s="94"/>
      <c r="G42" s="94"/>
      <c r="H42" s="94"/>
      <c r="I42" s="94"/>
      <c r="J42" s="94"/>
    </row>
    <row r="43" spans="1:10">
      <c r="A43" s="94"/>
      <c r="B43" s="94"/>
      <c r="C43" s="94"/>
      <c r="D43" s="94"/>
      <c r="E43" s="94"/>
      <c r="F43" s="94"/>
      <c r="G43" s="94"/>
      <c r="H43" s="94"/>
      <c r="I43" s="94"/>
      <c r="J43" s="94"/>
    </row>
    <row r="44" spans="1:10">
      <c r="A44" s="94"/>
      <c r="B44" s="94"/>
      <c r="C44" s="94"/>
      <c r="D44" s="94"/>
      <c r="E44" s="94"/>
      <c r="F44" s="94"/>
      <c r="G44" s="94"/>
      <c r="H44" s="94"/>
      <c r="I44" s="94"/>
      <c r="J44" s="94"/>
    </row>
  </sheetData>
  <mergeCells count="44">
    <mergeCell ref="A40:J40"/>
    <mergeCell ref="A41:J41"/>
    <mergeCell ref="A42:J42"/>
    <mergeCell ref="A43:J43"/>
    <mergeCell ref="A44:J44"/>
    <mergeCell ref="A34:J34"/>
    <mergeCell ref="A35:J35"/>
    <mergeCell ref="A36:J36"/>
    <mergeCell ref="A37:J37"/>
    <mergeCell ref="A38:J38"/>
    <mergeCell ref="A39:J39"/>
    <mergeCell ref="A28:J28"/>
    <mergeCell ref="A29:J29"/>
    <mergeCell ref="A30:J30"/>
    <mergeCell ref="A31:J31"/>
    <mergeCell ref="A32:J32"/>
    <mergeCell ref="A33:J33"/>
    <mergeCell ref="A22:J22"/>
    <mergeCell ref="A23:J23"/>
    <mergeCell ref="A24:J24"/>
    <mergeCell ref="A25:J25"/>
    <mergeCell ref="A26:J26"/>
    <mergeCell ref="A27:J27"/>
    <mergeCell ref="A16:J16"/>
    <mergeCell ref="A17:J17"/>
    <mergeCell ref="A18:J18"/>
    <mergeCell ref="A19:J19"/>
    <mergeCell ref="A20:J20"/>
    <mergeCell ref="A21:J21"/>
    <mergeCell ref="A10:J10"/>
    <mergeCell ref="A11:J11"/>
    <mergeCell ref="A12:J12"/>
    <mergeCell ref="A13:J13"/>
    <mergeCell ref="A14:J14"/>
    <mergeCell ref="A15:J15"/>
    <mergeCell ref="A5:J5"/>
    <mergeCell ref="A6:J6"/>
    <mergeCell ref="A7:J7"/>
    <mergeCell ref="A8:J8"/>
    <mergeCell ref="A9:J9"/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5:H14"/>
  <sheetViews>
    <sheetView workbookViewId="0">
      <selection activeCell="C35" sqref="C35"/>
    </sheetView>
  </sheetViews>
  <sheetFormatPr defaultRowHeight="15"/>
  <cols>
    <col min="2" max="3" width="31.42578125" customWidth="1"/>
    <col min="5" max="5" width="10.85546875" customWidth="1"/>
    <col min="6" max="6" width="17.85546875" customWidth="1"/>
    <col min="7" max="7" width="17.140625" customWidth="1"/>
    <col min="8" max="8" width="18.85546875" customWidth="1"/>
  </cols>
  <sheetData>
    <row r="5" spans="1:8">
      <c r="A5" t="s">
        <v>6</v>
      </c>
      <c r="B5" t="s">
        <v>2</v>
      </c>
      <c r="C5" t="s">
        <v>14</v>
      </c>
      <c r="D5" t="s">
        <v>0</v>
      </c>
      <c r="E5" t="s">
        <v>1</v>
      </c>
      <c r="F5" t="s">
        <v>3</v>
      </c>
      <c r="G5" t="s">
        <v>5</v>
      </c>
      <c r="H5" t="s">
        <v>9</v>
      </c>
    </row>
    <row r="6" spans="1:8">
      <c r="A6">
        <v>1</v>
      </c>
      <c r="B6" t="s">
        <v>7</v>
      </c>
      <c r="D6">
        <v>2026</v>
      </c>
      <c r="E6" t="s">
        <v>4</v>
      </c>
      <c r="F6">
        <v>4.5</v>
      </c>
      <c r="G6" s="1">
        <v>151103108.15000001</v>
      </c>
      <c r="H6" s="1">
        <f t="shared" ref="H6:H11" si="0">G6/F6</f>
        <v>33578468.477777779</v>
      </c>
    </row>
    <row r="7" spans="1:8">
      <c r="A7">
        <v>2</v>
      </c>
      <c r="B7" t="s">
        <v>8</v>
      </c>
      <c r="D7">
        <v>2026</v>
      </c>
      <c r="E7" t="s">
        <v>4</v>
      </c>
      <c r="F7">
        <v>7.5910000000000002</v>
      </c>
      <c r="G7" s="1">
        <v>249176404.43000001</v>
      </c>
      <c r="H7" s="1">
        <f t="shared" si="0"/>
        <v>32825240.999868266</v>
      </c>
    </row>
    <row r="8" spans="1:8">
      <c r="A8">
        <v>3</v>
      </c>
      <c r="B8" s="6" t="s">
        <v>10</v>
      </c>
      <c r="C8" s="6"/>
      <c r="D8" s="6">
        <v>2026</v>
      </c>
      <c r="E8" s="6" t="s">
        <v>4</v>
      </c>
      <c r="F8" s="6">
        <v>3.3</v>
      </c>
      <c r="G8" s="7">
        <v>174751970.80000001</v>
      </c>
      <c r="H8" s="7">
        <f t="shared" si="0"/>
        <v>52955142.666666672</v>
      </c>
    </row>
    <row r="9" spans="1:8">
      <c r="A9">
        <v>4</v>
      </c>
      <c r="B9" s="6" t="s">
        <v>11</v>
      </c>
      <c r="C9" s="6"/>
      <c r="D9" s="6">
        <v>2026</v>
      </c>
      <c r="E9" s="6" t="s">
        <v>4</v>
      </c>
      <c r="F9" s="6">
        <v>0.73699999999999999</v>
      </c>
      <c r="G9" s="7">
        <v>17874025.289999999</v>
      </c>
      <c r="H9" s="7">
        <f t="shared" si="0"/>
        <v>24252408.805970147</v>
      </c>
    </row>
    <row r="10" spans="1:8">
      <c r="A10">
        <v>5</v>
      </c>
      <c r="B10" s="6" t="s">
        <v>12</v>
      </c>
      <c r="C10" s="6"/>
      <c r="D10" s="6">
        <v>2026</v>
      </c>
      <c r="E10" s="6" t="s">
        <v>4</v>
      </c>
      <c r="F10" s="8">
        <v>3</v>
      </c>
      <c r="G10" s="7">
        <v>70253573.689999998</v>
      </c>
      <c r="H10" s="7">
        <f t="shared" si="0"/>
        <v>23417857.896666665</v>
      </c>
    </row>
    <row r="11" spans="1:8">
      <c r="A11">
        <v>6</v>
      </c>
      <c r="B11" t="s">
        <v>13</v>
      </c>
      <c r="D11">
        <v>2026</v>
      </c>
      <c r="E11" t="s">
        <v>4</v>
      </c>
      <c r="F11">
        <v>8.4</v>
      </c>
      <c r="G11" s="1">
        <v>295481259.58999997</v>
      </c>
      <c r="H11" s="1">
        <f t="shared" si="0"/>
        <v>35176340.427380949</v>
      </c>
    </row>
    <row r="12" spans="1:8">
      <c r="B12" s="3"/>
      <c r="C12" s="3"/>
      <c r="D12" s="3"/>
      <c r="E12" s="3"/>
      <c r="F12" s="3"/>
      <c r="G12" s="3"/>
      <c r="H12" s="4">
        <f>AVERAGE(H6:H11)</f>
        <v>33700909.879055083</v>
      </c>
    </row>
    <row r="13" spans="1:8" ht="60">
      <c r="C13" s="5" t="s">
        <v>15</v>
      </c>
      <c r="E13" t="s">
        <v>16</v>
      </c>
    </row>
    <row r="14" spans="1:8" ht="60">
      <c r="C14" s="5" t="s">
        <v>17</v>
      </c>
      <c r="E14" t="s">
        <v>18</v>
      </c>
    </row>
  </sheetData>
  <hyperlinks>
    <hyperlink ref="C13" r:id="rId1"/>
    <hyperlink ref="C14" r:id="rId2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91"/>
  <sheetViews>
    <sheetView showGridLines="0" workbookViewId="0">
      <selection activeCell="B2" sqref="B2:I2"/>
    </sheetView>
  </sheetViews>
  <sheetFormatPr defaultRowHeight="15"/>
  <cols>
    <col min="1" max="1" width="7.140625" style="2" customWidth="1"/>
    <col min="2" max="2" width="24.5703125" style="2" customWidth="1"/>
    <col min="3" max="3" width="34.7109375" style="2" customWidth="1"/>
    <col min="4" max="4" width="12.140625" style="2" customWidth="1"/>
    <col min="5" max="5" width="16" style="2" customWidth="1"/>
    <col min="6" max="6" width="17.7109375" style="2" customWidth="1"/>
    <col min="7" max="7" width="20.7109375" style="2" customWidth="1"/>
    <col min="8" max="8" width="22.5703125" style="2" customWidth="1"/>
    <col min="9" max="10" width="20.7109375" style="2" customWidth="1"/>
    <col min="11" max="11" width="14.140625" style="2" bestFit="1" customWidth="1"/>
    <col min="12" max="16384" width="9.140625" style="2"/>
  </cols>
  <sheetData>
    <row r="1" spans="1:10" ht="66.75" customHeight="1">
      <c r="A1" s="9"/>
      <c r="B1" s="9"/>
      <c r="C1" s="67" t="s">
        <v>19</v>
      </c>
      <c r="D1" s="67"/>
      <c r="E1" s="67"/>
      <c r="F1" s="67"/>
      <c r="G1" s="67"/>
      <c r="H1" s="67"/>
      <c r="I1" s="67"/>
      <c r="J1" s="47"/>
    </row>
    <row r="2" spans="1:10" ht="327.75" customHeight="1">
      <c r="A2" s="11"/>
      <c r="B2" s="68" t="s">
        <v>57</v>
      </c>
      <c r="C2" s="68"/>
      <c r="D2" s="68"/>
      <c r="E2" s="68"/>
      <c r="F2" s="68"/>
      <c r="G2" s="68"/>
      <c r="H2" s="68"/>
      <c r="I2" s="68"/>
      <c r="J2" s="47"/>
    </row>
    <row r="3" spans="1:10" ht="15.75">
      <c r="A3" s="12"/>
      <c r="B3" s="12"/>
      <c r="C3" s="12"/>
      <c r="D3" s="12"/>
      <c r="E3" s="12"/>
      <c r="F3" s="12"/>
      <c r="G3" s="12"/>
      <c r="H3" s="12"/>
      <c r="I3" s="12"/>
      <c r="J3" s="49" t="s">
        <v>36</v>
      </c>
    </row>
    <row r="4" spans="1:10" ht="51" customHeight="1" thickBot="1">
      <c r="A4" s="12"/>
      <c r="B4" s="9"/>
      <c r="C4" s="67" t="s">
        <v>39</v>
      </c>
      <c r="D4" s="67"/>
      <c r="E4" s="67"/>
      <c r="F4" s="67"/>
      <c r="G4" s="67"/>
      <c r="H4" s="67"/>
      <c r="I4" s="67"/>
      <c r="J4" s="47"/>
    </row>
    <row r="5" spans="1:10" ht="15.75">
      <c r="A5" s="18"/>
      <c r="B5" s="18"/>
      <c r="C5" s="16" t="s">
        <v>0</v>
      </c>
      <c r="D5" s="17" t="s">
        <v>37</v>
      </c>
      <c r="E5" s="61" t="s">
        <v>38</v>
      </c>
      <c r="F5" s="61"/>
      <c r="G5" s="61"/>
      <c r="H5" s="62"/>
      <c r="I5" s="13"/>
      <c r="J5" s="48"/>
    </row>
    <row r="6" spans="1:10" ht="15.75">
      <c r="A6" s="18"/>
      <c r="B6" s="18"/>
      <c r="C6" s="52">
        <v>2023</v>
      </c>
      <c r="D6" s="14"/>
      <c r="E6" s="63"/>
      <c r="F6" s="63"/>
      <c r="G6" s="63"/>
      <c r="H6" s="64"/>
      <c r="I6" s="13"/>
      <c r="J6" s="48"/>
    </row>
    <row r="7" spans="1:10" ht="15.75">
      <c r="A7" s="18"/>
      <c r="B7" s="18"/>
      <c r="C7" s="52">
        <v>2024</v>
      </c>
      <c r="D7" s="19">
        <v>1.081</v>
      </c>
      <c r="E7" s="63"/>
      <c r="F7" s="63"/>
      <c r="G7" s="63"/>
      <c r="H7" s="64"/>
      <c r="I7" s="13"/>
      <c r="J7" s="48"/>
    </row>
    <row r="8" spans="1:10" ht="15.75">
      <c r="A8" s="18"/>
      <c r="B8" s="18"/>
      <c r="C8" s="52">
        <v>2025</v>
      </c>
      <c r="D8" s="19">
        <v>1.093</v>
      </c>
      <c r="E8" s="63"/>
      <c r="F8" s="63"/>
      <c r="G8" s="63"/>
      <c r="H8" s="64"/>
      <c r="I8" s="13"/>
      <c r="J8" s="48"/>
    </row>
    <row r="9" spans="1:10" ht="16.5" thickBot="1">
      <c r="A9" s="18"/>
      <c r="B9" s="18"/>
      <c r="C9" s="53">
        <v>2026</v>
      </c>
      <c r="D9" s="20">
        <v>1.0649999999999999</v>
      </c>
      <c r="E9" s="65"/>
      <c r="F9" s="65"/>
      <c r="G9" s="65"/>
      <c r="H9" s="66"/>
      <c r="I9" s="13"/>
      <c r="J9" s="48"/>
    </row>
    <row r="10" spans="1:10" ht="15.75">
      <c r="A10" s="18"/>
      <c r="B10" s="15"/>
      <c r="C10" s="21"/>
      <c r="D10" s="15"/>
      <c r="E10" s="13"/>
      <c r="F10" s="13"/>
      <c r="G10" s="13"/>
      <c r="H10" s="13"/>
      <c r="I10" s="13"/>
      <c r="J10" s="48"/>
    </row>
    <row r="11" spans="1:10" ht="16.5" thickBot="1">
      <c r="A11" s="13"/>
      <c r="B11" s="13"/>
      <c r="C11" s="13"/>
      <c r="D11" s="13"/>
      <c r="E11" s="13"/>
      <c r="F11" s="13"/>
      <c r="G11" s="13"/>
      <c r="H11" s="13"/>
      <c r="I11" s="13"/>
      <c r="J11" s="49" t="s">
        <v>58</v>
      </c>
    </row>
    <row r="12" spans="1:10" ht="37.5" customHeight="1">
      <c r="A12" s="76" t="s">
        <v>20</v>
      </c>
      <c r="B12" s="77"/>
      <c r="C12" s="77"/>
      <c r="D12" s="77"/>
      <c r="E12" s="77"/>
      <c r="F12" s="77"/>
      <c r="G12" s="77"/>
      <c r="H12" s="77"/>
      <c r="I12" s="77"/>
      <c r="J12" s="28"/>
    </row>
    <row r="13" spans="1:10" ht="53.25" customHeight="1">
      <c r="A13" s="26" t="s">
        <v>6</v>
      </c>
      <c r="B13" s="25" t="s">
        <v>44</v>
      </c>
      <c r="C13" s="24" t="s">
        <v>25</v>
      </c>
      <c r="D13" s="25" t="s">
        <v>45</v>
      </c>
      <c r="E13" s="25" t="s">
        <v>21</v>
      </c>
      <c r="F13" s="25" t="s">
        <v>46</v>
      </c>
      <c r="G13" s="25" t="s">
        <v>60</v>
      </c>
      <c r="H13" s="25" t="s">
        <v>22</v>
      </c>
      <c r="I13" s="25" t="s">
        <v>23</v>
      </c>
      <c r="J13" s="27" t="s">
        <v>9</v>
      </c>
    </row>
    <row r="14" spans="1:10" ht="15.75">
      <c r="A14" s="72" t="s">
        <v>41</v>
      </c>
      <c r="B14" s="73"/>
      <c r="C14" s="73"/>
      <c r="D14" s="73"/>
      <c r="E14" s="73"/>
      <c r="F14" s="73"/>
      <c r="G14" s="73"/>
      <c r="H14" s="73"/>
      <c r="I14" s="73"/>
      <c r="J14" s="74"/>
    </row>
    <row r="15" spans="1:10" ht="75">
      <c r="A15" s="23"/>
      <c r="B15" s="36" t="s">
        <v>49</v>
      </c>
      <c r="C15" s="23"/>
      <c r="D15" s="23"/>
      <c r="E15" s="23"/>
      <c r="F15" s="23"/>
      <c r="G15" s="23"/>
      <c r="H15" s="23"/>
      <c r="I15" s="23"/>
      <c r="J15" s="29"/>
    </row>
    <row r="16" spans="1:10" ht="75">
      <c r="A16" s="23"/>
      <c r="B16" s="36" t="s">
        <v>50</v>
      </c>
      <c r="C16" s="23"/>
      <c r="D16" s="23"/>
      <c r="E16" s="23"/>
      <c r="F16" s="23"/>
      <c r="G16" s="23"/>
      <c r="H16" s="23"/>
      <c r="I16" s="23"/>
      <c r="J16" s="29"/>
    </row>
    <row r="17" spans="1:10" ht="75">
      <c r="A17" s="23"/>
      <c r="B17" s="36" t="s">
        <v>54</v>
      </c>
      <c r="C17" s="23"/>
      <c r="D17" s="23"/>
      <c r="E17" s="23"/>
      <c r="F17" s="23"/>
      <c r="G17" s="23"/>
      <c r="H17" s="23"/>
      <c r="I17" s="23"/>
      <c r="J17" s="29"/>
    </row>
    <row r="18" spans="1:10" ht="15.75">
      <c r="A18" s="23"/>
      <c r="B18" s="23"/>
      <c r="C18" s="23"/>
      <c r="D18" s="23"/>
      <c r="E18" s="23"/>
      <c r="F18" s="23"/>
      <c r="G18" s="23"/>
      <c r="H18" s="23"/>
      <c r="I18" s="23"/>
      <c r="J18" s="29"/>
    </row>
    <row r="19" spans="1:10" ht="15.75">
      <c r="A19" s="23"/>
      <c r="B19" s="23"/>
      <c r="C19" s="23"/>
      <c r="D19" s="23"/>
      <c r="E19" s="23"/>
      <c r="F19" s="23"/>
      <c r="G19" s="23"/>
      <c r="H19" s="23"/>
      <c r="I19" s="23"/>
      <c r="J19" s="29"/>
    </row>
    <row r="20" spans="1:10" ht="15.75">
      <c r="A20" s="23"/>
      <c r="B20" s="23"/>
      <c r="C20" s="23"/>
      <c r="D20" s="23"/>
      <c r="E20" s="23"/>
      <c r="F20" s="23"/>
      <c r="G20" s="23"/>
      <c r="H20" s="23"/>
      <c r="I20" s="23"/>
      <c r="J20" s="29"/>
    </row>
    <row r="21" spans="1:10" ht="15.75">
      <c r="A21" s="23"/>
      <c r="B21" s="23"/>
      <c r="C21" s="23"/>
      <c r="D21" s="23"/>
      <c r="E21" s="23"/>
      <c r="F21" s="23"/>
      <c r="G21" s="23"/>
      <c r="H21" s="23"/>
      <c r="I21" s="23"/>
      <c r="J21" s="29"/>
    </row>
    <row r="22" spans="1:10" ht="15.75">
      <c r="A22" s="72" t="s">
        <v>42</v>
      </c>
      <c r="B22" s="73"/>
      <c r="C22" s="73"/>
      <c r="D22" s="73"/>
      <c r="E22" s="73"/>
      <c r="F22" s="73"/>
      <c r="G22" s="73"/>
      <c r="H22" s="73"/>
      <c r="I22" s="73"/>
      <c r="J22" s="74"/>
    </row>
    <row r="23" spans="1:10" ht="15.75">
      <c r="A23" s="23"/>
      <c r="B23" s="23"/>
      <c r="C23" s="23"/>
      <c r="D23" s="23"/>
      <c r="E23" s="23"/>
      <c r="F23" s="23"/>
      <c r="G23" s="23"/>
      <c r="H23" s="23"/>
      <c r="I23" s="23"/>
      <c r="J23" s="29"/>
    </row>
    <row r="24" spans="1:10" ht="15.75">
      <c r="A24" s="23"/>
      <c r="B24" s="23"/>
      <c r="C24" s="23"/>
      <c r="D24" s="23"/>
      <c r="E24" s="23"/>
      <c r="F24" s="23"/>
      <c r="G24" s="23"/>
      <c r="H24" s="23"/>
      <c r="I24" s="23"/>
      <c r="J24" s="29"/>
    </row>
    <row r="25" spans="1:10" ht="15.75">
      <c r="A25" s="23"/>
      <c r="B25" s="23"/>
      <c r="C25" s="23"/>
      <c r="D25" s="23"/>
      <c r="E25" s="23"/>
      <c r="F25" s="23"/>
      <c r="G25" s="23"/>
      <c r="H25" s="23"/>
      <c r="I25" s="23"/>
      <c r="J25" s="29"/>
    </row>
    <row r="26" spans="1:10" ht="15.75">
      <c r="A26" s="23"/>
      <c r="B26" s="23"/>
      <c r="C26" s="23"/>
      <c r="D26" s="23"/>
      <c r="E26" s="23"/>
      <c r="F26" s="23"/>
      <c r="G26" s="23"/>
      <c r="H26" s="23"/>
      <c r="I26" s="23"/>
      <c r="J26" s="29"/>
    </row>
    <row r="27" spans="1:10" ht="15.75">
      <c r="A27" s="23"/>
      <c r="B27" s="23"/>
      <c r="C27" s="23"/>
      <c r="D27" s="23"/>
      <c r="E27" s="23"/>
      <c r="F27" s="23"/>
      <c r="G27" s="23"/>
      <c r="H27" s="23"/>
      <c r="I27" s="23"/>
      <c r="J27" s="29"/>
    </row>
    <row r="28" spans="1:10" ht="15.75">
      <c r="A28" s="23"/>
      <c r="B28" s="23"/>
      <c r="C28" s="23"/>
      <c r="D28" s="23"/>
      <c r="E28" s="23"/>
      <c r="F28" s="23"/>
      <c r="G28" s="23"/>
      <c r="H28" s="23"/>
      <c r="I28" s="23"/>
      <c r="J28" s="29"/>
    </row>
    <row r="29" spans="1:10" ht="15.75">
      <c r="A29" s="23"/>
      <c r="B29" s="23"/>
      <c r="C29" s="23"/>
      <c r="D29" s="23"/>
      <c r="E29" s="23"/>
      <c r="F29" s="23"/>
      <c r="G29" s="23"/>
      <c r="H29" s="23"/>
      <c r="I29" s="23"/>
      <c r="J29" s="29"/>
    </row>
    <row r="30" spans="1:10" ht="15.75">
      <c r="A30" s="23"/>
      <c r="B30" s="23"/>
      <c r="C30" s="23"/>
      <c r="D30" s="23"/>
      <c r="E30" s="23"/>
      <c r="F30" s="23"/>
      <c r="G30" s="23"/>
      <c r="H30" s="23"/>
      <c r="I30" s="23"/>
      <c r="J30" s="29"/>
    </row>
    <row r="31" spans="1:10" ht="57.75" customHeight="1" thickBot="1">
      <c r="A31" s="22"/>
      <c r="B31" s="22"/>
      <c r="C31" s="22"/>
      <c r="D31" s="22"/>
      <c r="E31" s="22"/>
      <c r="F31" s="22"/>
      <c r="G31" s="22"/>
      <c r="H31" s="22"/>
      <c r="I31" s="13"/>
      <c r="J31" s="13" t="s">
        <v>59</v>
      </c>
    </row>
    <row r="32" spans="1:10" ht="51.75" customHeight="1">
      <c r="A32" s="76" t="s">
        <v>73</v>
      </c>
      <c r="B32" s="77"/>
      <c r="C32" s="77"/>
      <c r="D32" s="77"/>
      <c r="E32" s="77"/>
      <c r="F32" s="77"/>
      <c r="G32" s="77"/>
      <c r="H32" s="77"/>
      <c r="I32" s="77"/>
      <c r="J32" s="28"/>
    </row>
    <row r="33" spans="1:14" ht="54" customHeight="1">
      <c r="A33" s="26" t="s">
        <v>6</v>
      </c>
      <c r="B33" s="25" t="s">
        <v>44</v>
      </c>
      <c r="C33" s="24" t="s">
        <v>25</v>
      </c>
      <c r="D33" s="25" t="s">
        <v>45</v>
      </c>
      <c r="E33" s="25" t="s">
        <v>21</v>
      </c>
      <c r="F33" s="25" t="s">
        <v>46</v>
      </c>
      <c r="G33" s="25" t="s">
        <v>63</v>
      </c>
      <c r="H33" s="25" t="s">
        <v>22</v>
      </c>
      <c r="I33" s="25" t="s">
        <v>23</v>
      </c>
      <c r="J33" s="27" t="s">
        <v>9</v>
      </c>
    </row>
    <row r="34" spans="1:14" ht="30" customHeight="1">
      <c r="A34" s="72" t="s">
        <v>40</v>
      </c>
      <c r="B34" s="73"/>
      <c r="C34" s="73"/>
      <c r="D34" s="73"/>
      <c r="E34" s="73"/>
      <c r="F34" s="73"/>
      <c r="G34" s="73"/>
      <c r="H34" s="73"/>
      <c r="I34" s="73"/>
      <c r="J34" s="74"/>
    </row>
    <row r="35" spans="1:14" ht="15.75">
      <c r="A35" s="23"/>
      <c r="B35" s="23"/>
      <c r="C35" s="23"/>
      <c r="D35" s="23"/>
      <c r="E35" s="23"/>
      <c r="F35" s="23"/>
      <c r="G35" s="23"/>
      <c r="H35" s="23"/>
      <c r="I35" s="23"/>
      <c r="J35" s="29"/>
    </row>
    <row r="36" spans="1:14" ht="15.75">
      <c r="A36" s="23"/>
      <c r="B36" s="23"/>
      <c r="C36" s="23"/>
      <c r="D36" s="23"/>
      <c r="E36" s="23"/>
      <c r="F36" s="23"/>
      <c r="G36" s="23"/>
      <c r="H36" s="23"/>
      <c r="I36" s="23"/>
      <c r="J36" s="29"/>
    </row>
    <row r="37" spans="1:14" ht="15.75">
      <c r="A37" s="23"/>
      <c r="B37" s="23"/>
      <c r="C37" s="23"/>
      <c r="D37" s="23"/>
      <c r="E37" s="23"/>
      <c r="F37" s="23"/>
      <c r="G37" s="23"/>
      <c r="H37" s="23"/>
      <c r="I37" s="23"/>
      <c r="J37" s="29"/>
    </row>
    <row r="38" spans="1:14" ht="15.75">
      <c r="A38" s="23"/>
      <c r="B38" s="23"/>
      <c r="C38" s="23"/>
      <c r="D38" s="23"/>
      <c r="E38" s="23"/>
      <c r="F38" s="23"/>
      <c r="G38" s="23"/>
      <c r="H38" s="23"/>
      <c r="I38" s="23"/>
      <c r="J38" s="29"/>
    </row>
    <row r="39" spans="1:14" ht="15.75">
      <c r="A39" s="23"/>
      <c r="B39" s="23"/>
      <c r="C39" s="23"/>
      <c r="D39" s="23"/>
      <c r="E39" s="23"/>
      <c r="F39" s="23"/>
      <c r="G39" s="23"/>
      <c r="H39" s="23"/>
      <c r="I39" s="23"/>
      <c r="J39" s="29"/>
    </row>
    <row r="40" spans="1:14" ht="15.75">
      <c r="A40" s="23"/>
      <c r="B40" s="23"/>
      <c r="C40" s="23"/>
      <c r="D40" s="23"/>
      <c r="E40" s="23"/>
      <c r="F40" s="23"/>
      <c r="G40" s="23"/>
      <c r="H40" s="23"/>
      <c r="I40" s="23"/>
      <c r="J40" s="29"/>
    </row>
    <row r="41" spans="1:14" ht="15.75">
      <c r="A41" s="23"/>
      <c r="B41" s="23"/>
      <c r="C41" s="23"/>
      <c r="D41" s="23"/>
      <c r="E41" s="23"/>
      <c r="F41" s="23"/>
      <c r="G41" s="23"/>
      <c r="H41" s="23"/>
      <c r="I41" s="23"/>
      <c r="J41" s="29"/>
    </row>
    <row r="42" spans="1:14" ht="30" customHeight="1">
      <c r="A42" s="72" t="s">
        <v>43</v>
      </c>
      <c r="B42" s="73"/>
      <c r="C42" s="73"/>
      <c r="D42" s="73"/>
      <c r="E42" s="73"/>
      <c r="F42" s="73"/>
      <c r="G42" s="73"/>
      <c r="H42" s="73"/>
      <c r="I42" s="73"/>
      <c r="J42" s="74"/>
    </row>
    <row r="43" spans="1:14" ht="15.75">
      <c r="A43" s="19">
        <v>1</v>
      </c>
      <c r="B43" s="30" t="s">
        <v>62</v>
      </c>
      <c r="C43" s="14" t="s">
        <v>26</v>
      </c>
      <c r="D43" s="19" t="s">
        <v>16</v>
      </c>
      <c r="E43" s="19">
        <v>2024</v>
      </c>
      <c r="F43" s="19">
        <v>13.56</v>
      </c>
      <c r="G43" s="34">
        <f>304229200.43*1.075</f>
        <v>327046390.46224999</v>
      </c>
      <c r="H43" s="19">
        <f>ROUND(PRODUCT(D8:D9),4)</f>
        <v>1.1639999999999999</v>
      </c>
      <c r="I43" s="34">
        <f>IF(H43&lt;&gt;"-", ROUND(G43*H43,2), G43)</f>
        <v>380681998.5</v>
      </c>
      <c r="J43" s="34">
        <f>ROUND(I43/F43,2)</f>
        <v>28073893.690000001</v>
      </c>
      <c r="N43" s="33"/>
    </row>
    <row r="44" spans="1:14" ht="15.75">
      <c r="A44" s="19">
        <v>2</v>
      </c>
      <c r="B44" s="30" t="s">
        <v>61</v>
      </c>
      <c r="C44" s="14" t="s">
        <v>26</v>
      </c>
      <c r="D44" s="19" t="s">
        <v>16</v>
      </c>
      <c r="E44" s="19">
        <v>2026</v>
      </c>
      <c r="F44" s="19">
        <v>47.453000000000003</v>
      </c>
      <c r="G44" s="34">
        <v>1465314248.1099999</v>
      </c>
      <c r="H44" s="19" t="s">
        <v>27</v>
      </c>
      <c r="I44" s="34">
        <f t="shared" ref="I44:I49" si="0">IF(H44&lt;&gt;"-", ROUND(G44*H44,2), G44)</f>
        <v>1465314248.1099999</v>
      </c>
      <c r="J44" s="34">
        <f t="shared" ref="J44:J49" si="1">ROUND(I44/F44,2)</f>
        <v>30879275.239999998</v>
      </c>
    </row>
    <row r="45" spans="1:14" ht="47.25">
      <c r="A45" s="19">
        <v>3</v>
      </c>
      <c r="B45" s="30" t="s">
        <v>65</v>
      </c>
      <c r="C45" s="38" t="s">
        <v>64</v>
      </c>
      <c r="D45" s="19" t="s">
        <v>16</v>
      </c>
      <c r="E45" s="19">
        <v>2026</v>
      </c>
      <c r="F45" s="19">
        <v>2.5</v>
      </c>
      <c r="G45" s="39">
        <v>105635212.47</v>
      </c>
      <c r="H45" s="19" t="s">
        <v>27</v>
      </c>
      <c r="I45" s="39">
        <f t="shared" si="0"/>
        <v>105635212.47</v>
      </c>
      <c r="J45" s="39">
        <f t="shared" si="1"/>
        <v>42254084.990000002</v>
      </c>
    </row>
    <row r="46" spans="1:14" ht="47.25">
      <c r="A46" s="19">
        <v>4</v>
      </c>
      <c r="B46" s="30" t="s">
        <v>66</v>
      </c>
      <c r="C46" s="38" t="s">
        <v>64</v>
      </c>
      <c r="D46" s="19" t="s">
        <v>16</v>
      </c>
      <c r="E46" s="19">
        <v>2026</v>
      </c>
      <c r="F46" s="19">
        <v>5.9329999999999998</v>
      </c>
      <c r="G46" s="39">
        <v>240591961.66</v>
      </c>
      <c r="H46" s="19" t="s">
        <v>27</v>
      </c>
      <c r="I46" s="39">
        <f t="shared" si="0"/>
        <v>240591961.66</v>
      </c>
      <c r="J46" s="39">
        <f t="shared" si="1"/>
        <v>40551485.189999998</v>
      </c>
    </row>
    <row r="47" spans="1:14" ht="31.5">
      <c r="A47" s="54">
        <v>5</v>
      </c>
      <c r="B47" s="55" t="s">
        <v>68</v>
      </c>
      <c r="C47" s="56" t="s">
        <v>67</v>
      </c>
      <c r="D47" s="54" t="s">
        <v>16</v>
      </c>
      <c r="E47" s="54">
        <v>2025</v>
      </c>
      <c r="F47" s="54">
        <v>4</v>
      </c>
      <c r="G47" s="57">
        <v>67469441</v>
      </c>
      <c r="H47" s="54">
        <f>D9</f>
        <v>1.0649999999999999</v>
      </c>
      <c r="I47" s="57">
        <f t="shared" si="0"/>
        <v>71854954.670000002</v>
      </c>
      <c r="J47" s="57">
        <v>30000000</v>
      </c>
    </row>
    <row r="48" spans="1:14" ht="31.5">
      <c r="A48" s="19">
        <v>6</v>
      </c>
      <c r="B48" s="30" t="s">
        <v>69</v>
      </c>
      <c r="C48" s="38" t="s">
        <v>67</v>
      </c>
      <c r="D48" s="19" t="s">
        <v>16</v>
      </c>
      <c r="E48" s="19">
        <v>2025</v>
      </c>
      <c r="F48" s="19">
        <v>17.327000000000002</v>
      </c>
      <c r="G48" s="39">
        <v>286667413</v>
      </c>
      <c r="H48" s="19">
        <f>D9</f>
        <v>1.0649999999999999</v>
      </c>
      <c r="I48" s="39">
        <f t="shared" si="0"/>
        <v>305300794.85000002</v>
      </c>
      <c r="J48" s="39">
        <f t="shared" si="1"/>
        <v>17619945.449999999</v>
      </c>
    </row>
    <row r="49" spans="1:11" ht="15.75">
      <c r="A49" s="19">
        <v>7</v>
      </c>
      <c r="B49" s="30" t="s">
        <v>72</v>
      </c>
      <c r="C49" s="14" t="s">
        <v>26</v>
      </c>
      <c r="D49" s="19" t="s">
        <v>16</v>
      </c>
      <c r="E49" s="19">
        <v>2024</v>
      </c>
      <c r="F49" s="19">
        <v>18</v>
      </c>
      <c r="G49" s="39">
        <v>377382406.14999998</v>
      </c>
      <c r="H49" s="19">
        <f>ROUND(PRODUCT(D8:D9),4)</f>
        <v>1.1639999999999999</v>
      </c>
      <c r="I49" s="39">
        <f t="shared" si="0"/>
        <v>439273120.75999999</v>
      </c>
      <c r="J49" s="39">
        <f t="shared" si="1"/>
        <v>24404062.260000002</v>
      </c>
    </row>
    <row r="50" spans="1:11" ht="15.75">
      <c r="A50" s="50"/>
      <c r="B50" s="75" t="s">
        <v>33</v>
      </c>
      <c r="C50" s="75"/>
      <c r="D50" s="75"/>
      <c r="E50" s="75"/>
      <c r="F50" s="75"/>
      <c r="G50" s="75"/>
      <c r="H50" s="75"/>
      <c r="I50" s="75"/>
      <c r="J50" s="51">
        <f>(SUM(J43:J49)-MIN(J43:J49)-MAX(J43:J49))/(COUNT(J43:J49)-2)</f>
        <v>30781743.276000001</v>
      </c>
    </row>
    <row r="51" spans="1:11" ht="30" customHeight="1">
      <c r="A51" s="78" t="s">
        <v>41</v>
      </c>
      <c r="B51" s="79"/>
      <c r="C51" s="79"/>
      <c r="D51" s="79"/>
      <c r="E51" s="79"/>
      <c r="F51" s="79"/>
      <c r="G51" s="79"/>
      <c r="H51" s="79"/>
      <c r="I51" s="79"/>
      <c r="J51" s="80"/>
    </row>
    <row r="52" spans="1:11" ht="15.95" customHeight="1">
      <c r="A52" s="19">
        <v>1</v>
      </c>
      <c r="B52" s="30" t="s">
        <v>28</v>
      </c>
      <c r="C52" s="14" t="s">
        <v>26</v>
      </c>
      <c r="D52" s="19" t="s">
        <v>4</v>
      </c>
      <c r="E52" s="19">
        <v>2026</v>
      </c>
      <c r="F52" s="19">
        <v>4.5</v>
      </c>
      <c r="G52" s="34">
        <v>151103108.15000001</v>
      </c>
      <c r="H52" s="19" t="s">
        <v>27</v>
      </c>
      <c r="I52" s="34">
        <f>IF(H52&lt;&gt;"-", ROUND(G52*H52,2), G52)</f>
        <v>151103108.15000001</v>
      </c>
      <c r="J52" s="34">
        <f>ROUND(I52/F52,2)</f>
        <v>33578468.479999997</v>
      </c>
    </row>
    <row r="53" spans="1:11" ht="15.95" customHeight="1">
      <c r="A53" s="19">
        <v>2</v>
      </c>
      <c r="B53" s="30" t="s">
        <v>29</v>
      </c>
      <c r="C53" s="14" t="s">
        <v>26</v>
      </c>
      <c r="D53" s="19" t="s">
        <v>4</v>
      </c>
      <c r="E53" s="19">
        <v>2026</v>
      </c>
      <c r="F53" s="19">
        <v>7.5910000000000002</v>
      </c>
      <c r="G53" s="34">
        <v>249176404.43000001</v>
      </c>
      <c r="H53" s="19" t="s">
        <v>27</v>
      </c>
      <c r="I53" s="34">
        <f t="shared" ref="I53:I58" si="2">IF(H53&lt;&gt;"-", ROUND(G53*H53,2), G53)</f>
        <v>249176404.43000001</v>
      </c>
      <c r="J53" s="34">
        <f t="shared" ref="J53:J58" si="3">ROUND(I53/F53,2)</f>
        <v>32825241</v>
      </c>
    </row>
    <row r="54" spans="1:11" ht="15.95" customHeight="1">
      <c r="A54" s="58">
        <v>3</v>
      </c>
      <c r="B54" s="59" t="s">
        <v>71</v>
      </c>
      <c r="C54" s="29" t="s">
        <v>26</v>
      </c>
      <c r="D54" s="58" t="s">
        <v>4</v>
      </c>
      <c r="E54" s="58">
        <v>2025</v>
      </c>
      <c r="F54" s="58">
        <v>2.1</v>
      </c>
      <c r="G54" s="60">
        <v>57603467.170000002</v>
      </c>
      <c r="H54" s="58">
        <f>D9</f>
        <v>1.0649999999999999</v>
      </c>
      <c r="I54" s="60">
        <f t="shared" si="2"/>
        <v>61347692.539999999</v>
      </c>
      <c r="J54" s="60">
        <f>ROUND(I54/F54,2)</f>
        <v>29213186.920000002</v>
      </c>
    </row>
    <row r="55" spans="1:11" ht="15.95" customHeight="1">
      <c r="A55" s="19">
        <v>4</v>
      </c>
      <c r="B55" s="30" t="s">
        <v>30</v>
      </c>
      <c r="C55" s="14" t="s">
        <v>26</v>
      </c>
      <c r="D55" s="19" t="s">
        <v>4</v>
      </c>
      <c r="E55" s="19">
        <v>2026</v>
      </c>
      <c r="F55" s="19">
        <v>0.73699999999999999</v>
      </c>
      <c r="G55" s="34">
        <v>17874025.289999999</v>
      </c>
      <c r="H55" s="19" t="s">
        <v>27</v>
      </c>
      <c r="I55" s="34">
        <f t="shared" si="2"/>
        <v>17874025.289999999</v>
      </c>
      <c r="J55" s="34">
        <f t="shared" si="3"/>
        <v>24252408.809999999</v>
      </c>
    </row>
    <row r="56" spans="1:11" ht="15.95" customHeight="1">
      <c r="A56" s="58">
        <v>5</v>
      </c>
      <c r="B56" s="59" t="s">
        <v>70</v>
      </c>
      <c r="C56" s="29" t="s">
        <v>26</v>
      </c>
      <c r="D56" s="58" t="s">
        <v>4</v>
      </c>
      <c r="E56" s="58">
        <v>2024</v>
      </c>
      <c r="F56" s="58">
        <v>6.18</v>
      </c>
      <c r="G56" s="60">
        <v>149240000</v>
      </c>
      <c r="H56" s="58">
        <f>ROUND(PRODUCT(D8:D9),4)</f>
        <v>1.1639999999999999</v>
      </c>
      <c r="I56" s="60">
        <f t="shared" si="2"/>
        <v>173715360</v>
      </c>
      <c r="J56" s="60">
        <f t="shared" si="3"/>
        <v>28109281.550000001</v>
      </c>
    </row>
    <row r="57" spans="1:11" ht="15.95" customHeight="1">
      <c r="A57" s="19">
        <v>6</v>
      </c>
      <c r="B57" s="31" t="s">
        <v>31</v>
      </c>
      <c r="C57" s="14" t="s">
        <v>26</v>
      </c>
      <c r="D57" s="19" t="s">
        <v>4</v>
      </c>
      <c r="E57" s="19">
        <v>2026</v>
      </c>
      <c r="F57" s="32">
        <v>3</v>
      </c>
      <c r="G57" s="34">
        <v>70253573.689999998</v>
      </c>
      <c r="H57" s="19" t="s">
        <v>27</v>
      </c>
      <c r="I57" s="34">
        <f t="shared" si="2"/>
        <v>70253573.689999998</v>
      </c>
      <c r="J57" s="34">
        <f t="shared" si="3"/>
        <v>23417857.899999999</v>
      </c>
    </row>
    <row r="58" spans="1:11" ht="15.95" customHeight="1">
      <c r="A58" s="19">
        <v>7</v>
      </c>
      <c r="B58" s="31" t="s">
        <v>32</v>
      </c>
      <c r="C58" s="14" t="s">
        <v>26</v>
      </c>
      <c r="D58" s="19" t="s">
        <v>4</v>
      </c>
      <c r="E58" s="19">
        <v>2026</v>
      </c>
      <c r="F58" s="19">
        <v>40</v>
      </c>
      <c r="G58" s="34">
        <v>1372413853.8099999</v>
      </c>
      <c r="H58" s="19" t="s">
        <v>27</v>
      </c>
      <c r="I58" s="34">
        <f t="shared" si="2"/>
        <v>1372413853.8099999</v>
      </c>
      <c r="J58" s="34">
        <f t="shared" si="3"/>
        <v>34310346.350000001</v>
      </c>
    </row>
    <row r="59" spans="1:11" ht="15.75">
      <c r="A59" s="50"/>
      <c r="B59" s="75" t="s">
        <v>33</v>
      </c>
      <c r="C59" s="75"/>
      <c r="D59" s="75"/>
      <c r="E59" s="75"/>
      <c r="F59" s="75"/>
      <c r="G59" s="75"/>
      <c r="H59" s="75"/>
      <c r="I59" s="75"/>
      <c r="J59" s="51">
        <f>(SUM(J52:J58)-MIN(J52:J58)-MAX(J52:J58))/(COUNT(J52:J58)-2)</f>
        <v>29595717.352000006</v>
      </c>
    </row>
    <row r="60" spans="1:11" ht="30" customHeight="1">
      <c r="A60" s="69" t="s">
        <v>42</v>
      </c>
      <c r="B60" s="70"/>
      <c r="C60" s="70"/>
      <c r="D60" s="70"/>
      <c r="E60" s="70"/>
      <c r="F60" s="70"/>
      <c r="G60" s="70"/>
      <c r="H60" s="70"/>
      <c r="I60" s="70"/>
      <c r="J60" s="71"/>
    </row>
    <row r="61" spans="1:11" ht="15.75">
      <c r="A61" s="19">
        <v>1</v>
      </c>
      <c r="B61" s="30" t="s">
        <v>34</v>
      </c>
      <c r="C61" s="14" t="s">
        <v>26</v>
      </c>
      <c r="D61" s="19" t="s">
        <v>24</v>
      </c>
      <c r="E61" s="19">
        <v>2026</v>
      </c>
      <c r="F61" s="19">
        <v>1.6</v>
      </c>
      <c r="G61" s="34">
        <v>42164987.009999998</v>
      </c>
      <c r="H61" s="19" t="s">
        <v>27</v>
      </c>
      <c r="I61" s="34">
        <f t="shared" ref="I61" si="4">IF(H61&lt;&gt;"-", ROUND(G61*H61,2), G61)</f>
        <v>42164987.009999998</v>
      </c>
      <c r="J61" s="34">
        <f t="shared" ref="J61" si="5">ROUND(I61/F61,2)</f>
        <v>26353116.879999999</v>
      </c>
    </row>
    <row r="62" spans="1:11" ht="15.75">
      <c r="A62" s="19">
        <v>2</v>
      </c>
      <c r="B62" s="30" t="s">
        <v>47</v>
      </c>
      <c r="C62" s="14" t="s">
        <v>26</v>
      </c>
      <c r="D62" s="19" t="s">
        <v>24</v>
      </c>
      <c r="E62" s="19">
        <v>2026</v>
      </c>
      <c r="F62" s="19">
        <v>1.6</v>
      </c>
      <c r="G62" s="34">
        <v>50919584.32</v>
      </c>
      <c r="H62" s="19" t="s">
        <v>27</v>
      </c>
      <c r="I62" s="34">
        <f>IF(H62&lt;&gt;"-", ROUND(G62*H62,2), G62)</f>
        <v>50919584.32</v>
      </c>
      <c r="J62" s="34">
        <f>ROUND(I62/F62,2)</f>
        <v>31824740.199999999</v>
      </c>
    </row>
    <row r="63" spans="1:11" ht="15.75">
      <c r="A63" s="19">
        <v>3</v>
      </c>
      <c r="B63" s="30" t="s">
        <v>35</v>
      </c>
      <c r="C63" s="14" t="s">
        <v>26</v>
      </c>
      <c r="D63" s="19" t="s">
        <v>24</v>
      </c>
      <c r="E63" s="19">
        <v>2024</v>
      </c>
      <c r="F63" s="19">
        <v>10.8</v>
      </c>
      <c r="G63" s="34">
        <v>169668884.93000001</v>
      </c>
      <c r="H63" s="35">
        <f>ROUND(PRODUCT(D8:D9),4)</f>
        <v>1.1639999999999999</v>
      </c>
      <c r="I63" s="34">
        <f t="shared" ref="I63:I67" si="6">IF(H63&lt;&gt;"-", ROUND(G63*H63,2), G63)</f>
        <v>197494582.06</v>
      </c>
      <c r="J63" s="34">
        <f t="shared" ref="J63:J67" si="7">ROUND(I63/F63,2)</f>
        <v>18286535.379999999</v>
      </c>
    </row>
    <row r="64" spans="1:11" ht="15.75" customHeight="1">
      <c r="A64" s="19">
        <v>4</v>
      </c>
      <c r="B64" s="30" t="s">
        <v>48</v>
      </c>
      <c r="C64" s="14" t="s">
        <v>26</v>
      </c>
      <c r="D64" s="19" t="s">
        <v>24</v>
      </c>
      <c r="E64" s="19">
        <v>2023</v>
      </c>
      <c r="F64" s="19">
        <v>3.66</v>
      </c>
      <c r="G64" s="34">
        <v>67417074.390000001</v>
      </c>
      <c r="H64" s="19">
        <f>ROUND(PRODUCT(D7:D9),4)</f>
        <v>1.2583</v>
      </c>
      <c r="I64" s="34">
        <f t="shared" si="6"/>
        <v>84830904.700000003</v>
      </c>
      <c r="J64" s="34">
        <f t="shared" si="7"/>
        <v>23177842.809999999</v>
      </c>
      <c r="K64" s="37"/>
    </row>
    <row r="65" spans="1:10" ht="47.25">
      <c r="A65" s="19">
        <v>5</v>
      </c>
      <c r="B65" s="30" t="s">
        <v>52</v>
      </c>
      <c r="C65" s="42" t="s">
        <v>51</v>
      </c>
      <c r="D65" s="19" t="s">
        <v>24</v>
      </c>
      <c r="E65" s="19">
        <v>2026</v>
      </c>
      <c r="F65" s="19">
        <v>0.63</v>
      </c>
      <c r="G65" s="39">
        <v>11507517.76</v>
      </c>
      <c r="H65" s="19" t="s">
        <v>27</v>
      </c>
      <c r="I65" s="39">
        <f t="shared" si="6"/>
        <v>11507517.76</v>
      </c>
      <c r="J65" s="39">
        <f t="shared" si="7"/>
        <v>18265901.210000001</v>
      </c>
    </row>
    <row r="66" spans="1:10" ht="47.25">
      <c r="A66" s="19">
        <v>6</v>
      </c>
      <c r="B66" s="41" t="s">
        <v>53</v>
      </c>
      <c r="C66" s="43" t="s">
        <v>51</v>
      </c>
      <c r="D66" s="19" t="s">
        <v>24</v>
      </c>
      <c r="E66" s="19">
        <v>2026</v>
      </c>
      <c r="F66" s="40">
        <v>0.64</v>
      </c>
      <c r="G66" s="39">
        <v>10266625.5</v>
      </c>
      <c r="H66" s="19" t="s">
        <v>27</v>
      </c>
      <c r="I66" s="39">
        <f t="shared" si="6"/>
        <v>10266625.5</v>
      </c>
      <c r="J66" s="39">
        <f t="shared" si="7"/>
        <v>16041602.34</v>
      </c>
    </row>
    <row r="67" spans="1:10" ht="47.25">
      <c r="A67" s="19">
        <v>7</v>
      </c>
      <c r="B67" s="41" t="s">
        <v>56</v>
      </c>
      <c r="C67" s="43" t="s">
        <v>55</v>
      </c>
      <c r="D67" s="19" t="s">
        <v>24</v>
      </c>
      <c r="E67" s="19">
        <v>2026</v>
      </c>
      <c r="F67" s="19">
        <v>0.2</v>
      </c>
      <c r="G67" s="39">
        <v>2311776.83</v>
      </c>
      <c r="H67" s="19" t="s">
        <v>27</v>
      </c>
      <c r="I67" s="39">
        <f t="shared" si="6"/>
        <v>2311776.83</v>
      </c>
      <c r="J67" s="39">
        <f t="shared" si="7"/>
        <v>11558884.15</v>
      </c>
    </row>
    <row r="68" spans="1:10" ht="15.75">
      <c r="A68" s="50"/>
      <c r="B68" s="75" t="s">
        <v>33</v>
      </c>
      <c r="C68" s="75"/>
      <c r="D68" s="75"/>
      <c r="E68" s="75"/>
      <c r="F68" s="75"/>
      <c r="G68" s="75"/>
      <c r="H68" s="75"/>
      <c r="I68" s="75"/>
      <c r="J68" s="51">
        <f>(SUM(J61:J67)-MIN(J61:J67)-MAX(J61:J67))/(COUNT(J61:J67)-2)</f>
        <v>20424999.723999999</v>
      </c>
    </row>
    <row r="69" spans="1:10" ht="37.5" customHeight="1">
      <c r="A69" s="44"/>
      <c r="B69" s="44"/>
      <c r="C69" s="44"/>
      <c r="D69" s="44"/>
      <c r="E69" s="44"/>
      <c r="F69" s="44"/>
      <c r="G69" s="44"/>
      <c r="H69" s="44"/>
      <c r="I69" s="44"/>
      <c r="J69" s="10"/>
    </row>
    <row r="70" spans="1:10" ht="15.75">
      <c r="A70" s="45"/>
      <c r="B70" s="45"/>
      <c r="C70" s="45"/>
      <c r="D70" s="46"/>
      <c r="E70" s="45"/>
      <c r="F70" s="45"/>
      <c r="G70" s="45"/>
      <c r="H70" s="45"/>
      <c r="I70" s="45"/>
      <c r="J70" s="45"/>
    </row>
    <row r="71" spans="1:10" ht="15.75">
      <c r="A71" s="45"/>
      <c r="B71" s="45"/>
      <c r="C71" s="45"/>
      <c r="D71" s="46"/>
      <c r="E71" s="45"/>
      <c r="F71" s="45"/>
      <c r="G71" s="45"/>
      <c r="H71" s="45"/>
      <c r="I71" s="45"/>
      <c r="J71" s="45"/>
    </row>
    <row r="72" spans="1:10" ht="15.75">
      <c r="A72" s="45"/>
      <c r="B72" s="45"/>
      <c r="C72" s="45"/>
      <c r="D72" s="45"/>
      <c r="E72" s="45"/>
      <c r="F72" s="45"/>
      <c r="G72" s="45"/>
      <c r="H72" s="45"/>
      <c r="I72" s="45"/>
      <c r="J72" s="45"/>
    </row>
    <row r="73" spans="1:10" ht="15.75">
      <c r="A73" s="45"/>
      <c r="B73" s="45"/>
      <c r="C73" s="45"/>
      <c r="D73" s="45"/>
      <c r="E73" s="45"/>
      <c r="F73" s="45"/>
      <c r="G73" s="45"/>
      <c r="H73" s="45"/>
      <c r="I73" s="45"/>
      <c r="J73" s="45"/>
    </row>
    <row r="74" spans="1:10" ht="15.75">
      <c r="A74" s="45"/>
      <c r="B74" s="45"/>
      <c r="C74" s="45"/>
      <c r="D74" s="45"/>
      <c r="E74" s="45"/>
      <c r="F74" s="45"/>
      <c r="G74" s="45"/>
      <c r="H74" s="45"/>
      <c r="I74" s="45"/>
      <c r="J74" s="45"/>
    </row>
    <row r="75" spans="1:10" ht="15.75">
      <c r="A75" s="45"/>
      <c r="B75" s="45"/>
      <c r="C75" s="45"/>
      <c r="D75" s="45"/>
      <c r="E75" s="45"/>
      <c r="F75" s="45"/>
      <c r="G75" s="45"/>
      <c r="H75" s="45"/>
      <c r="I75" s="45"/>
      <c r="J75" s="45"/>
    </row>
    <row r="76" spans="1:10" ht="15.75">
      <c r="A76" s="45"/>
      <c r="B76" s="45"/>
      <c r="C76" s="45"/>
      <c r="D76" s="45"/>
      <c r="E76" s="45"/>
      <c r="F76" s="45"/>
      <c r="G76" s="45"/>
      <c r="H76" s="45"/>
      <c r="I76" s="45"/>
      <c r="J76" s="45"/>
    </row>
    <row r="77" spans="1:10" ht="15.75">
      <c r="A77" s="45"/>
      <c r="B77" s="45"/>
      <c r="C77" s="45"/>
      <c r="D77" s="45"/>
      <c r="E77" s="45"/>
      <c r="F77" s="45"/>
      <c r="G77" s="45"/>
      <c r="H77" s="45"/>
      <c r="I77" s="45"/>
      <c r="J77" s="45"/>
    </row>
    <row r="78" spans="1:10" ht="15.75">
      <c r="A78" s="45"/>
      <c r="B78" s="45"/>
      <c r="C78" s="45"/>
      <c r="D78" s="45"/>
      <c r="E78" s="45"/>
      <c r="F78" s="45"/>
      <c r="G78" s="45"/>
      <c r="H78" s="45"/>
      <c r="I78" s="45"/>
      <c r="J78" s="45"/>
    </row>
    <row r="79" spans="1:10" ht="15.75">
      <c r="A79" s="45"/>
      <c r="B79" s="45"/>
      <c r="C79" s="45"/>
      <c r="D79" s="45"/>
      <c r="E79" s="45"/>
      <c r="F79" s="45"/>
      <c r="G79" s="45"/>
      <c r="H79" s="45"/>
      <c r="I79" s="45"/>
      <c r="J79" s="45"/>
    </row>
    <row r="80" spans="1:10" ht="15.75">
      <c r="A80" s="45"/>
      <c r="B80" s="45"/>
      <c r="C80" s="45"/>
      <c r="D80" s="45"/>
      <c r="E80" s="45"/>
      <c r="F80" s="45"/>
      <c r="G80" s="45"/>
      <c r="H80" s="45"/>
      <c r="I80" s="45"/>
      <c r="J80" s="45"/>
    </row>
    <row r="81" spans="1:10" ht="15.75">
      <c r="A81" s="45"/>
      <c r="B81" s="45"/>
      <c r="C81" s="45"/>
      <c r="D81" s="45"/>
      <c r="E81" s="45"/>
      <c r="F81" s="45"/>
      <c r="G81" s="45"/>
      <c r="H81" s="45"/>
      <c r="I81" s="45"/>
      <c r="J81" s="45"/>
    </row>
    <row r="82" spans="1:10" ht="15.75">
      <c r="A82" s="45"/>
      <c r="B82" s="45"/>
      <c r="C82" s="45"/>
      <c r="D82" s="45"/>
      <c r="E82" s="45"/>
      <c r="F82" s="45"/>
      <c r="G82" s="45"/>
      <c r="H82" s="45"/>
      <c r="I82" s="45"/>
      <c r="J82" s="45"/>
    </row>
    <row r="83" spans="1:10" ht="15.75">
      <c r="A83" s="45"/>
      <c r="B83" s="45"/>
      <c r="C83" s="45"/>
      <c r="D83" s="45"/>
      <c r="E83" s="45"/>
      <c r="F83" s="45"/>
      <c r="G83" s="45"/>
      <c r="H83" s="45"/>
      <c r="I83" s="45"/>
      <c r="J83" s="45"/>
    </row>
    <row r="84" spans="1:10" ht="15.75">
      <c r="A84" s="45"/>
      <c r="B84" s="45"/>
      <c r="C84" s="45"/>
      <c r="D84" s="45"/>
      <c r="E84" s="45"/>
      <c r="F84" s="45"/>
      <c r="G84" s="45"/>
      <c r="H84" s="45"/>
      <c r="I84" s="45"/>
      <c r="J84" s="45"/>
    </row>
    <row r="85" spans="1:10" ht="15.75">
      <c r="A85" s="45"/>
      <c r="B85" s="45"/>
      <c r="C85" s="45"/>
      <c r="D85" s="45"/>
      <c r="E85" s="45"/>
      <c r="F85" s="45"/>
      <c r="G85" s="45"/>
      <c r="H85" s="45"/>
      <c r="I85" s="45"/>
      <c r="J85" s="45"/>
    </row>
    <row r="86" spans="1:10" ht="15.75">
      <c r="A86" s="45"/>
      <c r="B86" s="45"/>
      <c r="C86" s="45"/>
      <c r="D86" s="45"/>
      <c r="E86" s="45"/>
      <c r="F86" s="45"/>
      <c r="G86" s="45"/>
      <c r="H86" s="45"/>
      <c r="I86" s="45"/>
      <c r="J86" s="45"/>
    </row>
    <row r="87" spans="1:10" ht="15.75">
      <c r="A87" s="45"/>
      <c r="B87" s="45"/>
      <c r="C87" s="45"/>
      <c r="D87" s="45"/>
      <c r="E87" s="45"/>
      <c r="F87" s="45"/>
      <c r="G87" s="45"/>
      <c r="H87" s="45"/>
      <c r="I87" s="45"/>
      <c r="J87" s="45"/>
    </row>
    <row r="88" spans="1:10" ht="15.75">
      <c r="A88" s="45"/>
      <c r="B88" s="45"/>
      <c r="C88" s="45"/>
      <c r="D88" s="45"/>
      <c r="E88" s="45"/>
      <c r="F88" s="45"/>
      <c r="G88" s="45"/>
      <c r="H88" s="45"/>
      <c r="I88" s="45"/>
      <c r="J88" s="45"/>
    </row>
    <row r="89" spans="1:10" ht="15.75">
      <c r="A89" s="45"/>
      <c r="B89" s="45"/>
      <c r="C89" s="45"/>
      <c r="D89" s="45"/>
      <c r="E89" s="45"/>
      <c r="F89" s="45"/>
      <c r="G89" s="45"/>
      <c r="H89" s="45"/>
      <c r="I89" s="45"/>
      <c r="J89" s="45"/>
    </row>
    <row r="90" spans="1:10" ht="15.75">
      <c r="A90" s="45"/>
      <c r="B90" s="45"/>
      <c r="C90" s="45"/>
      <c r="D90" s="45"/>
      <c r="E90" s="45"/>
      <c r="F90" s="45"/>
      <c r="G90" s="45"/>
      <c r="H90" s="45"/>
      <c r="I90" s="45"/>
      <c r="J90" s="45"/>
    </row>
    <row r="91" spans="1:10" ht="15.75">
      <c r="A91" s="45"/>
      <c r="B91" s="45"/>
      <c r="C91" s="45"/>
      <c r="D91" s="45"/>
      <c r="E91" s="45"/>
      <c r="F91" s="45"/>
      <c r="G91" s="45"/>
      <c r="H91" s="45"/>
      <c r="I91" s="45"/>
      <c r="J91" s="45"/>
    </row>
    <row r="92" spans="1:10" ht="15.75">
      <c r="A92" s="45"/>
      <c r="B92" s="45"/>
      <c r="C92" s="45"/>
      <c r="D92" s="45"/>
      <c r="E92" s="45"/>
      <c r="F92" s="45"/>
      <c r="G92" s="45"/>
      <c r="H92" s="45"/>
      <c r="I92" s="45"/>
      <c r="J92" s="45"/>
    </row>
    <row r="93" spans="1:10" ht="15.75">
      <c r="A93" s="45"/>
      <c r="B93" s="45"/>
      <c r="C93" s="45"/>
      <c r="D93" s="45"/>
      <c r="E93" s="45"/>
      <c r="F93" s="45"/>
      <c r="G93" s="45"/>
      <c r="H93" s="45"/>
      <c r="I93" s="45"/>
      <c r="J93" s="45"/>
    </row>
    <row r="94" spans="1:10" ht="15.75">
      <c r="A94" s="45"/>
      <c r="B94" s="45"/>
      <c r="C94" s="45"/>
      <c r="D94" s="45"/>
      <c r="E94" s="45"/>
      <c r="F94" s="45"/>
      <c r="G94" s="45"/>
      <c r="H94" s="45"/>
      <c r="I94" s="45"/>
      <c r="J94" s="45"/>
    </row>
    <row r="95" spans="1:10" ht="15.75">
      <c r="A95" s="45"/>
      <c r="B95" s="45"/>
      <c r="C95" s="45"/>
      <c r="D95" s="45"/>
      <c r="E95" s="45"/>
      <c r="F95" s="45"/>
      <c r="G95" s="45"/>
      <c r="H95" s="45"/>
      <c r="I95" s="45"/>
      <c r="J95" s="45"/>
    </row>
    <row r="96" spans="1:10" ht="15.75">
      <c r="A96" s="45"/>
      <c r="B96" s="45"/>
      <c r="C96" s="45"/>
      <c r="D96" s="45"/>
      <c r="E96" s="45"/>
      <c r="F96" s="45"/>
      <c r="G96" s="45"/>
      <c r="H96" s="45"/>
      <c r="I96" s="45"/>
      <c r="J96" s="45"/>
    </row>
    <row r="97" spans="1:10" ht="15.75">
      <c r="A97" s="45"/>
      <c r="B97" s="45"/>
      <c r="C97" s="45"/>
      <c r="D97" s="45"/>
      <c r="E97" s="45"/>
      <c r="F97" s="45"/>
      <c r="G97" s="45"/>
      <c r="H97" s="45"/>
      <c r="I97" s="45"/>
      <c r="J97" s="45"/>
    </row>
    <row r="98" spans="1:10" ht="15.75">
      <c r="A98" s="45"/>
      <c r="B98" s="45"/>
      <c r="C98" s="45"/>
      <c r="D98" s="45"/>
      <c r="E98" s="45"/>
      <c r="F98" s="45"/>
      <c r="G98" s="45"/>
      <c r="H98" s="45"/>
      <c r="I98" s="45"/>
      <c r="J98" s="45"/>
    </row>
    <row r="99" spans="1:10" ht="15.75">
      <c r="A99" s="45"/>
      <c r="B99" s="45"/>
      <c r="C99" s="45"/>
      <c r="D99" s="45"/>
      <c r="E99" s="45"/>
      <c r="F99" s="45"/>
      <c r="G99" s="45"/>
      <c r="H99" s="45"/>
      <c r="I99" s="45"/>
      <c r="J99" s="45"/>
    </row>
    <row r="100" spans="1:10" ht="15.75">
      <c r="A100" s="45"/>
      <c r="B100" s="45"/>
      <c r="C100" s="45"/>
      <c r="D100" s="45"/>
      <c r="E100" s="45"/>
      <c r="F100" s="45"/>
      <c r="G100" s="45"/>
      <c r="H100" s="45"/>
      <c r="I100" s="45"/>
      <c r="J100" s="45"/>
    </row>
    <row r="101" spans="1:10" ht="15.75">
      <c r="A101" s="45"/>
      <c r="B101" s="45"/>
      <c r="C101" s="45"/>
      <c r="D101" s="45"/>
      <c r="E101" s="45"/>
      <c r="F101" s="45"/>
      <c r="G101" s="45"/>
      <c r="H101" s="45"/>
      <c r="I101" s="45"/>
      <c r="J101" s="45"/>
    </row>
    <row r="102" spans="1:10" ht="15.75">
      <c r="A102" s="45"/>
      <c r="B102" s="45"/>
      <c r="C102" s="45"/>
      <c r="D102" s="45"/>
      <c r="E102" s="45"/>
      <c r="F102" s="45"/>
      <c r="G102" s="45"/>
      <c r="H102" s="45"/>
      <c r="I102" s="45"/>
      <c r="J102" s="45"/>
    </row>
    <row r="103" spans="1:10" ht="15.75">
      <c r="A103" s="45"/>
      <c r="B103" s="45"/>
      <c r="C103" s="45"/>
      <c r="D103" s="45"/>
      <c r="E103" s="45"/>
      <c r="F103" s="45"/>
      <c r="G103" s="45"/>
      <c r="H103" s="45"/>
      <c r="I103" s="45"/>
      <c r="J103" s="45"/>
    </row>
    <row r="104" spans="1:10" ht="15.75">
      <c r="A104" s="45"/>
      <c r="B104" s="45"/>
      <c r="C104" s="45"/>
      <c r="D104" s="45"/>
      <c r="E104" s="45"/>
      <c r="F104" s="45"/>
      <c r="G104" s="45"/>
      <c r="H104" s="45"/>
      <c r="I104" s="45"/>
      <c r="J104" s="45"/>
    </row>
    <row r="105" spans="1:10" ht="15.75">
      <c r="A105" s="45"/>
      <c r="B105" s="45"/>
      <c r="C105" s="45"/>
      <c r="D105" s="45"/>
      <c r="E105" s="45"/>
      <c r="F105" s="45"/>
      <c r="G105" s="45"/>
      <c r="H105" s="45"/>
      <c r="I105" s="45"/>
      <c r="J105" s="45"/>
    </row>
    <row r="106" spans="1:10" ht="15.75">
      <c r="A106" s="45"/>
      <c r="B106" s="45"/>
      <c r="C106" s="45"/>
      <c r="D106" s="45"/>
      <c r="E106" s="45"/>
      <c r="F106" s="45"/>
      <c r="G106" s="45"/>
      <c r="H106" s="45"/>
      <c r="I106" s="45"/>
      <c r="J106" s="45"/>
    </row>
    <row r="107" spans="1:10" ht="15.75">
      <c r="A107" s="45"/>
      <c r="B107" s="45"/>
      <c r="C107" s="45"/>
      <c r="D107" s="45"/>
      <c r="E107" s="45"/>
      <c r="F107" s="45"/>
      <c r="G107" s="45"/>
      <c r="H107" s="45"/>
      <c r="I107" s="45"/>
      <c r="J107" s="45"/>
    </row>
    <row r="108" spans="1:10" ht="15.75">
      <c r="A108" s="45"/>
      <c r="B108" s="45"/>
      <c r="C108" s="45"/>
      <c r="D108" s="45"/>
      <c r="E108" s="45"/>
      <c r="F108" s="45"/>
      <c r="G108" s="45"/>
      <c r="H108" s="45"/>
      <c r="I108" s="45"/>
      <c r="J108" s="45"/>
    </row>
    <row r="109" spans="1:10" ht="15.75">
      <c r="A109" s="45"/>
      <c r="B109" s="45"/>
      <c r="C109" s="45"/>
      <c r="D109" s="45"/>
      <c r="E109" s="45"/>
      <c r="F109" s="45"/>
      <c r="G109" s="45"/>
      <c r="H109" s="45"/>
      <c r="I109" s="45"/>
      <c r="J109" s="45"/>
    </row>
    <row r="110" spans="1:10" ht="15.75">
      <c r="A110" s="45"/>
      <c r="B110" s="45"/>
      <c r="C110" s="45"/>
      <c r="D110" s="45"/>
      <c r="E110" s="45"/>
      <c r="F110" s="45"/>
      <c r="G110" s="45"/>
      <c r="H110" s="45"/>
      <c r="I110" s="45"/>
      <c r="J110" s="45"/>
    </row>
    <row r="111" spans="1:10" ht="15.75">
      <c r="A111" s="45"/>
      <c r="B111" s="45"/>
      <c r="C111" s="45"/>
      <c r="D111" s="45"/>
      <c r="E111" s="45"/>
      <c r="F111" s="45"/>
      <c r="G111" s="45"/>
      <c r="H111" s="45"/>
      <c r="I111" s="45"/>
      <c r="J111" s="45"/>
    </row>
    <row r="112" spans="1:10" ht="15.75">
      <c r="A112" s="45"/>
      <c r="B112" s="45"/>
      <c r="C112" s="45"/>
      <c r="D112" s="45"/>
      <c r="E112" s="45"/>
      <c r="F112" s="45"/>
      <c r="G112" s="45"/>
      <c r="H112" s="45"/>
      <c r="I112" s="45"/>
      <c r="J112" s="45"/>
    </row>
    <row r="113" spans="1:10" ht="15.75">
      <c r="A113" s="45"/>
      <c r="B113" s="45"/>
      <c r="C113" s="45"/>
      <c r="D113" s="45"/>
      <c r="E113" s="45"/>
      <c r="F113" s="45"/>
      <c r="G113" s="45"/>
      <c r="H113" s="45"/>
      <c r="I113" s="45"/>
      <c r="J113" s="45"/>
    </row>
    <row r="114" spans="1:10" ht="15.75">
      <c r="A114" s="45"/>
      <c r="B114" s="45"/>
      <c r="C114" s="45"/>
      <c r="D114" s="45"/>
      <c r="E114" s="45"/>
      <c r="F114" s="45"/>
      <c r="G114" s="45"/>
      <c r="H114" s="45"/>
      <c r="I114" s="45"/>
      <c r="J114" s="45"/>
    </row>
    <row r="115" spans="1:10" ht="15.75">
      <c r="A115" s="45"/>
      <c r="B115" s="45"/>
      <c r="C115" s="45"/>
      <c r="D115" s="45"/>
      <c r="E115" s="45"/>
      <c r="F115" s="45"/>
      <c r="G115" s="45"/>
      <c r="H115" s="45"/>
      <c r="I115" s="45"/>
      <c r="J115" s="45"/>
    </row>
    <row r="116" spans="1:10" ht="15.75">
      <c r="A116" s="45"/>
      <c r="B116" s="45"/>
      <c r="C116" s="45"/>
      <c r="D116" s="45"/>
      <c r="E116" s="45"/>
      <c r="F116" s="45"/>
      <c r="G116" s="45"/>
      <c r="H116" s="45"/>
      <c r="I116" s="45"/>
      <c r="J116" s="45"/>
    </row>
    <row r="117" spans="1:10" ht="15.75">
      <c r="A117" s="45"/>
      <c r="B117" s="45"/>
      <c r="C117" s="45"/>
      <c r="D117" s="45"/>
      <c r="E117" s="45"/>
      <c r="F117" s="45"/>
      <c r="G117" s="45"/>
      <c r="H117" s="45"/>
      <c r="I117" s="45"/>
      <c r="J117" s="45"/>
    </row>
    <row r="118" spans="1:10" ht="15.75">
      <c r="A118" s="45"/>
      <c r="B118" s="45"/>
      <c r="C118" s="45"/>
      <c r="D118" s="45"/>
      <c r="E118" s="45"/>
      <c r="F118" s="45"/>
      <c r="G118" s="45"/>
      <c r="H118" s="45"/>
      <c r="I118" s="45"/>
      <c r="J118" s="45"/>
    </row>
    <row r="119" spans="1:10" ht="15.75">
      <c r="A119" s="45"/>
      <c r="B119" s="45"/>
      <c r="C119" s="45"/>
      <c r="D119" s="45"/>
      <c r="E119" s="45"/>
      <c r="F119" s="45"/>
      <c r="G119" s="45"/>
      <c r="H119" s="45"/>
      <c r="I119" s="45"/>
      <c r="J119" s="45"/>
    </row>
    <row r="120" spans="1:10" ht="15.75">
      <c r="A120" s="45"/>
      <c r="B120" s="45"/>
      <c r="C120" s="45"/>
      <c r="D120" s="45"/>
      <c r="E120" s="45"/>
      <c r="F120" s="45"/>
      <c r="G120" s="45"/>
      <c r="H120" s="45"/>
      <c r="I120" s="45"/>
      <c r="J120" s="45"/>
    </row>
    <row r="121" spans="1:10" ht="15.75">
      <c r="A121" s="45"/>
      <c r="B121" s="45"/>
      <c r="C121" s="45"/>
      <c r="D121" s="45"/>
      <c r="E121" s="45"/>
      <c r="F121" s="45"/>
      <c r="G121" s="45"/>
      <c r="H121" s="45"/>
      <c r="I121" s="45"/>
      <c r="J121" s="45"/>
    </row>
    <row r="122" spans="1:10" ht="15.75">
      <c r="A122" s="45"/>
      <c r="B122" s="45"/>
      <c r="C122" s="45"/>
      <c r="D122" s="45"/>
      <c r="E122" s="45"/>
      <c r="F122" s="45"/>
      <c r="G122" s="45"/>
      <c r="H122" s="45"/>
      <c r="I122" s="45"/>
      <c r="J122" s="45"/>
    </row>
    <row r="123" spans="1:10" ht="15.75">
      <c r="A123" s="45"/>
      <c r="B123" s="45"/>
      <c r="C123" s="45"/>
      <c r="D123" s="45"/>
      <c r="E123" s="45"/>
      <c r="F123" s="45"/>
      <c r="G123" s="45"/>
      <c r="H123" s="45"/>
      <c r="I123" s="45"/>
      <c r="J123" s="45"/>
    </row>
    <row r="124" spans="1:10" ht="15.75">
      <c r="A124" s="45"/>
      <c r="B124" s="45"/>
      <c r="C124" s="45"/>
      <c r="D124" s="45"/>
      <c r="E124" s="45"/>
      <c r="F124" s="45"/>
      <c r="G124" s="45"/>
      <c r="H124" s="45"/>
      <c r="I124" s="45"/>
      <c r="J124" s="45"/>
    </row>
    <row r="125" spans="1:10" ht="15.75">
      <c r="A125" s="45"/>
      <c r="B125" s="45"/>
      <c r="C125" s="45"/>
      <c r="D125" s="45"/>
      <c r="E125" s="45"/>
      <c r="F125" s="45"/>
      <c r="G125" s="45"/>
      <c r="H125" s="45"/>
      <c r="I125" s="45"/>
      <c r="J125" s="45"/>
    </row>
    <row r="126" spans="1:10" ht="15.75">
      <c r="A126" s="45"/>
      <c r="B126" s="45"/>
      <c r="C126" s="45"/>
      <c r="D126" s="45"/>
      <c r="E126" s="45"/>
      <c r="F126" s="45"/>
      <c r="G126" s="45"/>
      <c r="H126" s="45"/>
      <c r="I126" s="45"/>
      <c r="J126" s="45"/>
    </row>
    <row r="127" spans="1:10" ht="15.75">
      <c r="A127" s="45"/>
      <c r="B127" s="45"/>
      <c r="C127" s="45"/>
      <c r="D127" s="45"/>
      <c r="E127" s="45"/>
      <c r="F127" s="45"/>
      <c r="G127" s="45"/>
      <c r="H127" s="45"/>
      <c r="I127" s="45"/>
      <c r="J127" s="45"/>
    </row>
    <row r="128" spans="1:10" ht="15.75">
      <c r="A128" s="45"/>
      <c r="B128" s="45"/>
      <c r="C128" s="45"/>
      <c r="D128" s="45"/>
      <c r="E128" s="45"/>
      <c r="F128" s="45"/>
      <c r="G128" s="45"/>
      <c r="H128" s="45"/>
      <c r="I128" s="45"/>
      <c r="J128" s="45"/>
    </row>
    <row r="129" spans="1:10" ht="15.75">
      <c r="A129" s="45"/>
      <c r="B129" s="45"/>
      <c r="C129" s="45"/>
      <c r="D129" s="45"/>
      <c r="E129" s="45"/>
      <c r="F129" s="45"/>
      <c r="G129" s="45"/>
      <c r="H129" s="45"/>
      <c r="I129" s="45"/>
      <c r="J129" s="45"/>
    </row>
    <row r="130" spans="1:10" ht="15.75">
      <c r="A130" s="45"/>
      <c r="B130" s="45"/>
      <c r="C130" s="45"/>
      <c r="D130" s="45"/>
      <c r="E130" s="45"/>
      <c r="F130" s="45"/>
      <c r="G130" s="45"/>
      <c r="H130" s="45"/>
      <c r="I130" s="45"/>
      <c r="J130" s="45"/>
    </row>
    <row r="131" spans="1:10" ht="15.75">
      <c r="A131" s="45"/>
      <c r="B131" s="45"/>
      <c r="C131" s="45"/>
      <c r="D131" s="45"/>
      <c r="E131" s="45"/>
      <c r="F131" s="45"/>
      <c r="G131" s="45"/>
      <c r="H131" s="45"/>
      <c r="I131" s="45"/>
      <c r="J131" s="45"/>
    </row>
    <row r="132" spans="1:10" ht="15.75">
      <c r="A132" s="45"/>
      <c r="B132" s="45"/>
      <c r="C132" s="45"/>
      <c r="D132" s="45"/>
      <c r="E132" s="45"/>
      <c r="F132" s="45"/>
      <c r="G132" s="45"/>
      <c r="H132" s="45"/>
      <c r="I132" s="45"/>
      <c r="J132" s="45"/>
    </row>
    <row r="133" spans="1:10" ht="15.75">
      <c r="A133" s="45"/>
      <c r="B133" s="45"/>
      <c r="C133" s="45"/>
      <c r="D133" s="45"/>
      <c r="E133" s="45"/>
      <c r="F133" s="45"/>
      <c r="G133" s="45"/>
      <c r="H133" s="45"/>
      <c r="I133" s="45"/>
      <c r="J133" s="45"/>
    </row>
    <row r="134" spans="1:10" ht="15.75">
      <c r="A134" s="45"/>
      <c r="B134" s="45"/>
      <c r="C134" s="45"/>
      <c r="D134" s="45"/>
      <c r="E134" s="45"/>
      <c r="F134" s="45"/>
      <c r="G134" s="45"/>
      <c r="H134" s="45"/>
      <c r="I134" s="45"/>
      <c r="J134" s="45"/>
    </row>
    <row r="135" spans="1:10" ht="15.75">
      <c r="A135" s="45"/>
      <c r="B135" s="45"/>
      <c r="C135" s="45"/>
      <c r="D135" s="45"/>
      <c r="E135" s="45"/>
      <c r="F135" s="45"/>
      <c r="G135" s="45"/>
      <c r="H135" s="45"/>
      <c r="I135" s="45"/>
      <c r="J135" s="45"/>
    </row>
    <row r="136" spans="1:10" ht="15.75">
      <c r="A136" s="45"/>
      <c r="B136" s="45"/>
      <c r="C136" s="45"/>
      <c r="D136" s="45"/>
      <c r="E136" s="45"/>
      <c r="F136" s="45"/>
      <c r="G136" s="45"/>
      <c r="H136" s="45"/>
      <c r="I136" s="45"/>
      <c r="J136" s="45"/>
    </row>
    <row r="137" spans="1:10" ht="15.75">
      <c r="A137" s="45"/>
      <c r="B137" s="45"/>
      <c r="C137" s="45"/>
      <c r="D137" s="45"/>
      <c r="E137" s="45"/>
      <c r="F137" s="45"/>
      <c r="G137" s="45"/>
      <c r="H137" s="45"/>
      <c r="I137" s="45"/>
      <c r="J137" s="45"/>
    </row>
    <row r="138" spans="1:10" ht="15.75">
      <c r="A138" s="45"/>
      <c r="B138" s="45"/>
      <c r="C138" s="45"/>
      <c r="D138" s="45"/>
      <c r="E138" s="45"/>
      <c r="F138" s="45"/>
      <c r="G138" s="45"/>
      <c r="H138" s="45"/>
      <c r="I138" s="45"/>
      <c r="J138" s="45"/>
    </row>
    <row r="139" spans="1:10" ht="15.75">
      <c r="A139" s="45"/>
      <c r="B139" s="45"/>
      <c r="C139" s="45"/>
      <c r="D139" s="45"/>
      <c r="E139" s="45"/>
      <c r="F139" s="45"/>
      <c r="G139" s="45"/>
      <c r="H139" s="45"/>
      <c r="I139" s="45"/>
      <c r="J139" s="45"/>
    </row>
    <row r="140" spans="1:10" ht="15.75">
      <c r="A140" s="45"/>
      <c r="B140" s="45"/>
      <c r="C140" s="45"/>
      <c r="D140" s="45"/>
      <c r="E140" s="45"/>
      <c r="F140" s="45"/>
      <c r="G140" s="45"/>
      <c r="H140" s="45"/>
      <c r="I140" s="45"/>
      <c r="J140" s="45"/>
    </row>
    <row r="141" spans="1:10" ht="15.75">
      <c r="A141" s="45"/>
      <c r="B141" s="45"/>
      <c r="C141" s="45"/>
      <c r="D141" s="45"/>
      <c r="E141" s="45"/>
      <c r="F141" s="45"/>
      <c r="G141" s="45"/>
      <c r="H141" s="45"/>
      <c r="I141" s="45"/>
      <c r="J141" s="45"/>
    </row>
    <row r="142" spans="1:10" ht="15.75">
      <c r="A142" s="45"/>
      <c r="B142" s="45"/>
      <c r="C142" s="45"/>
      <c r="D142" s="45"/>
      <c r="E142" s="45"/>
      <c r="F142" s="45"/>
      <c r="G142" s="45"/>
      <c r="H142" s="45"/>
      <c r="I142" s="45"/>
      <c r="J142" s="45"/>
    </row>
    <row r="143" spans="1:10" ht="15.75">
      <c r="A143" s="45"/>
      <c r="B143" s="45"/>
      <c r="C143" s="45"/>
      <c r="D143" s="45"/>
      <c r="E143" s="45"/>
      <c r="F143" s="45"/>
      <c r="G143" s="45"/>
      <c r="H143" s="45"/>
      <c r="I143" s="45"/>
      <c r="J143" s="45"/>
    </row>
    <row r="144" spans="1:10" ht="15.75">
      <c r="A144" s="45"/>
      <c r="B144" s="45"/>
      <c r="C144" s="45"/>
      <c r="D144" s="45"/>
      <c r="E144" s="45"/>
      <c r="F144" s="45"/>
      <c r="G144" s="45"/>
      <c r="H144" s="45"/>
      <c r="I144" s="45"/>
      <c r="J144" s="45"/>
    </row>
    <row r="145" spans="1:10" ht="15.75">
      <c r="A145" s="45"/>
      <c r="B145" s="45"/>
      <c r="C145" s="45"/>
      <c r="D145" s="45"/>
      <c r="E145" s="45"/>
      <c r="F145" s="45"/>
      <c r="G145" s="45"/>
      <c r="H145" s="45"/>
      <c r="I145" s="45"/>
      <c r="J145" s="45"/>
    </row>
    <row r="146" spans="1:10" ht="15.75">
      <c r="A146" s="45"/>
      <c r="B146" s="45"/>
      <c r="C146" s="45"/>
      <c r="D146" s="45"/>
      <c r="E146" s="45"/>
      <c r="F146" s="45"/>
      <c r="G146" s="45"/>
      <c r="H146" s="45"/>
      <c r="I146" s="45"/>
      <c r="J146" s="45"/>
    </row>
    <row r="147" spans="1:10" ht="15.75">
      <c r="A147" s="45"/>
      <c r="B147" s="45"/>
      <c r="C147" s="45"/>
      <c r="D147" s="45"/>
      <c r="E147" s="45"/>
      <c r="F147" s="45"/>
      <c r="G147" s="45"/>
      <c r="H147" s="45"/>
      <c r="I147" s="45"/>
      <c r="J147" s="45"/>
    </row>
    <row r="148" spans="1:10" ht="15.75">
      <c r="A148" s="45"/>
      <c r="B148" s="45"/>
      <c r="C148" s="45"/>
      <c r="D148" s="45"/>
      <c r="E148" s="45"/>
      <c r="F148" s="45"/>
      <c r="G148" s="45"/>
      <c r="H148" s="45"/>
      <c r="I148" s="45"/>
      <c r="J148" s="45"/>
    </row>
    <row r="149" spans="1:10" ht="15.75">
      <c r="A149" s="45"/>
      <c r="B149" s="45"/>
      <c r="C149" s="45"/>
      <c r="D149" s="45"/>
      <c r="E149" s="45"/>
      <c r="F149" s="45"/>
      <c r="G149" s="45"/>
      <c r="H149" s="45"/>
      <c r="I149" s="45"/>
      <c r="J149" s="45"/>
    </row>
    <row r="150" spans="1:10" ht="15.75">
      <c r="A150" s="45"/>
      <c r="B150" s="45"/>
      <c r="C150" s="45"/>
      <c r="D150" s="45"/>
      <c r="E150" s="45"/>
      <c r="F150" s="45"/>
      <c r="G150" s="45"/>
      <c r="H150" s="45"/>
      <c r="I150" s="45"/>
      <c r="J150" s="45"/>
    </row>
    <row r="151" spans="1:10" ht="15.75">
      <c r="A151" s="45"/>
      <c r="B151" s="45"/>
      <c r="C151" s="45"/>
      <c r="D151" s="45"/>
      <c r="E151" s="45"/>
      <c r="F151" s="45"/>
      <c r="G151" s="45"/>
      <c r="H151" s="45"/>
      <c r="I151" s="45"/>
      <c r="J151" s="45"/>
    </row>
    <row r="152" spans="1:10" ht="15.75">
      <c r="A152" s="45"/>
      <c r="B152" s="45"/>
      <c r="C152" s="45"/>
      <c r="D152" s="45"/>
      <c r="E152" s="45"/>
      <c r="F152" s="45"/>
      <c r="G152" s="45"/>
      <c r="H152" s="45"/>
      <c r="I152" s="45"/>
      <c r="J152" s="45"/>
    </row>
    <row r="153" spans="1:10" ht="15.75">
      <c r="A153" s="45"/>
      <c r="B153" s="45"/>
      <c r="C153" s="45"/>
      <c r="D153" s="45"/>
      <c r="E153" s="45"/>
      <c r="F153" s="45"/>
      <c r="G153" s="45"/>
      <c r="H153" s="45"/>
      <c r="I153" s="45"/>
      <c r="J153" s="45"/>
    </row>
    <row r="154" spans="1:10" ht="15.75">
      <c r="A154" s="45"/>
      <c r="B154" s="45"/>
      <c r="C154" s="45"/>
      <c r="D154" s="45"/>
      <c r="E154" s="45"/>
      <c r="F154" s="45"/>
      <c r="G154" s="45"/>
      <c r="H154" s="45"/>
      <c r="I154" s="45"/>
      <c r="J154" s="45"/>
    </row>
    <row r="155" spans="1:10" ht="15.75">
      <c r="A155" s="45"/>
      <c r="B155" s="45"/>
      <c r="C155" s="45"/>
      <c r="D155" s="45"/>
      <c r="E155" s="45"/>
      <c r="F155" s="45"/>
      <c r="G155" s="45"/>
      <c r="H155" s="45"/>
      <c r="I155" s="45"/>
      <c r="J155" s="45"/>
    </row>
    <row r="156" spans="1:10" ht="15.75">
      <c r="A156" s="45"/>
      <c r="B156" s="45"/>
      <c r="C156" s="45"/>
      <c r="D156" s="45"/>
      <c r="E156" s="45"/>
      <c r="F156" s="45"/>
      <c r="G156" s="45"/>
      <c r="H156" s="45"/>
      <c r="I156" s="45"/>
      <c r="J156" s="45"/>
    </row>
    <row r="157" spans="1:10" ht="15.75">
      <c r="A157" s="45"/>
      <c r="B157" s="45"/>
      <c r="C157" s="45"/>
      <c r="D157" s="45"/>
      <c r="E157" s="45"/>
      <c r="F157" s="45"/>
      <c r="G157" s="45"/>
      <c r="H157" s="45"/>
      <c r="I157" s="45"/>
      <c r="J157" s="45"/>
    </row>
    <row r="158" spans="1:10" ht="15.75">
      <c r="A158" s="45"/>
      <c r="B158" s="45"/>
      <c r="C158" s="45"/>
      <c r="D158" s="45"/>
      <c r="E158" s="45"/>
      <c r="F158" s="45"/>
      <c r="G158" s="45"/>
      <c r="H158" s="45"/>
      <c r="I158" s="45"/>
      <c r="J158" s="45"/>
    </row>
    <row r="159" spans="1:10" ht="15.75">
      <c r="A159" s="45"/>
      <c r="B159" s="45"/>
      <c r="C159" s="45"/>
      <c r="D159" s="45"/>
      <c r="E159" s="45"/>
      <c r="F159" s="45"/>
      <c r="G159" s="45"/>
      <c r="H159" s="45"/>
      <c r="I159" s="45"/>
      <c r="J159" s="45"/>
    </row>
    <row r="160" spans="1:10" ht="15.75">
      <c r="A160" s="45"/>
      <c r="B160" s="45"/>
      <c r="C160" s="45"/>
      <c r="D160" s="45"/>
      <c r="E160" s="45"/>
      <c r="F160" s="45"/>
      <c r="G160" s="45"/>
      <c r="H160" s="45"/>
      <c r="I160" s="45"/>
      <c r="J160" s="45"/>
    </row>
    <row r="161" spans="1:10" ht="15.75">
      <c r="A161" s="45"/>
      <c r="B161" s="45"/>
      <c r="C161" s="45"/>
      <c r="D161" s="45"/>
      <c r="E161" s="45"/>
      <c r="F161" s="45"/>
      <c r="G161" s="45"/>
      <c r="H161" s="45"/>
      <c r="I161" s="45"/>
      <c r="J161" s="45"/>
    </row>
    <row r="162" spans="1:10" ht="15.75">
      <c r="A162" s="45"/>
      <c r="B162" s="45"/>
      <c r="C162" s="45"/>
      <c r="D162" s="45"/>
      <c r="E162" s="45"/>
      <c r="F162" s="45"/>
      <c r="G162" s="45"/>
      <c r="H162" s="45"/>
      <c r="I162" s="45"/>
      <c r="J162" s="45"/>
    </row>
    <row r="163" spans="1:10" ht="15.75">
      <c r="A163" s="45"/>
      <c r="B163" s="45"/>
      <c r="C163" s="45"/>
      <c r="D163" s="45"/>
      <c r="E163" s="45"/>
      <c r="F163" s="45"/>
      <c r="G163" s="45"/>
      <c r="H163" s="45"/>
      <c r="I163" s="45"/>
      <c r="J163" s="45"/>
    </row>
    <row r="164" spans="1:10" ht="15.75">
      <c r="A164" s="45"/>
      <c r="B164" s="45"/>
      <c r="C164" s="45"/>
      <c r="D164" s="45"/>
      <c r="E164" s="45"/>
      <c r="F164" s="45"/>
      <c r="G164" s="45"/>
      <c r="H164" s="45"/>
      <c r="I164" s="45"/>
      <c r="J164" s="45"/>
    </row>
    <row r="165" spans="1:10" ht="15.75">
      <c r="A165" s="45"/>
      <c r="B165" s="45"/>
      <c r="C165" s="45"/>
      <c r="D165" s="45"/>
      <c r="E165" s="45"/>
      <c r="F165" s="45"/>
      <c r="G165" s="45"/>
      <c r="H165" s="45"/>
      <c r="I165" s="45"/>
      <c r="J165" s="45"/>
    </row>
    <row r="166" spans="1:10" ht="15.75">
      <c r="A166" s="45"/>
      <c r="B166" s="45"/>
      <c r="C166" s="45"/>
      <c r="D166" s="45"/>
      <c r="E166" s="45"/>
      <c r="F166" s="45"/>
      <c r="G166" s="45"/>
      <c r="H166" s="45"/>
      <c r="I166" s="45"/>
      <c r="J166" s="45"/>
    </row>
    <row r="167" spans="1:10" ht="15.75">
      <c r="A167" s="45"/>
      <c r="B167" s="45"/>
      <c r="C167" s="45"/>
      <c r="D167" s="45"/>
      <c r="E167" s="45"/>
      <c r="F167" s="45"/>
      <c r="G167" s="45"/>
      <c r="H167" s="45"/>
      <c r="I167" s="45"/>
      <c r="J167" s="45"/>
    </row>
    <row r="168" spans="1:10" ht="15.75">
      <c r="A168" s="45"/>
      <c r="B168" s="45"/>
      <c r="C168" s="45"/>
      <c r="D168" s="45"/>
      <c r="E168" s="45"/>
      <c r="F168" s="45"/>
      <c r="G168" s="45"/>
      <c r="H168" s="45"/>
      <c r="I168" s="45"/>
      <c r="J168" s="45"/>
    </row>
    <row r="169" spans="1:10" ht="15.75">
      <c r="A169" s="45"/>
      <c r="B169" s="45"/>
      <c r="C169" s="45"/>
      <c r="D169" s="45"/>
      <c r="E169" s="45"/>
      <c r="F169" s="45"/>
      <c r="G169" s="45"/>
      <c r="H169" s="45"/>
      <c r="I169" s="45"/>
      <c r="J169" s="45"/>
    </row>
    <row r="170" spans="1:10" ht="15.75">
      <c r="A170" s="45"/>
      <c r="B170" s="45"/>
      <c r="C170" s="45"/>
      <c r="D170" s="45"/>
      <c r="E170" s="45"/>
      <c r="F170" s="45"/>
      <c r="G170" s="45"/>
      <c r="H170" s="45"/>
      <c r="I170" s="45"/>
      <c r="J170" s="45"/>
    </row>
    <row r="171" spans="1:10" ht="15.75">
      <c r="A171" s="45"/>
      <c r="B171" s="45"/>
      <c r="C171" s="45"/>
      <c r="D171" s="45"/>
      <c r="E171" s="45"/>
      <c r="F171" s="45"/>
      <c r="G171" s="45"/>
      <c r="H171" s="45"/>
      <c r="I171" s="45"/>
      <c r="J171" s="45"/>
    </row>
    <row r="172" spans="1:10" ht="15.75">
      <c r="A172" s="45"/>
      <c r="B172" s="45"/>
      <c r="C172" s="45"/>
      <c r="D172" s="45"/>
      <c r="E172" s="45"/>
      <c r="F172" s="45"/>
      <c r="G172" s="45"/>
      <c r="H172" s="45"/>
      <c r="I172" s="45"/>
      <c r="J172" s="45"/>
    </row>
    <row r="173" spans="1:10" ht="15.75">
      <c r="A173" s="45"/>
      <c r="B173" s="45"/>
      <c r="C173" s="45"/>
      <c r="D173" s="45"/>
      <c r="E173" s="45"/>
      <c r="F173" s="45"/>
      <c r="G173" s="45"/>
      <c r="H173" s="45"/>
      <c r="I173" s="45"/>
      <c r="J173" s="45"/>
    </row>
    <row r="174" spans="1:10" ht="15.75">
      <c r="A174" s="45"/>
      <c r="B174" s="45"/>
      <c r="C174" s="45"/>
      <c r="D174" s="45"/>
      <c r="E174" s="45"/>
      <c r="F174" s="45"/>
      <c r="G174" s="45"/>
      <c r="H174" s="45"/>
      <c r="I174" s="45"/>
      <c r="J174" s="45"/>
    </row>
    <row r="175" spans="1:10" ht="15.75">
      <c r="A175" s="45"/>
      <c r="B175" s="45"/>
      <c r="C175" s="45"/>
      <c r="D175" s="45"/>
      <c r="E175" s="45"/>
      <c r="F175" s="45"/>
      <c r="G175" s="45"/>
      <c r="H175" s="45"/>
      <c r="I175" s="45"/>
      <c r="J175" s="45"/>
    </row>
    <row r="176" spans="1:10" ht="15.75">
      <c r="A176" s="45"/>
      <c r="B176" s="45"/>
      <c r="C176" s="45"/>
      <c r="D176" s="45"/>
      <c r="E176" s="45"/>
      <c r="F176" s="45"/>
      <c r="G176" s="45"/>
      <c r="H176" s="45"/>
      <c r="I176" s="45"/>
      <c r="J176" s="45"/>
    </row>
    <row r="177" spans="1:10" ht="15.75">
      <c r="A177" s="45"/>
      <c r="B177" s="45"/>
      <c r="C177" s="45"/>
      <c r="D177" s="45"/>
      <c r="E177" s="45"/>
      <c r="F177" s="45"/>
      <c r="G177" s="45"/>
      <c r="H177" s="45"/>
      <c r="I177" s="45"/>
      <c r="J177" s="45"/>
    </row>
    <row r="178" spans="1:10" ht="15.75">
      <c r="A178" s="45"/>
      <c r="B178" s="45"/>
      <c r="C178" s="45"/>
      <c r="D178" s="45"/>
      <c r="E178" s="45"/>
      <c r="F178" s="45"/>
      <c r="G178" s="45"/>
      <c r="H178" s="45"/>
      <c r="I178" s="45"/>
      <c r="J178" s="45"/>
    </row>
    <row r="179" spans="1:10" ht="15.75">
      <c r="A179" s="45"/>
      <c r="B179" s="45"/>
      <c r="C179" s="45"/>
      <c r="D179" s="45"/>
      <c r="E179" s="45"/>
      <c r="F179" s="45"/>
      <c r="G179" s="45"/>
      <c r="H179" s="45"/>
      <c r="I179" s="45"/>
      <c r="J179" s="45"/>
    </row>
    <row r="180" spans="1:10" ht="15.75">
      <c r="A180" s="45"/>
      <c r="B180" s="45"/>
      <c r="C180" s="45"/>
      <c r="D180" s="45"/>
      <c r="E180" s="45"/>
      <c r="F180" s="45"/>
      <c r="G180" s="45"/>
      <c r="H180" s="45"/>
      <c r="I180" s="45"/>
      <c r="J180" s="45"/>
    </row>
    <row r="181" spans="1:10" ht="15.75">
      <c r="A181" s="45"/>
      <c r="B181" s="45"/>
      <c r="C181" s="45"/>
      <c r="D181" s="45"/>
      <c r="E181" s="45"/>
      <c r="F181" s="45"/>
      <c r="G181" s="45"/>
      <c r="H181" s="45"/>
      <c r="I181" s="45"/>
      <c r="J181" s="45"/>
    </row>
    <row r="182" spans="1:10" ht="15.75">
      <c r="A182" s="45"/>
      <c r="B182" s="45"/>
      <c r="C182" s="45"/>
      <c r="D182" s="45"/>
      <c r="E182" s="45"/>
      <c r="F182" s="45"/>
      <c r="G182" s="45"/>
      <c r="H182" s="45"/>
      <c r="I182" s="45"/>
      <c r="J182" s="45"/>
    </row>
    <row r="183" spans="1:10" ht="15.75">
      <c r="A183" s="45"/>
      <c r="B183" s="45"/>
      <c r="C183" s="45"/>
      <c r="D183" s="45"/>
      <c r="E183" s="45"/>
      <c r="F183" s="45"/>
      <c r="G183" s="45"/>
      <c r="H183" s="45"/>
      <c r="I183" s="45"/>
      <c r="J183" s="45"/>
    </row>
    <row r="184" spans="1:10" ht="15.75">
      <c r="A184" s="45"/>
      <c r="B184" s="45"/>
      <c r="C184" s="45"/>
      <c r="D184" s="45"/>
      <c r="E184" s="45"/>
      <c r="F184" s="45"/>
      <c r="G184" s="45"/>
      <c r="H184" s="45"/>
      <c r="I184" s="45"/>
      <c r="J184" s="45"/>
    </row>
    <row r="185" spans="1:10" ht="15.75">
      <c r="A185" s="45"/>
      <c r="B185" s="45"/>
      <c r="C185" s="45"/>
      <c r="D185" s="45"/>
      <c r="E185" s="45"/>
      <c r="F185" s="45"/>
      <c r="G185" s="45"/>
      <c r="H185" s="45"/>
      <c r="I185" s="45"/>
      <c r="J185" s="45"/>
    </row>
    <row r="186" spans="1:10" ht="15.75">
      <c r="A186" s="45"/>
      <c r="B186" s="45"/>
      <c r="C186" s="45"/>
      <c r="D186" s="45"/>
      <c r="E186" s="45"/>
      <c r="F186" s="45"/>
      <c r="G186" s="45"/>
      <c r="H186" s="45"/>
      <c r="I186" s="45"/>
      <c r="J186" s="45"/>
    </row>
    <row r="187" spans="1:10" ht="15.75">
      <c r="A187" s="45"/>
      <c r="B187" s="45"/>
      <c r="C187" s="45"/>
      <c r="D187" s="45"/>
      <c r="E187" s="45"/>
      <c r="F187" s="45"/>
      <c r="G187" s="45"/>
      <c r="H187" s="45"/>
      <c r="I187" s="45"/>
      <c r="J187" s="45"/>
    </row>
    <row r="188" spans="1:10" ht="15.75">
      <c r="A188" s="45"/>
      <c r="B188" s="45"/>
      <c r="C188" s="45"/>
      <c r="D188" s="45"/>
      <c r="E188" s="45"/>
      <c r="F188" s="45"/>
      <c r="G188" s="45"/>
      <c r="H188" s="45"/>
      <c r="I188" s="45"/>
      <c r="J188" s="45"/>
    </row>
    <row r="189" spans="1:10" ht="15.75">
      <c r="A189" s="45"/>
      <c r="B189" s="45"/>
      <c r="C189" s="45"/>
      <c r="D189" s="45"/>
      <c r="E189" s="45"/>
      <c r="F189" s="45"/>
      <c r="G189" s="45"/>
      <c r="H189" s="45"/>
      <c r="I189" s="45"/>
      <c r="J189" s="45"/>
    </row>
    <row r="190" spans="1:10" ht="15.75">
      <c r="A190" s="45"/>
      <c r="B190" s="45"/>
      <c r="C190" s="45"/>
      <c r="D190" s="45"/>
      <c r="E190" s="45"/>
      <c r="F190" s="45"/>
      <c r="G190" s="45"/>
      <c r="H190" s="45"/>
      <c r="I190" s="45"/>
      <c r="J190" s="45"/>
    </row>
    <row r="191" spans="1:10" ht="15.75">
      <c r="A191" s="45"/>
      <c r="B191" s="45"/>
      <c r="C191" s="45"/>
      <c r="D191" s="45"/>
      <c r="E191" s="45"/>
      <c r="F191" s="45"/>
      <c r="G191" s="45"/>
      <c r="H191" s="45"/>
      <c r="I191" s="45"/>
      <c r="J191" s="45"/>
    </row>
  </sheetData>
  <mergeCells count="19">
    <mergeCell ref="B68:I68"/>
    <mergeCell ref="B50:I50"/>
    <mergeCell ref="A12:I12"/>
    <mergeCell ref="A32:I32"/>
    <mergeCell ref="A14:J14"/>
    <mergeCell ref="A22:J22"/>
    <mergeCell ref="A51:J51"/>
    <mergeCell ref="C1:I1"/>
    <mergeCell ref="B2:I2"/>
    <mergeCell ref="C4:I4"/>
    <mergeCell ref="A60:J60"/>
    <mergeCell ref="A34:J34"/>
    <mergeCell ref="A42:J42"/>
    <mergeCell ref="B59:I59"/>
    <mergeCell ref="E5:H5"/>
    <mergeCell ref="E6:H6"/>
    <mergeCell ref="E7:H7"/>
    <mergeCell ref="E8:H8"/>
    <mergeCell ref="E9:H9"/>
  </mergeCells>
  <hyperlinks>
    <hyperlink ref="B52" r:id="rId1" display="https://zakupki.gov.ru/epz/contract/contractCard/common-info.html?reestrNumber=2690500901826000018"/>
    <hyperlink ref="B53" r:id="rId2"/>
    <hyperlink ref="B55" r:id="rId3" display="https://zakupki.gov.ru/epz/contract/contractCard/common-info.html?reestrNumber=2690500901826000027"/>
    <hyperlink ref="B57" r:id="rId4"/>
    <hyperlink ref="B58" r:id="rId5"/>
    <hyperlink ref="B61" r:id="rId6"/>
    <hyperlink ref="B62" r:id="rId7" display=" 2690500901826000045"/>
    <hyperlink ref="B63" r:id="rId8"/>
    <hyperlink ref="B64" r:id="rId9" display="https://zakupki.gov.ru/epz/contract/contractCard/common-info.html?reestrNumber=2690500901823000033"/>
    <hyperlink ref="B15" r:id="rId10"/>
    <hyperlink ref="B16" r:id="rId11"/>
    <hyperlink ref="B65" r:id="rId12"/>
    <hyperlink ref="B66" r:id="rId13"/>
    <hyperlink ref="B17" r:id="rId14"/>
    <hyperlink ref="B67" r:id="rId15"/>
    <hyperlink ref="B44" r:id="rId16"/>
    <hyperlink ref="B43" r:id="rId17"/>
    <hyperlink ref="B45" r:id="rId18"/>
    <hyperlink ref="B46" r:id="rId19"/>
    <hyperlink ref="B47" r:id="rId20"/>
    <hyperlink ref="B48" r:id="rId21"/>
    <hyperlink ref="B56" r:id="rId22"/>
    <hyperlink ref="B54" r:id="rId23"/>
    <hyperlink ref="B49" r:id="rId24"/>
  </hyperlinks>
  <pageMargins left="0.7" right="0.7" top="0.75" bottom="0.75" header="0.3" footer="0.3"/>
  <pageSetup paperSize="9" orientation="portrait" r:id="rId25"/>
</worksheet>
</file>

<file path=xl/worksheets/sheet5.xml><?xml version="1.0" encoding="utf-8"?>
<worksheet xmlns="http://schemas.openxmlformats.org/spreadsheetml/2006/main" xmlns:r="http://schemas.openxmlformats.org/officeDocument/2006/relationships">
  <dimension ref="A8:E12"/>
  <sheetViews>
    <sheetView workbookViewId="0">
      <selection activeCell="K12" sqref="K12"/>
    </sheetView>
  </sheetViews>
  <sheetFormatPr defaultRowHeight="15"/>
  <cols>
    <col min="1" max="1" width="37.5703125" customWidth="1"/>
    <col min="2" max="2" width="13" customWidth="1"/>
    <col min="3" max="3" width="13.140625" customWidth="1"/>
    <col min="4" max="4" width="15.42578125" customWidth="1"/>
    <col min="5" max="5" width="16.140625" customWidth="1"/>
  </cols>
  <sheetData>
    <row r="8" spans="1:5">
      <c r="A8" s="81"/>
      <c r="B8" s="81">
        <v>2</v>
      </c>
      <c r="C8" s="81">
        <v>3</v>
      </c>
      <c r="D8" s="81">
        <v>4</v>
      </c>
      <c r="E8" s="81">
        <v>5</v>
      </c>
    </row>
    <row r="9" spans="1:5" ht="30">
      <c r="A9" s="82" t="s">
        <v>74</v>
      </c>
      <c r="B9" s="83">
        <v>11144</v>
      </c>
      <c r="C9" s="83">
        <v>10704</v>
      </c>
      <c r="D9" s="83">
        <v>10044</v>
      </c>
      <c r="E9" s="83">
        <v>7332</v>
      </c>
    </row>
    <row r="10" spans="1:5">
      <c r="A10" s="81"/>
      <c r="B10" s="84">
        <f t="shared" ref="B10:C10" si="0">(B9-C9)/C9</f>
        <v>4.1106128550074741E-2</v>
      </c>
      <c r="C10" s="84">
        <f t="shared" si="0"/>
        <v>6.5710872162485071E-2</v>
      </c>
      <c r="D10" s="84">
        <f>(D9-E9)/E9</f>
        <v>0.36988543371522092</v>
      </c>
      <c r="E10" s="81"/>
    </row>
    <row r="11" spans="1:5">
      <c r="A11" s="81"/>
      <c r="B11" s="83" t="s">
        <v>27</v>
      </c>
      <c r="C11" s="83">
        <f>Расчет!J50</f>
        <v>30781743.276000001</v>
      </c>
      <c r="D11" s="83">
        <f>Расчет!J59</f>
        <v>29595717.352000006</v>
      </c>
      <c r="E11" s="83">
        <f>Расчет!J68</f>
        <v>20424999.723999999</v>
      </c>
    </row>
    <row r="12" spans="1:5">
      <c r="A12" s="81"/>
      <c r="B12" s="83">
        <f>C11*(1+B10)</f>
        <v>32047061.572098654</v>
      </c>
      <c r="C12" s="83">
        <f>D11*(1+C10)</f>
        <v>31540477.751474317</v>
      </c>
      <c r="D12" s="83">
        <f>E11*(1+D10)</f>
        <v>27979909.605545007</v>
      </c>
      <c r="E12" s="83">
        <f>E11</f>
        <v>20424999.723999999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Титульный лист</vt:lpstr>
      <vt:lpstr>Ремонт (усовершенствованное)</vt:lpstr>
      <vt:lpstr>Лист1</vt:lpstr>
      <vt:lpstr>Расчет</vt:lpstr>
      <vt:lpstr>Лист3</vt:lpstr>
    </vt:vector>
  </TitlesOfParts>
  <Company>ГКУ "Дирекция ТДФ"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Собянин Евгений Андреевич (new)</dc:creator>
  <cp:lastModifiedBy>Собянин Евгений Андреевич (new)</cp:lastModifiedBy>
  <dcterms:created xsi:type="dcterms:W3CDTF">2026-08-31T09:49:51Z</dcterms:created>
  <dcterms:modified xsi:type="dcterms:W3CDTF">2026-10-28T06:02:03Z</dcterms:modified>
</cp:coreProperties>
</file>