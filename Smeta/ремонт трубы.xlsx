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2040" windowHeight="1185" firstSheet="1" activeTab="1"/>
  </bookViews>
  <sheets>
    <sheet name="RV_DATA" sheetId="8" state="hidden" r:id="rId1"/>
    <sheet name="Смета по ФСНБ 421+557прРИМ" sheetId="7" r:id="rId2"/>
    <sheet name="Source" sheetId="1" r:id="rId3"/>
    <sheet name="SourceObSm" sheetId="2" r:id="rId4"/>
    <sheet name="SmtRes" sheetId="3" r:id="rId5"/>
    <sheet name="EtalonRes" sheetId="4" r:id="rId6"/>
    <sheet name="SrcPoprs" sheetId="5" r:id="rId7"/>
    <sheet name="SrcKA" sheetId="6" r:id="rId8"/>
  </sheets>
  <definedNames>
    <definedName name="_xlnm.Print_Titles" localSheetId="1">'Смета по ФСНБ 421+557прРИМ'!$51:$51</definedName>
    <definedName name="_xlnm.Print_Area" localSheetId="1">'Смета по ФСНБ 421+557прРИМ'!$A$1:$L$404</definedName>
  </definedNames>
  <calcPr calcId="125725" iterate="1"/>
</workbook>
</file>

<file path=xl/calcChain.xml><?xml version="1.0" encoding="utf-8"?>
<calcChain xmlns="http://schemas.openxmlformats.org/spreadsheetml/2006/main">
  <c r="H402" i="7"/>
  <c r="H399"/>
  <c r="C402"/>
  <c r="C399"/>
  <c r="B360"/>
  <c r="B358"/>
  <c r="B320"/>
  <c r="B318"/>
  <c r="Z48" i="8"/>
  <c r="S48"/>
  <c r="P48"/>
  <c r="N48"/>
  <c r="K48"/>
  <c r="I48"/>
  <c r="T48" s="1"/>
  <c r="H48"/>
  <c r="G48"/>
  <c r="F48"/>
  <c r="E48"/>
  <c r="D48"/>
  <c r="A48"/>
  <c r="Z47"/>
  <c r="S47"/>
  <c r="P47"/>
  <c r="N47"/>
  <c r="K47"/>
  <c r="I47"/>
  <c r="T47" s="1"/>
  <c r="H47"/>
  <c r="G47"/>
  <c r="F47"/>
  <c r="E47"/>
  <c r="D47"/>
  <c r="A47"/>
  <c r="Z46"/>
  <c r="S46"/>
  <c r="P46"/>
  <c r="N46"/>
  <c r="K46"/>
  <c r="I46"/>
  <c r="T46" s="1"/>
  <c r="H46"/>
  <c r="G46"/>
  <c r="F46"/>
  <c r="E46"/>
  <c r="D46"/>
  <c r="A46"/>
  <c r="Z45"/>
  <c r="T45"/>
  <c r="S45"/>
  <c r="P45"/>
  <c r="O45"/>
  <c r="N45"/>
  <c r="K45"/>
  <c r="J45"/>
  <c r="I45"/>
  <c r="R45" s="1"/>
  <c r="H45"/>
  <c r="G45"/>
  <c r="F45"/>
  <c r="E45"/>
  <c r="Z44"/>
  <c r="T44"/>
  <c r="S44"/>
  <c r="P44"/>
  <c r="O44"/>
  <c r="N44"/>
  <c r="K44"/>
  <c r="J44"/>
  <c r="I44"/>
  <c r="R44" s="1"/>
  <c r="H44"/>
  <c r="G44"/>
  <c r="F44"/>
  <c r="E44"/>
  <c r="Z43"/>
  <c r="T43"/>
  <c r="S43"/>
  <c r="P43"/>
  <c r="O43"/>
  <c r="N43"/>
  <c r="K43"/>
  <c r="J43"/>
  <c r="I43"/>
  <c r="R43" s="1"/>
  <c r="H43"/>
  <c r="G43"/>
  <c r="F43"/>
  <c r="E43"/>
  <c r="Z42"/>
  <c r="T42"/>
  <c r="S42"/>
  <c r="P42"/>
  <c r="O42"/>
  <c r="N42"/>
  <c r="K42"/>
  <c r="J42"/>
  <c r="I42"/>
  <c r="R42" s="1"/>
  <c r="H42"/>
  <c r="G42"/>
  <c r="F42"/>
  <c r="E42"/>
  <c r="Z41"/>
  <c r="T41"/>
  <c r="S41"/>
  <c r="P41"/>
  <c r="O41"/>
  <c r="N41"/>
  <c r="K41"/>
  <c r="J41"/>
  <c r="I41"/>
  <c r="R41" s="1"/>
  <c r="H41"/>
  <c r="G41"/>
  <c r="F41"/>
  <c r="E41"/>
  <c r="Z40"/>
  <c r="T40"/>
  <c r="S40"/>
  <c r="P40"/>
  <c r="O40"/>
  <c r="N40"/>
  <c r="K40"/>
  <c r="J40"/>
  <c r="I40"/>
  <c r="R40" s="1"/>
  <c r="H40"/>
  <c r="G40"/>
  <c r="F40"/>
  <c r="E40"/>
  <c r="Z39"/>
  <c r="T39"/>
  <c r="S39"/>
  <c r="P39"/>
  <c r="O39"/>
  <c r="N39"/>
  <c r="K39"/>
  <c r="J39"/>
  <c r="I39"/>
  <c r="R39" s="1"/>
  <c r="H39"/>
  <c r="G39"/>
  <c r="F39"/>
  <c r="E39"/>
  <c r="Z38"/>
  <c r="S38"/>
  <c r="P38"/>
  <c r="R38" s="1"/>
  <c r="N38"/>
  <c r="K38"/>
  <c r="M38" s="1"/>
  <c r="I38"/>
  <c r="T38" s="1"/>
  <c r="H38"/>
  <c r="G38"/>
  <c r="F38"/>
  <c r="E38"/>
  <c r="D38"/>
  <c r="A38"/>
  <c r="Z37"/>
  <c r="S37"/>
  <c r="P37"/>
  <c r="R37" s="1"/>
  <c r="N37"/>
  <c r="K37"/>
  <c r="M37" s="1"/>
  <c r="I37"/>
  <c r="T37" s="1"/>
  <c r="H37"/>
  <c r="G37"/>
  <c r="F37"/>
  <c r="E37"/>
  <c r="D37"/>
  <c r="A37"/>
  <c r="Z36"/>
  <c r="T36"/>
  <c r="S36"/>
  <c r="P36"/>
  <c r="O36"/>
  <c r="N36"/>
  <c r="K36"/>
  <c r="J36"/>
  <c r="I36"/>
  <c r="R36" s="1"/>
  <c r="H36"/>
  <c r="G36"/>
  <c r="F36"/>
  <c r="E36"/>
  <c r="Z35"/>
  <c r="T35"/>
  <c r="S35"/>
  <c r="P35"/>
  <c r="O35"/>
  <c r="N35"/>
  <c r="K35"/>
  <c r="J35"/>
  <c r="I35"/>
  <c r="R35" s="1"/>
  <c r="H35"/>
  <c r="G35"/>
  <c r="F35"/>
  <c r="E35"/>
  <c r="Z34"/>
  <c r="T34"/>
  <c r="S34"/>
  <c r="P34"/>
  <c r="O34"/>
  <c r="N34"/>
  <c r="K34"/>
  <c r="J34"/>
  <c r="I34"/>
  <c r="R34" s="1"/>
  <c r="H34"/>
  <c r="G34"/>
  <c r="F34"/>
  <c r="E34"/>
  <c r="Z33"/>
  <c r="T33"/>
  <c r="S33"/>
  <c r="P33"/>
  <c r="O33"/>
  <c r="N33"/>
  <c r="K33"/>
  <c r="J33"/>
  <c r="I33"/>
  <c r="R33" s="1"/>
  <c r="H33"/>
  <c r="G33"/>
  <c r="F33"/>
  <c r="E33"/>
  <c r="Z32"/>
  <c r="T32"/>
  <c r="S32"/>
  <c r="P32"/>
  <c r="O32"/>
  <c r="N32"/>
  <c r="K32"/>
  <c r="J32"/>
  <c r="I32"/>
  <c r="R32" s="1"/>
  <c r="H32"/>
  <c r="G32"/>
  <c r="F32"/>
  <c r="E32"/>
  <c r="Z31"/>
  <c r="T31"/>
  <c r="S31"/>
  <c r="P31"/>
  <c r="O31"/>
  <c r="N31"/>
  <c r="K31"/>
  <c r="J31"/>
  <c r="I31"/>
  <c r="R31" s="1"/>
  <c r="H31"/>
  <c r="G31"/>
  <c r="F31"/>
  <c r="E31"/>
  <c r="Z30"/>
  <c r="T30"/>
  <c r="S30"/>
  <c r="P30"/>
  <c r="O30"/>
  <c r="N30"/>
  <c r="K30"/>
  <c r="J30"/>
  <c r="I30"/>
  <c r="R30" s="1"/>
  <c r="H30"/>
  <c r="G30"/>
  <c r="F30"/>
  <c r="E30"/>
  <c r="Z29"/>
  <c r="T29"/>
  <c r="S29"/>
  <c r="P29"/>
  <c r="O29"/>
  <c r="N29"/>
  <c r="K29"/>
  <c r="J29"/>
  <c r="I29"/>
  <c r="R29" s="1"/>
  <c r="H29"/>
  <c r="G29"/>
  <c r="F29"/>
  <c r="E29"/>
  <c r="Z28"/>
  <c r="S28"/>
  <c r="T28" s="1"/>
  <c r="P28"/>
  <c r="R28" s="1"/>
  <c r="N28"/>
  <c r="O28" s="1"/>
  <c r="K28"/>
  <c r="M28" s="1"/>
  <c r="I28"/>
  <c r="H28"/>
  <c r="G28"/>
  <c r="F28"/>
  <c r="E28"/>
  <c r="D28"/>
  <c r="A28"/>
  <c r="Z27"/>
  <c r="S27"/>
  <c r="T27" s="1"/>
  <c r="P27"/>
  <c r="R27" s="1"/>
  <c r="N27"/>
  <c r="O27" s="1"/>
  <c r="K27"/>
  <c r="M27" s="1"/>
  <c r="I27"/>
  <c r="H27"/>
  <c r="G27"/>
  <c r="F27"/>
  <c r="E27"/>
  <c r="D27"/>
  <c r="A27"/>
  <c r="Z26"/>
  <c r="T26"/>
  <c r="S26"/>
  <c r="P26"/>
  <c r="O26"/>
  <c r="N26"/>
  <c r="K26"/>
  <c r="J26"/>
  <c r="I26"/>
  <c r="R26" s="1"/>
  <c r="H26"/>
  <c r="G26"/>
  <c r="F26"/>
  <c r="E26"/>
  <c r="Z25"/>
  <c r="T25"/>
  <c r="S25"/>
  <c r="P25"/>
  <c r="O25"/>
  <c r="N25"/>
  <c r="K25"/>
  <c r="J25"/>
  <c r="I25"/>
  <c r="R25" s="1"/>
  <c r="H25"/>
  <c r="G25"/>
  <c r="F25"/>
  <c r="E25"/>
  <c r="Z24"/>
  <c r="T24"/>
  <c r="S24"/>
  <c r="P24"/>
  <c r="O24"/>
  <c r="N24"/>
  <c r="K24"/>
  <c r="J24"/>
  <c r="I24"/>
  <c r="R24" s="1"/>
  <c r="H24"/>
  <c r="G24"/>
  <c r="F24"/>
  <c r="E24"/>
  <c r="Z23"/>
  <c r="T23"/>
  <c r="S23"/>
  <c r="P23"/>
  <c r="O23"/>
  <c r="N23"/>
  <c r="K23"/>
  <c r="J23"/>
  <c r="I23"/>
  <c r="R23" s="1"/>
  <c r="H23"/>
  <c r="G23"/>
  <c r="F23"/>
  <c r="E23"/>
  <c r="Z22"/>
  <c r="T22"/>
  <c r="S22"/>
  <c r="P22"/>
  <c r="O22"/>
  <c r="N22"/>
  <c r="K22"/>
  <c r="J22"/>
  <c r="I22"/>
  <c r="R22" s="1"/>
  <c r="H22"/>
  <c r="G22"/>
  <c r="F22"/>
  <c r="E22"/>
  <c r="Z21"/>
  <c r="T21"/>
  <c r="S21"/>
  <c r="P21"/>
  <c r="O21"/>
  <c r="N21"/>
  <c r="K21"/>
  <c r="J21"/>
  <c r="I21"/>
  <c r="R21" s="1"/>
  <c r="H21"/>
  <c r="G21"/>
  <c r="F21"/>
  <c r="E21"/>
  <c r="Z20"/>
  <c r="T20"/>
  <c r="S20"/>
  <c r="P20"/>
  <c r="O20"/>
  <c r="N20"/>
  <c r="K20"/>
  <c r="J20"/>
  <c r="I20"/>
  <c r="R20" s="1"/>
  <c r="H20"/>
  <c r="G20"/>
  <c r="F20"/>
  <c r="E20"/>
  <c r="Z19"/>
  <c r="T19"/>
  <c r="S19"/>
  <c r="P19"/>
  <c r="O19"/>
  <c r="N19"/>
  <c r="K19"/>
  <c r="J19"/>
  <c r="I19"/>
  <c r="R19" s="1"/>
  <c r="H19"/>
  <c r="G19"/>
  <c r="F19"/>
  <c r="E19"/>
  <c r="Z18"/>
  <c r="T18"/>
  <c r="S18"/>
  <c r="P18"/>
  <c r="O18"/>
  <c r="N18"/>
  <c r="K18"/>
  <c r="J18"/>
  <c r="I18"/>
  <c r="R18" s="1"/>
  <c r="H18"/>
  <c r="G18"/>
  <c r="F18"/>
  <c r="E18"/>
  <c r="Z17"/>
  <c r="T17"/>
  <c r="S17"/>
  <c r="P17"/>
  <c r="O17"/>
  <c r="N17"/>
  <c r="K17"/>
  <c r="J17"/>
  <c r="I17"/>
  <c r="R17" s="1"/>
  <c r="H17"/>
  <c r="G17"/>
  <c r="F17"/>
  <c r="E17"/>
  <c r="Z16"/>
  <c r="T16"/>
  <c r="S16"/>
  <c r="P16"/>
  <c r="O16"/>
  <c r="N16"/>
  <c r="K16"/>
  <c r="J16"/>
  <c r="I16"/>
  <c r="R16" s="1"/>
  <c r="H16"/>
  <c r="G16"/>
  <c r="F16"/>
  <c r="E16"/>
  <c r="Z15"/>
  <c r="T15"/>
  <c r="S15"/>
  <c r="P15"/>
  <c r="O15"/>
  <c r="N15"/>
  <c r="K15"/>
  <c r="J15"/>
  <c r="I15"/>
  <c r="R15" s="1"/>
  <c r="H15"/>
  <c r="G15"/>
  <c r="F15"/>
  <c r="E15"/>
  <c r="Z14"/>
  <c r="T14"/>
  <c r="S14"/>
  <c r="P14"/>
  <c r="O14"/>
  <c r="N14"/>
  <c r="K14"/>
  <c r="J14"/>
  <c r="I14"/>
  <c r="R14" s="1"/>
  <c r="H14"/>
  <c r="G14"/>
  <c r="F14"/>
  <c r="E14"/>
  <c r="Z13"/>
  <c r="T13"/>
  <c r="S13"/>
  <c r="P13"/>
  <c r="O13"/>
  <c r="N13"/>
  <c r="K13"/>
  <c r="J13"/>
  <c r="I13"/>
  <c r="R13" s="1"/>
  <c r="H13"/>
  <c r="G13"/>
  <c r="F13"/>
  <c r="E13"/>
  <c r="Z12"/>
  <c r="T12"/>
  <c r="S12"/>
  <c r="P12"/>
  <c r="O12"/>
  <c r="N12"/>
  <c r="K12"/>
  <c r="J12"/>
  <c r="I12"/>
  <c r="R12" s="1"/>
  <c r="H12"/>
  <c r="G12"/>
  <c r="F12"/>
  <c r="E12"/>
  <c r="Z11"/>
  <c r="T11"/>
  <c r="S11"/>
  <c r="P11"/>
  <c r="O11"/>
  <c r="N11"/>
  <c r="K11"/>
  <c r="J11"/>
  <c r="I11"/>
  <c r="R11" s="1"/>
  <c r="H11"/>
  <c r="G11"/>
  <c r="F11"/>
  <c r="E11"/>
  <c r="Z10"/>
  <c r="T10"/>
  <c r="S10"/>
  <c r="P10"/>
  <c r="O10"/>
  <c r="N10"/>
  <c r="K10"/>
  <c r="J10"/>
  <c r="I10"/>
  <c r="R10" s="1"/>
  <c r="H10"/>
  <c r="G10"/>
  <c r="F10"/>
  <c r="E10"/>
  <c r="Z9"/>
  <c r="T9"/>
  <c r="S9"/>
  <c r="P9"/>
  <c r="O9"/>
  <c r="N9"/>
  <c r="K9"/>
  <c r="J9"/>
  <c r="I9"/>
  <c r="R9" s="1"/>
  <c r="H9"/>
  <c r="G9"/>
  <c r="F9"/>
  <c r="E9"/>
  <c r="Z8"/>
  <c r="T8"/>
  <c r="S8"/>
  <c r="P8"/>
  <c r="O8"/>
  <c r="N8"/>
  <c r="K8"/>
  <c r="J8"/>
  <c r="I8"/>
  <c r="R8" s="1"/>
  <c r="H8"/>
  <c r="G8"/>
  <c r="F8"/>
  <c r="E8"/>
  <c r="Z7"/>
  <c r="E386" i="7" s="1"/>
  <c r="T7" i="8"/>
  <c r="S7"/>
  <c r="P7"/>
  <c r="O7"/>
  <c r="N7"/>
  <c r="K7"/>
  <c r="J7"/>
  <c r="I7"/>
  <c r="R7" s="1"/>
  <c r="H7"/>
  <c r="G7"/>
  <c r="F7"/>
  <c r="E7"/>
  <c r="G6"/>
  <c r="A6"/>
  <c r="C43" i="7"/>
  <c r="L316"/>
  <c r="C316"/>
  <c r="L315"/>
  <c r="C315"/>
  <c r="L314"/>
  <c r="C314"/>
  <c r="L313"/>
  <c r="C313"/>
  <c r="L312"/>
  <c r="C312"/>
  <c r="L308"/>
  <c r="L307"/>
  <c r="L304"/>
  <c r="L303"/>
  <c r="L301" s="1"/>
  <c r="L297"/>
  <c r="L296"/>
  <c r="L292"/>
  <c r="L280"/>
  <c r="L279"/>
  <c r="L278"/>
  <c r="L277"/>
  <c r="L276"/>
  <c r="L275"/>
  <c r="L273" s="1"/>
  <c r="L272"/>
  <c r="L271"/>
  <c r="L269"/>
  <c r="L267" s="1"/>
  <c r="L266"/>
  <c r="L264" s="1"/>
  <c r="L261"/>
  <c r="L260"/>
  <c r="L259"/>
  <c r="L254"/>
  <c r="L253"/>
  <c r="L251" s="1"/>
  <c r="L249"/>
  <c r="L248"/>
  <c r="L247"/>
  <c r="L246"/>
  <c r="L245"/>
  <c r="L244"/>
  <c r="L242" s="1"/>
  <c r="L241"/>
  <c r="L240"/>
  <c r="L238"/>
  <c r="L236" s="1"/>
  <c r="L235"/>
  <c r="L233" s="1"/>
  <c r="L231" s="1"/>
  <c r="L226"/>
  <c r="L225"/>
  <c r="L221"/>
  <c r="AT207"/>
  <c r="AR207"/>
  <c r="AO207"/>
  <c r="BA207"/>
  <c r="AZ207"/>
  <c r="AE207"/>
  <c r="AD207"/>
  <c r="C206"/>
  <c r="L205"/>
  <c r="AW207" s="1"/>
  <c r="J205"/>
  <c r="E205"/>
  <c r="G205"/>
  <c r="D205"/>
  <c r="C205"/>
  <c r="B205"/>
  <c r="L203"/>
  <c r="AW204"/>
  <c r="AT204"/>
  <c r="AR204"/>
  <c r="BA204"/>
  <c r="AZ204"/>
  <c r="AE204"/>
  <c r="AD204"/>
  <c r="C202"/>
  <c r="L201"/>
  <c r="AN204" s="1"/>
  <c r="I201"/>
  <c r="H201"/>
  <c r="J201" s="1"/>
  <c r="E201"/>
  <c r="G201"/>
  <c r="D201"/>
  <c r="C201"/>
  <c r="B201"/>
  <c r="AE200"/>
  <c r="AD200"/>
  <c r="G199"/>
  <c r="E199"/>
  <c r="G198"/>
  <c r="E198"/>
  <c r="L196"/>
  <c r="J196"/>
  <c r="E196"/>
  <c r="G196" s="1"/>
  <c r="AT195"/>
  <c r="AO195"/>
  <c r="BA195"/>
  <c r="AZ195"/>
  <c r="AE195"/>
  <c r="AD195"/>
  <c r="L195"/>
  <c r="AN195" s="1"/>
  <c r="I195"/>
  <c r="J195" s="1"/>
  <c r="H195"/>
  <c r="E195"/>
  <c r="G195"/>
  <c r="D195"/>
  <c r="C195"/>
  <c r="B195"/>
  <c r="L192"/>
  <c r="AW200" s="1"/>
  <c r="L193"/>
  <c r="J193"/>
  <c r="G193"/>
  <c r="L188"/>
  <c r="L187" s="1"/>
  <c r="AO200" s="1"/>
  <c r="L191"/>
  <c r="J191"/>
  <c r="G191"/>
  <c r="L190"/>
  <c r="J190"/>
  <c r="G190"/>
  <c r="E190"/>
  <c r="L189"/>
  <c r="I189"/>
  <c r="J189" s="1"/>
  <c r="H189"/>
  <c r="G189"/>
  <c r="L186"/>
  <c r="L185" s="1"/>
  <c r="J186"/>
  <c r="G186"/>
  <c r="C184"/>
  <c r="E183"/>
  <c r="G183"/>
  <c r="D183"/>
  <c r="C183"/>
  <c r="AW182"/>
  <c r="AE182"/>
  <c r="AD182"/>
  <c r="G181"/>
  <c r="E181"/>
  <c r="G180"/>
  <c r="E180"/>
  <c r="L174"/>
  <c r="L173" s="1"/>
  <c r="AO182" s="1"/>
  <c r="L177"/>
  <c r="J177"/>
  <c r="E177"/>
  <c r="L176"/>
  <c r="J176"/>
  <c r="G176"/>
  <c r="L175"/>
  <c r="I175"/>
  <c r="J175" s="1"/>
  <c r="H175"/>
  <c r="G175"/>
  <c r="L172"/>
  <c r="L171" s="1"/>
  <c r="J172"/>
  <c r="G172"/>
  <c r="C170"/>
  <c r="E169"/>
  <c r="G169"/>
  <c r="G177" s="1"/>
  <c r="D169"/>
  <c r="C169"/>
  <c r="AE168"/>
  <c r="AD168"/>
  <c r="G167"/>
  <c r="E167"/>
  <c r="G166"/>
  <c r="E166"/>
  <c r="AW164"/>
  <c r="AN164"/>
  <c r="BA164"/>
  <c r="AZ164"/>
  <c r="AE164"/>
  <c r="AD164"/>
  <c r="L164"/>
  <c r="I164"/>
  <c r="H164"/>
  <c r="J164" s="1"/>
  <c r="E164"/>
  <c r="G164"/>
  <c r="D164"/>
  <c r="C164"/>
  <c r="B164"/>
  <c r="BA163"/>
  <c r="AZ163"/>
  <c r="AE163"/>
  <c r="AD163"/>
  <c r="L163"/>
  <c r="AN163" s="1"/>
  <c r="I163"/>
  <c r="H163"/>
  <c r="J163" s="1"/>
  <c r="E163"/>
  <c r="G163"/>
  <c r="D163"/>
  <c r="C163"/>
  <c r="B163"/>
  <c r="G161"/>
  <c r="E161"/>
  <c r="D161"/>
  <c r="C161"/>
  <c r="B161"/>
  <c r="G160"/>
  <c r="E160"/>
  <c r="D160"/>
  <c r="C160"/>
  <c r="B160"/>
  <c r="L159"/>
  <c r="I159"/>
  <c r="H159"/>
  <c r="J159" s="1"/>
  <c r="G159"/>
  <c r="L158"/>
  <c r="I158"/>
  <c r="J158" s="1"/>
  <c r="H158"/>
  <c r="G158"/>
  <c r="L157"/>
  <c r="J157"/>
  <c r="I157"/>
  <c r="H157"/>
  <c r="G157"/>
  <c r="L156"/>
  <c r="L155" s="1"/>
  <c r="AW168" s="1"/>
  <c r="I156"/>
  <c r="H156"/>
  <c r="J156" s="1"/>
  <c r="G156"/>
  <c r="L154"/>
  <c r="J154"/>
  <c r="E154"/>
  <c r="G154" s="1"/>
  <c r="L153"/>
  <c r="J153"/>
  <c r="G153"/>
  <c r="L152"/>
  <c r="J152"/>
  <c r="E152"/>
  <c r="G152" s="1"/>
  <c r="L151"/>
  <c r="J151"/>
  <c r="G151"/>
  <c r="L150"/>
  <c r="L148" s="1"/>
  <c r="J150"/>
  <c r="G150"/>
  <c r="E150"/>
  <c r="L149"/>
  <c r="I149"/>
  <c r="J149" s="1"/>
  <c r="H149"/>
  <c r="G149"/>
  <c r="L146"/>
  <c r="L145" s="1"/>
  <c r="J146"/>
  <c r="G146"/>
  <c r="E144"/>
  <c r="G144"/>
  <c r="D144"/>
  <c r="C144"/>
  <c r="L142"/>
  <c r="AW143"/>
  <c r="AT143"/>
  <c r="AR143"/>
  <c r="AO143"/>
  <c r="BA143"/>
  <c r="AZ143"/>
  <c r="AE143"/>
  <c r="AD143"/>
  <c r="C141"/>
  <c r="L140"/>
  <c r="K143" s="1"/>
  <c r="J140"/>
  <c r="E140"/>
  <c r="G140"/>
  <c r="D140"/>
  <c r="C140"/>
  <c r="B140"/>
  <c r="AW139"/>
  <c r="AT139"/>
  <c r="AR139"/>
  <c r="L136" s="1"/>
  <c r="AE139"/>
  <c r="AD139"/>
  <c r="G138"/>
  <c r="E138"/>
  <c r="G137"/>
  <c r="E137"/>
  <c r="L135"/>
  <c r="J135"/>
  <c r="G135"/>
  <c r="E135"/>
  <c r="AT134"/>
  <c r="AO134"/>
  <c r="AN134"/>
  <c r="BA134"/>
  <c r="AZ134"/>
  <c r="AE134"/>
  <c r="AD134"/>
  <c r="L134"/>
  <c r="I134"/>
  <c r="H134"/>
  <c r="J134" s="1"/>
  <c r="E134"/>
  <c r="G134"/>
  <c r="D134"/>
  <c r="C134"/>
  <c r="B134"/>
  <c r="L130"/>
  <c r="L129" s="1"/>
  <c r="L132"/>
  <c r="J132"/>
  <c r="G132"/>
  <c r="E132"/>
  <c r="L131"/>
  <c r="J131"/>
  <c r="G131"/>
  <c r="C128"/>
  <c r="E127"/>
  <c r="G127"/>
  <c r="D127"/>
  <c r="C127"/>
  <c r="AR126"/>
  <c r="AE126"/>
  <c r="AD126"/>
  <c r="G125"/>
  <c r="E125"/>
  <c r="G124"/>
  <c r="E124"/>
  <c r="G121"/>
  <c r="E121"/>
  <c r="D121"/>
  <c r="C121"/>
  <c r="B121"/>
  <c r="L120"/>
  <c r="J120"/>
  <c r="G120"/>
  <c r="L119"/>
  <c r="I119"/>
  <c r="J119" s="1"/>
  <c r="H119"/>
  <c r="G119"/>
  <c r="L118"/>
  <c r="J118"/>
  <c r="I118"/>
  <c r="H118"/>
  <c r="G118"/>
  <c r="L117"/>
  <c r="I117"/>
  <c r="H117"/>
  <c r="J117" s="1"/>
  <c r="G117"/>
  <c r="L116"/>
  <c r="L115" s="1"/>
  <c r="AW126" s="1"/>
  <c r="I116"/>
  <c r="H116"/>
  <c r="J116" s="1"/>
  <c r="G116"/>
  <c r="L114"/>
  <c r="J114"/>
  <c r="E114"/>
  <c r="G114" s="1"/>
  <c r="L113"/>
  <c r="J113"/>
  <c r="G113"/>
  <c r="L112"/>
  <c r="L110" s="1"/>
  <c r="J112"/>
  <c r="E112"/>
  <c r="G112" s="1"/>
  <c r="L111"/>
  <c r="I111"/>
  <c r="H111"/>
  <c r="J111" s="1"/>
  <c r="G111"/>
  <c r="L107"/>
  <c r="L108"/>
  <c r="J108"/>
  <c r="G108"/>
  <c r="C106"/>
  <c r="E105"/>
  <c r="G105"/>
  <c r="D105"/>
  <c r="C105"/>
  <c r="AE104"/>
  <c r="AD104"/>
  <c r="G103"/>
  <c r="E103"/>
  <c r="G102"/>
  <c r="E102"/>
  <c r="L99"/>
  <c r="J99"/>
  <c r="I99"/>
  <c r="H99"/>
  <c r="G99"/>
  <c r="L98"/>
  <c r="L96" s="1"/>
  <c r="AW104" s="1"/>
  <c r="I98"/>
  <c r="H98"/>
  <c r="J98" s="1"/>
  <c r="G98"/>
  <c r="L97"/>
  <c r="J97"/>
  <c r="G97"/>
  <c r="L95"/>
  <c r="J95"/>
  <c r="I95"/>
  <c r="H95"/>
  <c r="G95"/>
  <c r="L94"/>
  <c r="L92" s="1"/>
  <c r="J94"/>
  <c r="E94"/>
  <c r="G94" s="1"/>
  <c r="L93"/>
  <c r="I93"/>
  <c r="H93"/>
  <c r="J93" s="1"/>
  <c r="G93"/>
  <c r="L90"/>
  <c r="L89" s="1"/>
  <c r="J90"/>
  <c r="G90"/>
  <c r="E88"/>
  <c r="G88"/>
  <c r="D88"/>
  <c r="C88"/>
  <c r="AE87"/>
  <c r="AD87"/>
  <c r="G86"/>
  <c r="E86"/>
  <c r="G85"/>
  <c r="E85"/>
  <c r="G82"/>
  <c r="F82"/>
  <c r="E82"/>
  <c r="D82"/>
  <c r="C82"/>
  <c r="B82"/>
  <c r="L81"/>
  <c r="J81"/>
  <c r="G81"/>
  <c r="F81"/>
  <c r="L80"/>
  <c r="I80"/>
  <c r="H80"/>
  <c r="J80" s="1"/>
  <c r="G80"/>
  <c r="F80"/>
  <c r="L79"/>
  <c r="I79"/>
  <c r="J79" s="1"/>
  <c r="H79"/>
  <c r="G79"/>
  <c r="F79"/>
  <c r="L78"/>
  <c r="L76" s="1"/>
  <c r="AW87" s="1"/>
  <c r="I78"/>
  <c r="H78"/>
  <c r="J78" s="1"/>
  <c r="G78"/>
  <c r="F78"/>
  <c r="L77"/>
  <c r="I77"/>
  <c r="J77" s="1"/>
  <c r="H77"/>
  <c r="G77"/>
  <c r="F77"/>
  <c r="L75"/>
  <c r="J75"/>
  <c r="F75"/>
  <c r="E75"/>
  <c r="G75" s="1"/>
  <c r="L74"/>
  <c r="J74"/>
  <c r="G74"/>
  <c r="F74"/>
  <c r="L73"/>
  <c r="L71" s="1"/>
  <c r="J73"/>
  <c r="F73"/>
  <c r="E73"/>
  <c r="G73" s="1"/>
  <c r="L72"/>
  <c r="I72"/>
  <c r="H72"/>
  <c r="J72" s="1"/>
  <c r="G72"/>
  <c r="F72"/>
  <c r="L69"/>
  <c r="L68" s="1"/>
  <c r="J69"/>
  <c r="G69"/>
  <c r="F69"/>
  <c r="C67"/>
  <c r="E65"/>
  <c r="G65"/>
  <c r="D65"/>
  <c r="C65"/>
  <c r="AW64"/>
  <c r="AR64"/>
  <c r="AE64"/>
  <c r="AD64"/>
  <c r="G63"/>
  <c r="E63"/>
  <c r="G62"/>
  <c r="E62"/>
  <c r="L59"/>
  <c r="L57" s="1"/>
  <c r="J59"/>
  <c r="E59"/>
  <c r="G59" s="1"/>
  <c r="L58"/>
  <c r="I58"/>
  <c r="H58"/>
  <c r="J58" s="1"/>
  <c r="G58"/>
  <c r="L54"/>
  <c r="L55"/>
  <c r="J55"/>
  <c r="G55"/>
  <c r="C53"/>
  <c r="E52"/>
  <c r="G52"/>
  <c r="D52"/>
  <c r="C52"/>
  <c r="A27"/>
  <c r="A25"/>
  <c r="A22"/>
  <c r="F16"/>
  <c r="F14"/>
  <c r="CO6"/>
  <c r="F6"/>
  <c r="CO4"/>
  <c r="F4"/>
  <c r="A1"/>
  <c r="A1" i="4"/>
  <c r="A2"/>
  <c r="A3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1" i="3"/>
  <c r="Y1"/>
  <c r="CX1" s="1"/>
  <c r="CY1"/>
  <c r="CZ1"/>
  <c r="DB1" s="1"/>
  <c r="DA1"/>
  <c r="DC1"/>
  <c r="A2"/>
  <c r="Y2"/>
  <c r="CY2"/>
  <c r="CZ2"/>
  <c r="DB2" s="1"/>
  <c r="DA2"/>
  <c r="DC2"/>
  <c r="A3"/>
  <c r="Y3"/>
  <c r="CW3" s="1"/>
  <c r="V24" i="1" s="1"/>
  <c r="G57" i="7" s="1"/>
  <c r="CY3" i="3"/>
  <c r="CZ3"/>
  <c r="DA3"/>
  <c r="DB3"/>
  <c r="DC3"/>
  <c r="A4"/>
  <c r="Y4"/>
  <c r="CV4" s="1"/>
  <c r="U25" i="1" s="1"/>
  <c r="G68" i="7" s="1"/>
  <c r="CY4" i="3"/>
  <c r="CZ4"/>
  <c r="DA4"/>
  <c r="DB4"/>
  <c r="DC4"/>
  <c r="A5"/>
  <c r="Y5"/>
  <c r="CY5"/>
  <c r="CZ5"/>
  <c r="DA5"/>
  <c r="DB5"/>
  <c r="DC5"/>
  <c r="A6"/>
  <c r="Y6"/>
  <c r="CX6" s="1"/>
  <c r="CY6"/>
  <c r="CZ6"/>
  <c r="DB6" s="1"/>
  <c r="DA6"/>
  <c r="DC6"/>
  <c r="A7"/>
  <c r="Y7"/>
  <c r="CW7" s="1"/>
  <c r="CY7"/>
  <c r="CZ7"/>
  <c r="DA7"/>
  <c r="DB7"/>
  <c r="DC7"/>
  <c r="A8"/>
  <c r="Y8"/>
  <c r="CX8" s="1"/>
  <c r="CY8"/>
  <c r="CZ8"/>
  <c r="DB8" s="1"/>
  <c r="DA8"/>
  <c r="DC8"/>
  <c r="A9"/>
  <c r="Y9"/>
  <c r="CY9"/>
  <c r="CZ9"/>
  <c r="DB9" s="1"/>
  <c r="DA9"/>
  <c r="DC9"/>
  <c r="A10"/>
  <c r="Y10"/>
  <c r="CX10" s="1"/>
  <c r="CY10"/>
  <c r="CZ10"/>
  <c r="DA10"/>
  <c r="DB10"/>
  <c r="DC10"/>
  <c r="A11"/>
  <c r="Y11"/>
  <c r="CY11"/>
  <c r="CZ11"/>
  <c r="DA11"/>
  <c r="DB11"/>
  <c r="DC11"/>
  <c r="A12"/>
  <c r="Y12"/>
  <c r="CX12" s="1"/>
  <c r="CY12"/>
  <c r="CZ12"/>
  <c r="DB12" s="1"/>
  <c r="DA12"/>
  <c r="DC12"/>
  <c r="A13"/>
  <c r="Y13"/>
  <c r="CY13"/>
  <c r="CZ13"/>
  <c r="DB13" s="1"/>
  <c r="DA13"/>
  <c r="DC13"/>
  <c r="A14"/>
  <c r="Y14"/>
  <c r="CX14" s="1"/>
  <c r="CY14"/>
  <c r="CZ14"/>
  <c r="DB14" s="1"/>
  <c r="DA14"/>
  <c r="DC14"/>
  <c r="A15"/>
  <c r="Y15"/>
  <c r="CY15"/>
  <c r="CZ15"/>
  <c r="DB15" s="1"/>
  <c r="DA15"/>
  <c r="DC15"/>
  <c r="A16"/>
  <c r="Y16"/>
  <c r="CW16" s="1"/>
  <c r="CY16"/>
  <c r="CZ16"/>
  <c r="DA16"/>
  <c r="DB16"/>
  <c r="DC16"/>
  <c r="A17"/>
  <c r="Y17"/>
  <c r="CX17" s="1"/>
  <c r="CY17"/>
  <c r="CZ17"/>
  <c r="DB17" s="1"/>
  <c r="DA17"/>
  <c r="DC17"/>
  <c r="A18"/>
  <c r="Y18"/>
  <c r="CX18" s="1"/>
  <c r="CY18"/>
  <c r="CZ18"/>
  <c r="DA18"/>
  <c r="DB18"/>
  <c r="DC18"/>
  <c r="A19"/>
  <c r="Y19"/>
  <c r="CY19"/>
  <c r="CZ19"/>
  <c r="DA19"/>
  <c r="DB19"/>
  <c r="DC19"/>
  <c r="A20"/>
  <c r="Y20"/>
  <c r="CX20" s="1"/>
  <c r="CY20"/>
  <c r="CZ20"/>
  <c r="DB20" s="1"/>
  <c r="DA20"/>
  <c r="DC20"/>
  <c r="A21"/>
  <c r="Y21"/>
  <c r="CY21"/>
  <c r="CZ21"/>
  <c r="DA21"/>
  <c r="DB21"/>
  <c r="DC21"/>
  <c r="A22"/>
  <c r="Y22"/>
  <c r="CX22" s="1"/>
  <c r="CY22"/>
  <c r="CZ22"/>
  <c r="DB22" s="1"/>
  <c r="DA22"/>
  <c r="DC22"/>
  <c r="A23"/>
  <c r="Y23"/>
  <c r="CY23"/>
  <c r="CZ23"/>
  <c r="DA23"/>
  <c r="DB23"/>
  <c r="DC23"/>
  <c r="A24"/>
  <c r="Y24"/>
  <c r="CX24" s="1"/>
  <c r="CY24"/>
  <c r="CZ24"/>
  <c r="DB24" s="1"/>
  <c r="DA24"/>
  <c r="DC24"/>
  <c r="A25"/>
  <c r="Y25"/>
  <c r="CY25"/>
  <c r="CZ25"/>
  <c r="DB25" s="1"/>
  <c r="DA25"/>
  <c r="DC25"/>
  <c r="A26"/>
  <c r="Y26"/>
  <c r="CX26" s="1"/>
  <c r="CY26"/>
  <c r="CZ26"/>
  <c r="DA26"/>
  <c r="DB26"/>
  <c r="DC26"/>
  <c r="A27"/>
  <c r="Y27"/>
  <c r="CY27"/>
  <c r="CZ27"/>
  <c r="DA27"/>
  <c r="DB27"/>
  <c r="DC27"/>
  <c r="A28"/>
  <c r="Y28"/>
  <c r="CX28" s="1"/>
  <c r="CY28"/>
  <c r="CZ28"/>
  <c r="DB28" s="1"/>
  <c r="DA28"/>
  <c r="DC28"/>
  <c r="A29"/>
  <c r="Y29"/>
  <c r="CY29"/>
  <c r="CZ29"/>
  <c r="DB29" s="1"/>
  <c r="DA29"/>
  <c r="DC29"/>
  <c r="A30"/>
  <c r="Y30"/>
  <c r="CX30" s="1"/>
  <c r="CY30"/>
  <c r="CZ30"/>
  <c r="DA30"/>
  <c r="DB30"/>
  <c r="DC30"/>
  <c r="A31"/>
  <c r="Y31"/>
  <c r="CY31"/>
  <c r="CZ31"/>
  <c r="DA31"/>
  <c r="DB31"/>
  <c r="DC31"/>
  <c r="A32"/>
  <c r="Y32"/>
  <c r="CX32" s="1"/>
  <c r="CY32"/>
  <c r="CZ32"/>
  <c r="DB32" s="1"/>
  <c r="DA32"/>
  <c r="DC32"/>
  <c r="A33"/>
  <c r="Y33"/>
  <c r="CW33" s="1"/>
  <c r="CY33"/>
  <c r="CZ33"/>
  <c r="DA33"/>
  <c r="DB33"/>
  <c r="DC33"/>
  <c r="A34"/>
  <c r="Y34"/>
  <c r="CX34" s="1"/>
  <c r="CY34"/>
  <c r="CZ34"/>
  <c r="DB34" s="1"/>
  <c r="DA34"/>
  <c r="DC34"/>
  <c r="A35"/>
  <c r="Y35"/>
  <c r="CY35"/>
  <c r="CZ35"/>
  <c r="DA35"/>
  <c r="DB35"/>
  <c r="DC35"/>
  <c r="A36"/>
  <c r="Y36"/>
  <c r="CX36" s="1"/>
  <c r="CY36"/>
  <c r="CZ36"/>
  <c r="DB36" s="1"/>
  <c r="DA36"/>
  <c r="DC36"/>
  <c r="A37"/>
  <c r="Y37"/>
  <c r="CY37"/>
  <c r="CZ37"/>
  <c r="DA37"/>
  <c r="DB37"/>
  <c r="DC37"/>
  <c r="A38"/>
  <c r="Y38"/>
  <c r="CX38" s="1"/>
  <c r="CY38"/>
  <c r="CZ38"/>
  <c r="DB38" s="1"/>
  <c r="DA38"/>
  <c r="DC38"/>
  <c r="A39"/>
  <c r="Y39"/>
  <c r="CY39"/>
  <c r="CZ39"/>
  <c r="DA39"/>
  <c r="DB39"/>
  <c r="DC39"/>
  <c r="A40"/>
  <c r="Y40"/>
  <c r="CY40"/>
  <c r="CZ40"/>
  <c r="DA40"/>
  <c r="DB40"/>
  <c r="DC40"/>
  <c r="A41"/>
  <c r="Y41"/>
  <c r="CX41" s="1"/>
  <c r="CY41"/>
  <c r="CZ41"/>
  <c r="DB41" s="1"/>
  <c r="DA41"/>
  <c r="DC41"/>
  <c r="A42"/>
  <c r="Y42"/>
  <c r="CY42"/>
  <c r="CZ42"/>
  <c r="DB42" s="1"/>
  <c r="DA42"/>
  <c r="DC42"/>
  <c r="A43"/>
  <c r="Y43"/>
  <c r="CX43" s="1"/>
  <c r="CY43"/>
  <c r="CZ43"/>
  <c r="DA43"/>
  <c r="DB43"/>
  <c r="DC43"/>
  <c r="A44"/>
  <c r="Y44"/>
  <c r="CY44"/>
  <c r="CZ44"/>
  <c r="DA44"/>
  <c r="DB44"/>
  <c r="DC44"/>
  <c r="A45"/>
  <c r="Y45"/>
  <c r="CX45" s="1"/>
  <c r="CY45"/>
  <c r="CZ45"/>
  <c r="DB45" s="1"/>
  <c r="DA45"/>
  <c r="DC45"/>
  <c r="A46"/>
  <c r="Y46"/>
  <c r="CY46"/>
  <c r="CZ46"/>
  <c r="DA46"/>
  <c r="DB46"/>
  <c r="DC46"/>
  <c r="A47"/>
  <c r="Y47"/>
  <c r="CX47" s="1"/>
  <c r="CY47"/>
  <c r="CZ47"/>
  <c r="DB47" s="1"/>
  <c r="DA47"/>
  <c r="DC47"/>
  <c r="A48"/>
  <c r="Y48"/>
  <c r="CY48"/>
  <c r="CZ48"/>
  <c r="DA48"/>
  <c r="DB48"/>
  <c r="DC48"/>
  <c r="A49"/>
  <c r="Y49"/>
  <c r="CX49" s="1"/>
  <c r="CY49"/>
  <c r="CZ49"/>
  <c r="DB49" s="1"/>
  <c r="DA49"/>
  <c r="DC49"/>
  <c r="A50"/>
  <c r="Y50"/>
  <c r="CY50"/>
  <c r="CZ50"/>
  <c r="DA50"/>
  <c r="DB50"/>
  <c r="DC50"/>
  <c r="A51"/>
  <c r="Y51"/>
  <c r="CX51" s="1"/>
  <c r="CY51"/>
  <c r="CZ51"/>
  <c r="DB51" s="1"/>
  <c r="DA51"/>
  <c r="DC51"/>
  <c r="A52"/>
  <c r="Y52"/>
  <c r="CY52"/>
  <c r="CZ52"/>
  <c r="DA52"/>
  <c r="DB52"/>
  <c r="DC52"/>
  <c r="A53"/>
  <c r="Y53"/>
  <c r="CX53" s="1"/>
  <c r="CY53"/>
  <c r="CZ53"/>
  <c r="DB53" s="1"/>
  <c r="DA53"/>
  <c r="DC53"/>
  <c r="A54"/>
  <c r="Y54"/>
  <c r="CY54"/>
  <c r="CZ54"/>
  <c r="DA54"/>
  <c r="DB54"/>
  <c r="DC54"/>
  <c r="A55"/>
  <c r="Y55"/>
  <c r="CY55"/>
  <c r="CZ55"/>
  <c r="DA55"/>
  <c r="DB55"/>
  <c r="DC55"/>
  <c r="A56"/>
  <c r="Y56"/>
  <c r="CX56" s="1"/>
  <c r="CY56"/>
  <c r="CZ56"/>
  <c r="DB56" s="1"/>
  <c r="DA56"/>
  <c r="DC56"/>
  <c r="D12" i="1"/>
  <c r="E18"/>
  <c r="Z18"/>
  <c r="AA18"/>
  <c r="AB18"/>
  <c r="AC18"/>
  <c r="AD18"/>
  <c r="AE18"/>
  <c r="AF18"/>
  <c r="AG18"/>
  <c r="AH18"/>
  <c r="AI18"/>
  <c r="AJ18"/>
  <c r="AK18"/>
  <c r="AL18"/>
  <c r="AM18"/>
  <c r="AN18"/>
  <c r="BE18"/>
  <c r="BF18"/>
  <c r="BG18"/>
  <c r="BH18"/>
  <c r="BI18"/>
  <c r="BJ18"/>
  <c r="BK18"/>
  <c r="BL18"/>
  <c r="BM18"/>
  <c r="BN18"/>
  <c r="BO18"/>
  <c r="BP18"/>
  <c r="BQ18"/>
  <c r="BR18"/>
  <c r="BS18"/>
  <c r="BT18"/>
  <c r="BU18"/>
  <c r="BV18"/>
  <c r="BW18"/>
  <c r="BX18"/>
  <c r="BY18"/>
  <c r="BZ18"/>
  <c r="CA18"/>
  <c r="CB18"/>
  <c r="CC18"/>
  <c r="CD18"/>
  <c r="CE18"/>
  <c r="CF18"/>
  <c r="CG18"/>
  <c r="CH18"/>
  <c r="CI18"/>
  <c r="CJ18"/>
  <c r="CK18"/>
  <c r="CL18"/>
  <c r="CM18"/>
  <c r="CN18"/>
  <c r="CO18"/>
  <c r="CP18"/>
  <c r="CQ18"/>
  <c r="CR18"/>
  <c r="CS18"/>
  <c r="CT18"/>
  <c r="CU18"/>
  <c r="CV18"/>
  <c r="CW18"/>
  <c r="CX18"/>
  <c r="CY18"/>
  <c r="CZ18"/>
  <c r="DA18"/>
  <c r="DB18"/>
  <c r="DC18"/>
  <c r="DD18"/>
  <c r="DE18"/>
  <c r="DF18"/>
  <c r="DG18"/>
  <c r="DH18"/>
  <c r="DI18"/>
  <c r="DJ18"/>
  <c r="DK18"/>
  <c r="DL18"/>
  <c r="DM18"/>
  <c r="DN18"/>
  <c r="DO18"/>
  <c r="DP18"/>
  <c r="DQ18"/>
  <c r="DR18"/>
  <c r="DS18"/>
  <c r="DT18"/>
  <c r="DU18"/>
  <c r="DV18"/>
  <c r="DW18"/>
  <c r="DX18"/>
  <c r="DY18"/>
  <c r="DZ18"/>
  <c r="EA18"/>
  <c r="EB18"/>
  <c r="EC18"/>
  <c r="ED18"/>
  <c r="EE18"/>
  <c r="EF18"/>
  <c r="EG18"/>
  <c r="EH18"/>
  <c r="EI18"/>
  <c r="EJ18"/>
  <c r="EK18"/>
  <c r="EL18"/>
  <c r="EM18"/>
  <c r="EN18"/>
  <c r="EO18"/>
  <c r="EP18"/>
  <c r="EQ18"/>
  <c r="ER18"/>
  <c r="ES18"/>
  <c r="ET18"/>
  <c r="EU18"/>
  <c r="EV18"/>
  <c r="EW18"/>
  <c r="EX18"/>
  <c r="EY18"/>
  <c r="EZ18"/>
  <c r="FA18"/>
  <c r="FB18"/>
  <c r="FC18"/>
  <c r="FD18"/>
  <c r="FE18"/>
  <c r="FF18"/>
  <c r="FG18"/>
  <c r="FH18"/>
  <c r="FI18"/>
  <c r="FJ18"/>
  <c r="FK18"/>
  <c r="FL18"/>
  <c r="FM18"/>
  <c r="FN18"/>
  <c r="FO18"/>
  <c r="FP18"/>
  <c r="FQ18"/>
  <c r="FR18"/>
  <c r="FS18"/>
  <c r="FT18"/>
  <c r="FU18"/>
  <c r="FV18"/>
  <c r="FW18"/>
  <c r="FX18"/>
  <c r="FY18"/>
  <c r="FZ18"/>
  <c r="GA18"/>
  <c r="GB18"/>
  <c r="GC18"/>
  <c r="GD18"/>
  <c r="GE18"/>
  <c r="GF18"/>
  <c r="GG18"/>
  <c r="GH18"/>
  <c r="GI18"/>
  <c r="GJ18"/>
  <c r="GK18"/>
  <c r="GL18"/>
  <c r="GM18"/>
  <c r="GN18"/>
  <c r="GO18"/>
  <c r="GP18"/>
  <c r="GQ18"/>
  <c r="GR18"/>
  <c r="GS18"/>
  <c r="GT18"/>
  <c r="GU18"/>
  <c r="GV18"/>
  <c r="GW18"/>
  <c r="GX18"/>
  <c r="D20"/>
  <c r="E22"/>
  <c r="Z22"/>
  <c r="AA22"/>
  <c r="AM22"/>
  <c r="AN22"/>
  <c r="BE22"/>
  <c r="BF22"/>
  <c r="BG22"/>
  <c r="BH22"/>
  <c r="BI22"/>
  <c r="BJ22"/>
  <c r="BK22"/>
  <c r="BL22"/>
  <c r="BM22"/>
  <c r="BN22"/>
  <c r="BO22"/>
  <c r="BP22"/>
  <c r="BQ22"/>
  <c r="BR22"/>
  <c r="BS22"/>
  <c r="BT22"/>
  <c r="BU22"/>
  <c r="BV22"/>
  <c r="BW22"/>
  <c r="CN22"/>
  <c r="CO22"/>
  <c r="CP22"/>
  <c r="CQ22"/>
  <c r="CR22"/>
  <c r="CS22"/>
  <c r="CT22"/>
  <c r="CU22"/>
  <c r="CV22"/>
  <c r="CW22"/>
  <c r="CX22"/>
  <c r="CY22"/>
  <c r="CZ22"/>
  <c r="DA22"/>
  <c r="DB22"/>
  <c r="DC22"/>
  <c r="DD22"/>
  <c r="DE22"/>
  <c r="DF22"/>
  <c r="DG22"/>
  <c r="DH22"/>
  <c r="DI22"/>
  <c r="DJ22"/>
  <c r="DK22"/>
  <c r="DL22"/>
  <c r="DM22"/>
  <c r="DN22"/>
  <c r="DO22"/>
  <c r="DP22"/>
  <c r="DQ22"/>
  <c r="DR22"/>
  <c r="DS22"/>
  <c r="DT22"/>
  <c r="DU22"/>
  <c r="DV22"/>
  <c r="DW22"/>
  <c r="DX22"/>
  <c r="DY22"/>
  <c r="DZ22"/>
  <c r="EA22"/>
  <c r="EB22"/>
  <c r="EC22"/>
  <c r="ED22"/>
  <c r="EE22"/>
  <c r="EF22"/>
  <c r="EG22"/>
  <c r="EH22"/>
  <c r="EI22"/>
  <c r="EJ22"/>
  <c r="EK22"/>
  <c r="EL22"/>
  <c r="EM22"/>
  <c r="EN22"/>
  <c r="EO22"/>
  <c r="EP22"/>
  <c r="EQ22"/>
  <c r="ER22"/>
  <c r="ES22"/>
  <c r="ET22"/>
  <c r="EU22"/>
  <c r="EV22"/>
  <c r="EW22"/>
  <c r="EX22"/>
  <c r="EY22"/>
  <c r="EZ22"/>
  <c r="FA22"/>
  <c r="FB22"/>
  <c r="FC22"/>
  <c r="FD22"/>
  <c r="FE22"/>
  <c r="FF22"/>
  <c r="FG22"/>
  <c r="FH22"/>
  <c r="FI22"/>
  <c r="FJ22"/>
  <c r="FK22"/>
  <c r="FL22"/>
  <c r="FM22"/>
  <c r="FN22"/>
  <c r="FO22"/>
  <c r="FP22"/>
  <c r="FQ22"/>
  <c r="FR22"/>
  <c r="FS22"/>
  <c r="FT22"/>
  <c r="FU22"/>
  <c r="FV22"/>
  <c r="FW22"/>
  <c r="FX22"/>
  <c r="FY22"/>
  <c r="FZ22"/>
  <c r="GA22"/>
  <c r="GB22"/>
  <c r="GC22"/>
  <c r="GD22"/>
  <c r="GE22"/>
  <c r="GF22"/>
  <c r="GG22"/>
  <c r="GH22"/>
  <c r="GI22"/>
  <c r="GJ22"/>
  <c r="GK22"/>
  <c r="GL22"/>
  <c r="GM22"/>
  <c r="GN22"/>
  <c r="GO22"/>
  <c r="GP22"/>
  <c r="GQ22"/>
  <c r="GR22"/>
  <c r="GS22"/>
  <c r="GT22"/>
  <c r="GU22"/>
  <c r="GV22"/>
  <c r="GW22"/>
  <c r="GX22"/>
  <c r="C24"/>
  <c r="D24"/>
  <c r="I24"/>
  <c r="CX2" i="3" s="1"/>
  <c r="K24" i="1"/>
  <c r="AC24"/>
  <c r="AE24"/>
  <c r="AD24" s="1"/>
  <c r="AF24"/>
  <c r="AG24"/>
  <c r="AH24"/>
  <c r="AI24"/>
  <c r="AJ24"/>
  <c r="CQ24"/>
  <c r="CR24"/>
  <c r="CS24"/>
  <c r="CT24"/>
  <c r="CU24"/>
  <c r="T24" s="1"/>
  <c r="CV24"/>
  <c r="CW24"/>
  <c r="CX24"/>
  <c r="W24" s="1"/>
  <c r="GL24"/>
  <c r="GO24"/>
  <c r="GP24"/>
  <c r="GV24"/>
  <c r="HC24"/>
  <c r="GX24" s="1"/>
  <c r="C25"/>
  <c r="D25"/>
  <c r="I25"/>
  <c r="CX9" i="3" s="1"/>
  <c r="K25" i="1"/>
  <c r="AC25"/>
  <c r="AE25"/>
  <c r="AD25" s="1"/>
  <c r="AB25" s="1"/>
  <c r="AF25"/>
  <c r="AG25"/>
  <c r="CU25" s="1"/>
  <c r="T25" s="1"/>
  <c r="AH25"/>
  <c r="AI25"/>
  <c r="AJ25"/>
  <c r="CX25" s="1"/>
  <c r="W25" s="1"/>
  <c r="CQ25"/>
  <c r="CR25"/>
  <c r="CS25"/>
  <c r="CT25"/>
  <c r="CV25"/>
  <c r="CW25"/>
  <c r="GL25"/>
  <c r="GO25"/>
  <c r="GP25"/>
  <c r="GV25"/>
  <c r="HC25"/>
  <c r="GX25" s="1"/>
  <c r="I26"/>
  <c r="AC26"/>
  <c r="AE26"/>
  <c r="AD26" s="1"/>
  <c r="AF26"/>
  <c r="AG26"/>
  <c r="CU26" s="1"/>
  <c r="T26" s="1"/>
  <c r="AH26"/>
  <c r="AI26"/>
  <c r="AJ26"/>
  <c r="CX26" s="1"/>
  <c r="W26" s="1"/>
  <c r="CQ26"/>
  <c r="P26" s="1"/>
  <c r="CR26"/>
  <c r="Q26" s="1"/>
  <c r="CS26"/>
  <c r="R26" s="1"/>
  <c r="CT26"/>
  <c r="S26" s="1"/>
  <c r="CV26"/>
  <c r="U26" s="1"/>
  <c r="CW26"/>
  <c r="V26" s="1"/>
  <c r="GL26"/>
  <c r="GO26"/>
  <c r="GP26"/>
  <c r="GV26"/>
  <c r="HC26"/>
  <c r="GX26" s="1"/>
  <c r="C27"/>
  <c r="D27"/>
  <c r="I27"/>
  <c r="CX15" i="3" s="1"/>
  <c r="K27" i="1"/>
  <c r="AC27"/>
  <c r="AE27"/>
  <c r="AD27" s="1"/>
  <c r="AF27"/>
  <c r="AG27"/>
  <c r="CU27" s="1"/>
  <c r="T27" s="1"/>
  <c r="AH27"/>
  <c r="AI27"/>
  <c r="AJ27"/>
  <c r="CQ27"/>
  <c r="CR27"/>
  <c r="CS27"/>
  <c r="CT27"/>
  <c r="CV27"/>
  <c r="CW27"/>
  <c r="CX27"/>
  <c r="W27" s="1"/>
  <c r="GL27"/>
  <c r="GO27"/>
  <c r="GP27"/>
  <c r="GV27"/>
  <c r="HC27" s="1"/>
  <c r="GX27" s="1"/>
  <c r="C28"/>
  <c r="D28"/>
  <c r="I28"/>
  <c r="CU21" i="3" s="1"/>
  <c r="K28" i="1"/>
  <c r="AC28"/>
  <c r="AD28"/>
  <c r="AE28"/>
  <c r="AF28"/>
  <c r="AG28"/>
  <c r="AH28"/>
  <c r="AI28"/>
  <c r="AJ28"/>
  <c r="CQ28"/>
  <c r="CR28"/>
  <c r="CS28"/>
  <c r="CT28"/>
  <c r="CU28"/>
  <c r="T28" s="1"/>
  <c r="CV28"/>
  <c r="CW28"/>
  <c r="CX28"/>
  <c r="W28" s="1"/>
  <c r="GL28"/>
  <c r="GO28"/>
  <c r="GP28"/>
  <c r="GV28"/>
  <c r="HC28" s="1"/>
  <c r="GX28" s="1"/>
  <c r="I29"/>
  <c r="AC29"/>
  <c r="AB29" s="1"/>
  <c r="AD29"/>
  <c r="AE29"/>
  <c r="AF29"/>
  <c r="AG29"/>
  <c r="AH29"/>
  <c r="CV29" s="1"/>
  <c r="U29" s="1"/>
  <c r="AI29"/>
  <c r="AJ29"/>
  <c r="CQ29"/>
  <c r="P29" s="1"/>
  <c r="CR29"/>
  <c r="Q29" s="1"/>
  <c r="CS29"/>
  <c r="R29" s="1"/>
  <c r="CT29"/>
  <c r="S29" s="1"/>
  <c r="CU29"/>
  <c r="T29" s="1"/>
  <c r="CW29"/>
  <c r="V29" s="1"/>
  <c r="CX29"/>
  <c r="W29" s="1"/>
  <c r="GL29"/>
  <c r="GO29"/>
  <c r="GP29"/>
  <c r="GV29"/>
  <c r="HC29" s="1"/>
  <c r="GX29" s="1"/>
  <c r="C30"/>
  <c r="D30"/>
  <c r="I30"/>
  <c r="I31" s="1"/>
  <c r="K30"/>
  <c r="U30"/>
  <c r="AC30"/>
  <c r="AB30" s="1"/>
  <c r="AE30"/>
  <c r="AD30" s="1"/>
  <c r="AF30"/>
  <c r="AG30"/>
  <c r="AH30"/>
  <c r="AI30"/>
  <c r="AJ30"/>
  <c r="CQ30"/>
  <c r="CR30"/>
  <c r="CS30"/>
  <c r="CT30"/>
  <c r="CU30"/>
  <c r="T30" s="1"/>
  <c r="CV30"/>
  <c r="CW30"/>
  <c r="CX30"/>
  <c r="W30" s="1"/>
  <c r="GL30"/>
  <c r="GO30"/>
  <c r="GP30"/>
  <c r="GV30"/>
  <c r="HC30"/>
  <c r="GX30" s="1"/>
  <c r="AC31"/>
  <c r="AB31" s="1"/>
  <c r="AE31"/>
  <c r="AD31" s="1"/>
  <c r="AF31"/>
  <c r="AG31"/>
  <c r="AH31"/>
  <c r="AI31"/>
  <c r="CW31" s="1"/>
  <c r="V31" s="1"/>
  <c r="AJ31"/>
  <c r="CQ31"/>
  <c r="P31" s="1"/>
  <c r="CR31"/>
  <c r="Q31" s="1"/>
  <c r="CS31"/>
  <c r="R31" s="1"/>
  <c r="CT31"/>
  <c r="CU31"/>
  <c r="T31" s="1"/>
  <c r="CV31"/>
  <c r="U31" s="1"/>
  <c r="CX31"/>
  <c r="W31" s="1"/>
  <c r="GL31"/>
  <c r="GO31"/>
  <c r="GP31"/>
  <c r="GV31"/>
  <c r="HC31"/>
  <c r="C32"/>
  <c r="D32"/>
  <c r="I32"/>
  <c r="K32"/>
  <c r="AC32"/>
  <c r="AE32"/>
  <c r="AD32" s="1"/>
  <c r="AB32" s="1"/>
  <c r="AF32"/>
  <c r="AG32"/>
  <c r="AH32"/>
  <c r="AI32"/>
  <c r="AJ32"/>
  <c r="CX32" s="1"/>
  <c r="W32" s="1"/>
  <c r="CQ32"/>
  <c r="P32" s="1"/>
  <c r="CR32"/>
  <c r="Q32" s="1"/>
  <c r="CS32"/>
  <c r="R32" s="1"/>
  <c r="CT32"/>
  <c r="S32" s="1"/>
  <c r="CU32"/>
  <c r="T32" s="1"/>
  <c r="CV32"/>
  <c r="U32" s="1"/>
  <c r="CW32"/>
  <c r="V32" s="1"/>
  <c r="GL32"/>
  <c r="GO32"/>
  <c r="GP32"/>
  <c r="GV32"/>
  <c r="HC32"/>
  <c r="GX32" s="1"/>
  <c r="C33"/>
  <c r="D33"/>
  <c r="I33"/>
  <c r="CU35" i="3" s="1"/>
  <c r="K33" i="1"/>
  <c r="AC33"/>
  <c r="AE33"/>
  <c r="AD33" s="1"/>
  <c r="AF33"/>
  <c r="AG33"/>
  <c r="CU33" s="1"/>
  <c r="T33" s="1"/>
  <c r="AH33"/>
  <c r="AI33"/>
  <c r="AJ33"/>
  <c r="CQ33"/>
  <c r="CR33"/>
  <c r="CS33"/>
  <c r="CT33"/>
  <c r="CV33"/>
  <c r="CW33"/>
  <c r="CX33"/>
  <c r="W33" s="1"/>
  <c r="GL33"/>
  <c r="GO33"/>
  <c r="GP33"/>
  <c r="GV33"/>
  <c r="HC33" s="1"/>
  <c r="GX33" s="1"/>
  <c r="I34"/>
  <c r="AC34"/>
  <c r="AB34" s="1"/>
  <c r="AE34"/>
  <c r="AD34" s="1"/>
  <c r="AF34"/>
  <c r="AG34"/>
  <c r="CU34" s="1"/>
  <c r="T34" s="1"/>
  <c r="AH34"/>
  <c r="AI34"/>
  <c r="AJ34"/>
  <c r="CQ34"/>
  <c r="P34" s="1"/>
  <c r="CR34"/>
  <c r="Q34" s="1"/>
  <c r="CS34"/>
  <c r="R34" s="1"/>
  <c r="CT34"/>
  <c r="S34" s="1"/>
  <c r="CV34"/>
  <c r="U34" s="1"/>
  <c r="CW34"/>
  <c r="V34" s="1"/>
  <c r="CX34"/>
  <c r="W34" s="1"/>
  <c r="GL34"/>
  <c r="GO34"/>
  <c r="GP34"/>
  <c r="GV34"/>
  <c r="HC34" s="1"/>
  <c r="GX34" s="1"/>
  <c r="I35"/>
  <c r="AC35"/>
  <c r="AB35" s="1"/>
  <c r="AE35"/>
  <c r="AD35" s="1"/>
  <c r="AF35"/>
  <c r="AG35"/>
  <c r="CU35" s="1"/>
  <c r="T35" s="1"/>
  <c r="AH35"/>
  <c r="CV35" s="1"/>
  <c r="U35" s="1"/>
  <c r="AI35"/>
  <c r="AJ35"/>
  <c r="CQ35"/>
  <c r="P35" s="1"/>
  <c r="CR35"/>
  <c r="Q35" s="1"/>
  <c r="CS35"/>
  <c r="R35" s="1"/>
  <c r="CT35"/>
  <c r="S35" s="1"/>
  <c r="CW35"/>
  <c r="V35" s="1"/>
  <c r="CX35"/>
  <c r="W35" s="1"/>
  <c r="GL35"/>
  <c r="GO35"/>
  <c r="GP35"/>
  <c r="GV35"/>
  <c r="HC35" s="1"/>
  <c r="GX35" s="1"/>
  <c r="C36"/>
  <c r="D36"/>
  <c r="I36"/>
  <c r="CU46" i="3" s="1"/>
  <c r="K36" i="1"/>
  <c r="AC36"/>
  <c r="AE36"/>
  <c r="AD36" s="1"/>
  <c r="AF36"/>
  <c r="AG36"/>
  <c r="AH36"/>
  <c r="AI36"/>
  <c r="AJ36"/>
  <c r="CQ36"/>
  <c r="CR36"/>
  <c r="CS36"/>
  <c r="CT36"/>
  <c r="CU36"/>
  <c r="T36" s="1"/>
  <c r="CV36"/>
  <c r="CW36"/>
  <c r="CX36"/>
  <c r="W36" s="1"/>
  <c r="GL36"/>
  <c r="GO36"/>
  <c r="GP36"/>
  <c r="GV36"/>
  <c r="HC36" s="1"/>
  <c r="GX36" s="1"/>
  <c r="C37"/>
  <c r="D37"/>
  <c r="I37"/>
  <c r="CU50" i="3" s="1"/>
  <c r="K37" i="1"/>
  <c r="AC37"/>
  <c r="AE37"/>
  <c r="AD37" s="1"/>
  <c r="AF37"/>
  <c r="AG37"/>
  <c r="AH37"/>
  <c r="AI37"/>
  <c r="AJ37"/>
  <c r="CQ37"/>
  <c r="CR37"/>
  <c r="CS37"/>
  <c r="CT37"/>
  <c r="CU37"/>
  <c r="T37" s="1"/>
  <c r="CV37"/>
  <c r="CW37"/>
  <c r="CX37"/>
  <c r="W37" s="1"/>
  <c r="GL37"/>
  <c r="GO37"/>
  <c r="GP37"/>
  <c r="GV37"/>
  <c r="HC37"/>
  <c r="GX37" s="1"/>
  <c r="AC38"/>
  <c r="AE38"/>
  <c r="AD38" s="1"/>
  <c r="AF38"/>
  <c r="AG38"/>
  <c r="AH38"/>
  <c r="AI38"/>
  <c r="CW38" s="1"/>
  <c r="AJ38"/>
  <c r="CQ38"/>
  <c r="CR38"/>
  <c r="CS38"/>
  <c r="CT38"/>
  <c r="CU38"/>
  <c r="CV38"/>
  <c r="CX38"/>
  <c r="GL38"/>
  <c r="GO38"/>
  <c r="GP38"/>
  <c r="GV38"/>
  <c r="HC38"/>
  <c r="C39"/>
  <c r="D39"/>
  <c r="I39"/>
  <c r="K39"/>
  <c r="AC39"/>
  <c r="AE39"/>
  <c r="AD39" s="1"/>
  <c r="AB39" s="1"/>
  <c r="AF39"/>
  <c r="AG39"/>
  <c r="AH39"/>
  <c r="AI39"/>
  <c r="AJ39"/>
  <c r="CX39" s="1"/>
  <c r="W39" s="1"/>
  <c r="CQ39"/>
  <c r="P39" s="1"/>
  <c r="CR39"/>
  <c r="Q39" s="1"/>
  <c r="CS39"/>
  <c r="R39" s="1"/>
  <c r="CT39"/>
  <c r="S39" s="1"/>
  <c r="CU39"/>
  <c r="T39" s="1"/>
  <c r="CV39"/>
  <c r="U39" s="1"/>
  <c r="CW39"/>
  <c r="V39" s="1"/>
  <c r="GL39"/>
  <c r="GO39"/>
  <c r="GP39"/>
  <c r="GV39"/>
  <c r="HC39"/>
  <c r="GX39" s="1"/>
  <c r="I40"/>
  <c r="K40"/>
  <c r="AC40"/>
  <c r="AE40"/>
  <c r="AD40" s="1"/>
  <c r="AF40"/>
  <c r="AG40"/>
  <c r="AH40"/>
  <c r="AI40"/>
  <c r="CW40" s="1"/>
  <c r="V40" s="1"/>
  <c r="AJ40"/>
  <c r="CQ40"/>
  <c r="P40" s="1"/>
  <c r="CR40"/>
  <c r="Q40" s="1"/>
  <c r="CS40"/>
  <c r="R40" s="1"/>
  <c r="CT40"/>
  <c r="S40" s="1"/>
  <c r="CU40"/>
  <c r="T40" s="1"/>
  <c r="CV40"/>
  <c r="U40" s="1"/>
  <c r="CX40"/>
  <c r="W40" s="1"/>
  <c r="CY40"/>
  <c r="X40" s="1"/>
  <c r="CZ40"/>
  <c r="Y40" s="1"/>
  <c r="GL40"/>
  <c r="GO40"/>
  <c r="GP40"/>
  <c r="GV40"/>
  <c r="HC40"/>
  <c r="GX40" s="1"/>
  <c r="B42"/>
  <c r="B22" s="1"/>
  <c r="C42"/>
  <c r="C22" s="1"/>
  <c r="D42"/>
  <c r="D22" s="1"/>
  <c r="F42"/>
  <c r="F22" s="1"/>
  <c r="G42"/>
  <c r="G22" s="1"/>
  <c r="BX42"/>
  <c r="AO42" s="1"/>
  <c r="BY42"/>
  <c r="AP42" s="1"/>
  <c r="CK42"/>
  <c r="CL42"/>
  <c r="BC42" s="1"/>
  <c r="CM42"/>
  <c r="CM22" s="1"/>
  <c r="B77"/>
  <c r="B18" s="1"/>
  <c r="C77"/>
  <c r="C18" s="1"/>
  <c r="D77"/>
  <c r="D18" s="1"/>
  <c r="F77"/>
  <c r="F18" s="1"/>
  <c r="G77"/>
  <c r="G18" s="1"/>
  <c r="AP77"/>
  <c r="AP18" s="1"/>
  <c r="F86"/>
  <c r="F12" i="6"/>
  <c r="G12"/>
  <c r="AB27" i="1" l="1"/>
  <c r="AR87" i="7"/>
  <c r="L84" s="1"/>
  <c r="AR104"/>
  <c r="L101" s="1"/>
  <c r="L100"/>
  <c r="AR168"/>
  <c r="L147"/>
  <c r="AO168" s="1"/>
  <c r="AT168"/>
  <c r="I143"/>
  <c r="I204"/>
  <c r="AT87"/>
  <c r="L70"/>
  <c r="AO87" s="1"/>
  <c r="AO139"/>
  <c r="L133"/>
  <c r="L194"/>
  <c r="AR200"/>
  <c r="L56"/>
  <c r="AT64"/>
  <c r="AT104"/>
  <c r="L91"/>
  <c r="AO104" s="1"/>
  <c r="L178"/>
  <c r="AR182"/>
  <c r="L109"/>
  <c r="AT126"/>
  <c r="L123" s="1"/>
  <c r="L256"/>
  <c r="L305" s="1"/>
  <c r="L262"/>
  <c r="AN143"/>
  <c r="AT182"/>
  <c r="AT200"/>
  <c r="K204"/>
  <c r="K207"/>
  <c r="I207" s="1"/>
  <c r="M9" i="8"/>
  <c r="M13"/>
  <c r="M17"/>
  <c r="M21"/>
  <c r="M25"/>
  <c r="M31"/>
  <c r="M35"/>
  <c r="O37"/>
  <c r="O38"/>
  <c r="M41"/>
  <c r="M45"/>
  <c r="E327" i="7"/>
  <c r="E336"/>
  <c r="E338"/>
  <c r="E332"/>
  <c r="E352"/>
  <c r="E342"/>
  <c r="E346"/>
  <c r="E368"/>
  <c r="E377"/>
  <c r="E373"/>
  <c r="E374"/>
  <c r="E383"/>
  <c r="E385"/>
  <c r="E388"/>
  <c r="E390"/>
  <c r="AW163"/>
  <c r="L224" s="1"/>
  <c r="L222" s="1"/>
  <c r="L227"/>
  <c r="M10" i="8"/>
  <c r="M14"/>
  <c r="M18"/>
  <c r="M22"/>
  <c r="M26"/>
  <c r="M32"/>
  <c r="M36"/>
  <c r="M42"/>
  <c r="M46"/>
  <c r="R46"/>
  <c r="M47"/>
  <c r="R47"/>
  <c r="M48"/>
  <c r="R48"/>
  <c r="E328" i="7"/>
  <c r="E337"/>
  <c r="E333"/>
  <c r="E334"/>
  <c r="E343"/>
  <c r="E345"/>
  <c r="E348"/>
  <c r="E350"/>
  <c r="E366"/>
  <c r="E371"/>
  <c r="E370"/>
  <c r="E375"/>
  <c r="E384"/>
  <c r="E387"/>
  <c r="E389"/>
  <c r="E394"/>
  <c r="AO204"/>
  <c r="M7" i="8"/>
  <c r="M11"/>
  <c r="M15"/>
  <c r="M19"/>
  <c r="M23"/>
  <c r="M29"/>
  <c r="M33"/>
  <c r="M39"/>
  <c r="M43"/>
  <c r="E326" i="7"/>
  <c r="E331"/>
  <c r="E330"/>
  <c r="E335"/>
  <c r="E344"/>
  <c r="E347"/>
  <c r="E349"/>
  <c r="E354"/>
  <c r="E364"/>
  <c r="E365"/>
  <c r="E379"/>
  <c r="E380"/>
  <c r="E393"/>
  <c r="E391"/>
  <c r="E395"/>
  <c r="E396"/>
  <c r="AN207"/>
  <c r="M8" i="8"/>
  <c r="M12"/>
  <c r="M16"/>
  <c r="M20"/>
  <c r="M24"/>
  <c r="M30"/>
  <c r="M34"/>
  <c r="M40"/>
  <c r="M44"/>
  <c r="O46"/>
  <c r="O47"/>
  <c r="O48"/>
  <c r="E324" i="7"/>
  <c r="E325"/>
  <c r="E339"/>
  <c r="E340"/>
  <c r="E353"/>
  <c r="E351"/>
  <c r="E355"/>
  <c r="E356"/>
  <c r="E367"/>
  <c r="E376"/>
  <c r="E378"/>
  <c r="E372"/>
  <c r="E392"/>
  <c r="E382"/>
  <c r="CC42" i="1"/>
  <c r="AT42" s="1"/>
  <c r="AT77" s="1"/>
  <c r="CD42"/>
  <c r="AU42" s="1"/>
  <c r="AB36"/>
  <c r="BZ42"/>
  <c r="BZ22" s="1"/>
  <c r="CP35"/>
  <c r="O35" s="1"/>
  <c r="AB28"/>
  <c r="AB26"/>
  <c r="AB24"/>
  <c r="F46"/>
  <c r="AO22"/>
  <c r="AO77"/>
  <c r="BB42"/>
  <c r="CK22"/>
  <c r="CY39"/>
  <c r="X39" s="1"/>
  <c r="CZ39"/>
  <c r="Y39" s="1"/>
  <c r="AP22"/>
  <c r="F51"/>
  <c r="G16" i="2" s="1"/>
  <c r="CZ35" i="1"/>
  <c r="Y35" s="1"/>
  <c r="CY35"/>
  <c r="X35" s="1"/>
  <c r="GM35" s="1"/>
  <c r="GN35" s="1"/>
  <c r="DH15" i="3"/>
  <c r="DG15"/>
  <c r="DF15"/>
  <c r="DI15"/>
  <c r="DJ15" s="1"/>
  <c r="DI51"/>
  <c r="DJ51" s="1"/>
  <c r="DH51"/>
  <c r="DG51"/>
  <c r="DF51"/>
  <c r="DH32"/>
  <c r="DG32"/>
  <c r="DF32"/>
  <c r="DI32"/>
  <c r="DG26"/>
  <c r="DF26"/>
  <c r="DJ26" s="1"/>
  <c r="DI26"/>
  <c r="DH26"/>
  <c r="DI24"/>
  <c r="DH24"/>
  <c r="DG24"/>
  <c r="DF24"/>
  <c r="DG18"/>
  <c r="DF18"/>
  <c r="DJ18" s="1"/>
  <c r="DI18"/>
  <c r="DH18"/>
  <c r="DH6"/>
  <c r="DG6"/>
  <c r="DF6"/>
  <c r="DI6"/>
  <c r="AB40" i="1"/>
  <c r="AB38"/>
  <c r="AB37"/>
  <c r="AB33"/>
  <c r="CP32"/>
  <c r="O32" s="1"/>
  <c r="GX31"/>
  <c r="S31"/>
  <c r="CZ34"/>
  <c r="Y34" s="1"/>
  <c r="CY34"/>
  <c r="X34" s="1"/>
  <c r="CZ29"/>
  <c r="Y29" s="1"/>
  <c r="CY29"/>
  <c r="X29" s="1"/>
  <c r="DI56" i="3"/>
  <c r="DJ56" s="1"/>
  <c r="DH56"/>
  <c r="DG56"/>
  <c r="DF56"/>
  <c r="DI53"/>
  <c r="DH53"/>
  <c r="DG53"/>
  <c r="DF53"/>
  <c r="DI45"/>
  <c r="DH45"/>
  <c r="DG45"/>
  <c r="DF45"/>
  <c r="DJ45" s="1"/>
  <c r="DI34"/>
  <c r="DJ34" s="1"/>
  <c r="DH34"/>
  <c r="DG34"/>
  <c r="DF34"/>
  <c r="DG10"/>
  <c r="DF10"/>
  <c r="DJ10" s="1"/>
  <c r="DI10"/>
  <c r="DH10"/>
  <c r="DI8"/>
  <c r="DH8"/>
  <c r="DG8"/>
  <c r="DF8"/>
  <c r="DJ8" s="1"/>
  <c r="CP31" i="1"/>
  <c r="O31" s="1"/>
  <c r="BC22"/>
  <c r="F58"/>
  <c r="BC77"/>
  <c r="CY26"/>
  <c r="X26" s="1"/>
  <c r="CZ26"/>
  <c r="Y26" s="1"/>
  <c r="DI47" i="3"/>
  <c r="DJ47" s="1"/>
  <c r="DH47"/>
  <c r="DG47"/>
  <c r="DF47"/>
  <c r="DI36"/>
  <c r="DJ36" s="1"/>
  <c r="DH36"/>
  <c r="DG36"/>
  <c r="DF36"/>
  <c r="DG30"/>
  <c r="DF30"/>
  <c r="DJ30" s="1"/>
  <c r="DI30"/>
  <c r="DH30"/>
  <c r="DI28"/>
  <c r="DH28"/>
  <c r="DG28"/>
  <c r="DF28"/>
  <c r="DJ28" s="1"/>
  <c r="DI20"/>
  <c r="DH20"/>
  <c r="DG20"/>
  <c r="DF20"/>
  <c r="DJ20" s="1"/>
  <c r="DH17"/>
  <c r="DG17"/>
  <c r="DF17"/>
  <c r="DI17"/>
  <c r="CP39" i="1"/>
  <c r="O39" s="1"/>
  <c r="GM39" s="1"/>
  <c r="GN39" s="1"/>
  <c r="CP34"/>
  <c r="O34" s="1"/>
  <c r="CP29"/>
  <c r="O29" s="1"/>
  <c r="GM29" s="1"/>
  <c r="GN29" s="1"/>
  <c r="BX22"/>
  <c r="CY32"/>
  <c r="X32" s="1"/>
  <c r="CZ32"/>
  <c r="Y32" s="1"/>
  <c r="DH9" i="3"/>
  <c r="DG9"/>
  <c r="DF9"/>
  <c r="DJ9" s="1"/>
  <c r="DI9"/>
  <c r="DH2"/>
  <c r="DG2"/>
  <c r="DF2"/>
  <c r="DI2"/>
  <c r="DJ2" s="1"/>
  <c r="DI49"/>
  <c r="DH49"/>
  <c r="DG49"/>
  <c r="DF49"/>
  <c r="DG43"/>
  <c r="DF43"/>
  <c r="DJ43" s="1"/>
  <c r="DI43"/>
  <c r="DH43"/>
  <c r="DI41"/>
  <c r="DH41"/>
  <c r="DG41"/>
  <c r="DF41"/>
  <c r="DJ41" s="1"/>
  <c r="DI38"/>
  <c r="DH38"/>
  <c r="DG38"/>
  <c r="DF38"/>
  <c r="DI22"/>
  <c r="DJ22" s="1"/>
  <c r="DH22"/>
  <c r="DG22"/>
  <c r="DF22"/>
  <c r="DI14"/>
  <c r="DH14"/>
  <c r="DG14"/>
  <c r="DF14"/>
  <c r="DI12"/>
  <c r="DH12"/>
  <c r="DG12"/>
  <c r="DF12"/>
  <c r="DJ12" s="1"/>
  <c r="DI1"/>
  <c r="DH1"/>
  <c r="DG1"/>
  <c r="DF1"/>
  <c r="CP40" i="1"/>
  <c r="O40" s="1"/>
  <c r="GM40" s="1"/>
  <c r="GN40" s="1"/>
  <c r="CP26"/>
  <c r="O26" s="1"/>
  <c r="GM26" s="1"/>
  <c r="GN26" s="1"/>
  <c r="BD42"/>
  <c r="CX54" i="3"/>
  <c r="CX52"/>
  <c r="CV50"/>
  <c r="U37" i="1" s="1"/>
  <c r="G185" i="7" s="1"/>
  <c r="CX48" i="3"/>
  <c r="CV46"/>
  <c r="U36" i="1" s="1"/>
  <c r="G171" i="7" s="1"/>
  <c r="CX39" i="3"/>
  <c r="CX37"/>
  <c r="CV35"/>
  <c r="U33" i="1" s="1"/>
  <c r="G145" i="7" s="1"/>
  <c r="CX23" i="3"/>
  <c r="CV21"/>
  <c r="U28" i="1" s="1"/>
  <c r="G107" i="7" s="1"/>
  <c r="CU14" i="3"/>
  <c r="CX4"/>
  <c r="CU1"/>
  <c r="CC22" i="1"/>
  <c r="BY22"/>
  <c r="CX55" i="3"/>
  <c r="CW53"/>
  <c r="CX50"/>
  <c r="CW49"/>
  <c r="CX46"/>
  <c r="CX44"/>
  <c r="CX40"/>
  <c r="CW38"/>
  <c r="CX35"/>
  <c r="CX33"/>
  <c r="CX31"/>
  <c r="CX27"/>
  <c r="CW24"/>
  <c r="CX21"/>
  <c r="CX19"/>
  <c r="CX16"/>
  <c r="CV14"/>
  <c r="U27" i="1" s="1"/>
  <c r="G89" i="7" s="1"/>
  <c r="CX11" i="3"/>
  <c r="CX7"/>
  <c r="CX5"/>
  <c r="CX3"/>
  <c r="CV1"/>
  <c r="U24" i="1" s="1"/>
  <c r="G54" i="7" s="1"/>
  <c r="I38" i="1"/>
  <c r="U38" s="1"/>
  <c r="CL22"/>
  <c r="CW32" i="3"/>
  <c r="V30" i="1" s="1"/>
  <c r="G130" i="7" s="1"/>
  <c r="CW17" i="3"/>
  <c r="V27" i="1" s="1"/>
  <c r="G92" i="7" s="1"/>
  <c r="CW6" i="3"/>
  <c r="V25" i="1" s="1"/>
  <c r="G71" i="7" s="1"/>
  <c r="CU4" i="3"/>
  <c r="CW54"/>
  <c r="CW52"/>
  <c r="CW48"/>
  <c r="V36" i="1" s="1"/>
  <c r="G174" i="7" s="1"/>
  <c r="CX42" i="3"/>
  <c r="CW39"/>
  <c r="CW37"/>
  <c r="CX29"/>
  <c r="CX25"/>
  <c r="CW23"/>
  <c r="V28" i="1" s="1"/>
  <c r="G110" i="7" s="1"/>
  <c r="CX13" i="3"/>
  <c r="CI42" i="1" l="1"/>
  <c r="AZ42" s="1"/>
  <c r="AQ42"/>
  <c r="K40" i="7"/>
  <c r="L291"/>
  <c r="L61"/>
  <c r="L220"/>
  <c r="L286"/>
  <c r="L295"/>
  <c r="L293" s="1"/>
  <c r="L179"/>
  <c r="L197"/>
  <c r="L165"/>
  <c r="AO126"/>
  <c r="L122"/>
  <c r="L298"/>
  <c r="L215"/>
  <c r="L83"/>
  <c r="L60"/>
  <c r="AO64"/>
  <c r="K39"/>
  <c r="L162"/>
  <c r="CD22" i="1"/>
  <c r="CG42"/>
  <c r="F60"/>
  <c r="AT22"/>
  <c r="AT18"/>
  <c r="F95"/>
  <c r="DJ6" i="3"/>
  <c r="DJ32"/>
  <c r="GM34" i="1"/>
  <c r="GN34" s="1"/>
  <c r="DJ17" i="3"/>
  <c r="CJ42" i="1"/>
  <c r="DF3" i="3"/>
  <c r="P24" i="1" s="1"/>
  <c r="DI3" i="3"/>
  <c r="DH3"/>
  <c r="DG3"/>
  <c r="DF33"/>
  <c r="DI33"/>
  <c r="DH33"/>
  <c r="DG33"/>
  <c r="DF7"/>
  <c r="DI7"/>
  <c r="DH7"/>
  <c r="DG7"/>
  <c r="DJ7" s="1"/>
  <c r="DF19"/>
  <c r="DJ19" s="1"/>
  <c r="DI19"/>
  <c r="DH19"/>
  <c r="DG19"/>
  <c r="DF40"/>
  <c r="DJ40" s="1"/>
  <c r="DI40"/>
  <c r="DH40"/>
  <c r="DG40"/>
  <c r="DH25"/>
  <c r="DG25"/>
  <c r="DF25"/>
  <c r="DJ25" s="1"/>
  <c r="DI25"/>
  <c r="DH42"/>
  <c r="DG42"/>
  <c r="DF42"/>
  <c r="DJ42" s="1"/>
  <c r="DI42"/>
  <c r="DF5"/>
  <c r="DI5"/>
  <c r="DJ5" s="1"/>
  <c r="DH5"/>
  <c r="DG5"/>
  <c r="DF16"/>
  <c r="P27" i="1" s="1"/>
  <c r="DI16" i="3"/>
  <c r="DH16"/>
  <c r="DG16"/>
  <c r="DF27"/>
  <c r="DJ27" s="1"/>
  <c r="DI27"/>
  <c r="DH27"/>
  <c r="DG27"/>
  <c r="DG37"/>
  <c r="DF37"/>
  <c r="DI37"/>
  <c r="DH37"/>
  <c r="AQ22" i="1"/>
  <c r="AQ77"/>
  <c r="F52"/>
  <c r="BB22"/>
  <c r="F55"/>
  <c r="BB77"/>
  <c r="AH42"/>
  <c r="P38"/>
  <c r="S38"/>
  <c r="DJ53" i="3"/>
  <c r="GM32" i="1"/>
  <c r="GN32" s="1"/>
  <c r="Q38"/>
  <c r="R38"/>
  <c r="DF35" i="3"/>
  <c r="DI35"/>
  <c r="DH35"/>
  <c r="DG35"/>
  <c r="DF46"/>
  <c r="DI46"/>
  <c r="DH46"/>
  <c r="DG46"/>
  <c r="DF55"/>
  <c r="DJ55" s="1"/>
  <c r="DI55"/>
  <c r="DH55"/>
  <c r="DG55"/>
  <c r="DG4"/>
  <c r="DF4"/>
  <c r="DI4"/>
  <c r="DH4"/>
  <c r="DG48"/>
  <c r="DF48"/>
  <c r="DI48"/>
  <c r="DH48"/>
  <c r="BD22" i="1"/>
  <c r="F67"/>
  <c r="BD77"/>
  <c r="S24"/>
  <c r="DJ1" i="3"/>
  <c r="S27" i="1"/>
  <c r="DJ14" i="3"/>
  <c r="AU22" i="1"/>
  <c r="AU77"/>
  <c r="F61"/>
  <c r="C44" i="7" s="1"/>
  <c r="V38" i="1"/>
  <c r="DF21" i="3"/>
  <c r="DI21"/>
  <c r="DH21"/>
  <c r="DG21"/>
  <c r="DG54"/>
  <c r="DJ54" s="1"/>
  <c r="DF54"/>
  <c r="DI54"/>
  <c r="DH54"/>
  <c r="CZ31" i="1"/>
  <c r="Y31" s="1"/>
  <c r="CY31"/>
  <c r="X31" s="1"/>
  <c r="F81"/>
  <c r="AO18"/>
  <c r="V37"/>
  <c r="G188" i="7" s="1"/>
  <c r="R24" i="1"/>
  <c r="R27"/>
  <c r="W38"/>
  <c r="AJ42" s="1"/>
  <c r="DJ24" i="3"/>
  <c r="DH13"/>
  <c r="DG13"/>
  <c r="DF13"/>
  <c r="DJ13" s="1"/>
  <c r="DI13"/>
  <c r="DF11"/>
  <c r="DJ11" s="1"/>
  <c r="DI11"/>
  <c r="DH11"/>
  <c r="DG11"/>
  <c r="DF44"/>
  <c r="DJ44" s="1"/>
  <c r="DI44"/>
  <c r="DH44"/>
  <c r="DG44"/>
  <c r="DG23"/>
  <c r="DF23"/>
  <c r="DI23"/>
  <c r="DH23"/>
  <c r="DH29"/>
  <c r="DG29"/>
  <c r="DF29"/>
  <c r="DJ29" s="1"/>
  <c r="DI29"/>
  <c r="DF31"/>
  <c r="P30" i="1" s="1"/>
  <c r="DI31" i="3"/>
  <c r="DH31"/>
  <c r="R30" i="1" s="1"/>
  <c r="DG31" i="3"/>
  <c r="Q30" i="1" s="1"/>
  <c r="DF50" i="3"/>
  <c r="P37" i="1" s="1"/>
  <c r="DI50" i="3"/>
  <c r="DH50"/>
  <c r="DG50"/>
  <c r="DG39"/>
  <c r="DF39"/>
  <c r="DI39"/>
  <c r="DH39"/>
  <c r="DG52"/>
  <c r="DF52"/>
  <c r="DI52"/>
  <c r="DH52"/>
  <c r="AX42" i="1"/>
  <c r="CG22"/>
  <c r="F93"/>
  <c r="BC18"/>
  <c r="V33"/>
  <c r="G148" i="7" s="1"/>
  <c r="T38" i="1"/>
  <c r="AG42" s="1"/>
  <c r="DJ38" i="3"/>
  <c r="DJ49"/>
  <c r="GX38" i="1"/>
  <c r="CI22" l="1"/>
  <c r="F16" i="2"/>
  <c r="C42" i="7"/>
  <c r="L218"/>
  <c r="L216" s="1"/>
  <c r="L213" s="1"/>
  <c r="L289"/>
  <c r="L287" s="1"/>
  <c r="L284" s="1"/>
  <c r="DJ52" i="3"/>
  <c r="GM31" i="1"/>
  <c r="GN31" s="1"/>
  <c r="DJ48" i="3"/>
  <c r="Q25" i="1"/>
  <c r="P36"/>
  <c r="AI42"/>
  <c r="AI22" s="1"/>
  <c r="DJ39" i="3"/>
  <c r="DJ23"/>
  <c r="DJ16"/>
  <c r="DJ33"/>
  <c r="DJ3"/>
  <c r="CJ22" i="1"/>
  <c r="BA42"/>
  <c r="DJ21" i="3"/>
  <c r="S28" i="1"/>
  <c r="AU18"/>
  <c r="F96"/>
  <c r="BB18"/>
  <c r="F90"/>
  <c r="DJ50" i="3"/>
  <c r="S37" i="1"/>
  <c r="CZ27"/>
  <c r="Y27" s="1"/>
  <c r="BA104" i="7" s="1"/>
  <c r="L103" s="1"/>
  <c r="CY27" i="1"/>
  <c r="X27" s="1"/>
  <c r="AZ104" i="7" s="1"/>
  <c r="L102" s="1"/>
  <c r="DJ46" i="3"/>
  <c r="S36" i="1"/>
  <c r="DJ35" i="3"/>
  <c r="S33" i="1"/>
  <c r="AH22"/>
  <c r="U42"/>
  <c r="P33"/>
  <c r="R28"/>
  <c r="P25"/>
  <c r="DJ37" i="3"/>
  <c r="AQ18" i="1"/>
  <c r="F87"/>
  <c r="AG22"/>
  <c r="T42"/>
  <c r="W42"/>
  <c r="AJ22"/>
  <c r="BD18"/>
  <c r="F102"/>
  <c r="DJ4" i="3"/>
  <c r="S25" i="1"/>
  <c r="CZ38"/>
  <c r="Y38" s="1"/>
  <c r="CY38"/>
  <c r="X38" s="1"/>
  <c r="AZ22"/>
  <c r="F53"/>
  <c r="AZ77"/>
  <c r="Q24"/>
  <c r="CP24" s="1"/>
  <c r="O24" s="1"/>
  <c r="R37"/>
  <c r="Q28"/>
  <c r="R36"/>
  <c r="R33"/>
  <c r="AX22"/>
  <c r="AX77"/>
  <c r="F49"/>
  <c r="DJ31" i="3"/>
  <c r="S30" i="1"/>
  <c r="CP30" s="1"/>
  <c r="O30" s="1"/>
  <c r="CZ24"/>
  <c r="Y24" s="1"/>
  <c r="BA64" i="7" s="1"/>
  <c r="CY24" i="1"/>
  <c r="X24" s="1"/>
  <c r="AZ64" i="7" s="1"/>
  <c r="Q27" i="1"/>
  <c r="CP27" s="1"/>
  <c r="O27" s="1"/>
  <c r="Q37"/>
  <c r="P28"/>
  <c r="CP28" s="1"/>
  <c r="O28" s="1"/>
  <c r="R25"/>
  <c r="Q36"/>
  <c r="Q33"/>
  <c r="CP38"/>
  <c r="O38" s="1"/>
  <c r="GM38" s="1"/>
  <c r="GN38" s="1"/>
  <c r="L62" i="7" l="1"/>
  <c r="L63"/>
  <c r="AN104"/>
  <c r="K104"/>
  <c r="I104" s="1"/>
  <c r="V42" i="1"/>
  <c r="AC42"/>
  <c r="CE42" s="1"/>
  <c r="CP36"/>
  <c r="O36" s="1"/>
  <c r="AF42"/>
  <c r="AF22" s="1"/>
  <c r="AE42"/>
  <c r="R42" s="1"/>
  <c r="GM27"/>
  <c r="GN27" s="1"/>
  <c r="CP37"/>
  <c r="O37" s="1"/>
  <c r="AX18"/>
  <c r="F84"/>
  <c r="GM24"/>
  <c r="W22"/>
  <c r="F66"/>
  <c r="W77"/>
  <c r="AD42"/>
  <c r="CZ33"/>
  <c r="Y33" s="1"/>
  <c r="BA168" i="7" s="1"/>
  <c r="L167" s="1"/>
  <c r="CY33" i="1"/>
  <c r="X33" s="1"/>
  <c r="AZ168" i="7" s="1"/>
  <c r="L166" s="1"/>
  <c r="CZ28" i="1"/>
  <c r="Y28" s="1"/>
  <c r="BA126" i="7" s="1"/>
  <c r="L125" s="1"/>
  <c r="CY28" i="1"/>
  <c r="X28" s="1"/>
  <c r="V22"/>
  <c r="V77"/>
  <c r="F65"/>
  <c r="CP25"/>
  <c r="O25" s="1"/>
  <c r="CP33"/>
  <c r="O33" s="1"/>
  <c r="CY25"/>
  <c r="X25" s="1"/>
  <c r="AZ87" i="7" s="1"/>
  <c r="L85" s="1"/>
  <c r="CZ25" i="1"/>
  <c r="Y25" s="1"/>
  <c r="AZ18"/>
  <c r="F88"/>
  <c r="CZ30"/>
  <c r="Y30" s="1"/>
  <c r="BA139" i="7" s="1"/>
  <c r="L138" s="1"/>
  <c r="CY30" i="1"/>
  <c r="X30" s="1"/>
  <c r="AZ139" i="7" s="1"/>
  <c r="L137" s="1"/>
  <c r="T77" i="1"/>
  <c r="T22"/>
  <c r="F63"/>
  <c r="U22"/>
  <c r="U77"/>
  <c r="F64"/>
  <c r="CZ36"/>
  <c r="Y36" s="1"/>
  <c r="BA182" i="7" s="1"/>
  <c r="L181" s="1"/>
  <c r="CY36" i="1"/>
  <c r="X36" s="1"/>
  <c r="AZ182" i="7" s="1"/>
  <c r="L180" s="1"/>
  <c r="CZ37" i="1"/>
  <c r="Y37" s="1"/>
  <c r="BA200" i="7" s="1"/>
  <c r="L199" s="1"/>
  <c r="CY37" i="1"/>
  <c r="X37" s="1"/>
  <c r="AZ200" i="7" s="1"/>
  <c r="L198" s="1"/>
  <c r="F62" i="1"/>
  <c r="H16" i="2" s="1"/>
  <c r="BA22" i="1"/>
  <c r="BA77"/>
  <c r="AN168" i="7" l="1"/>
  <c r="K168"/>
  <c r="I168" s="1"/>
  <c r="AL42" i="1"/>
  <c r="BA87" i="7"/>
  <c r="L299"/>
  <c r="L228"/>
  <c r="AN182"/>
  <c r="K182"/>
  <c r="I182" s="1"/>
  <c r="GM28" i="1"/>
  <c r="GN28" s="1"/>
  <c r="AZ126" i="7"/>
  <c r="L124" s="1"/>
  <c r="K64"/>
  <c r="I64" s="1"/>
  <c r="AN64"/>
  <c r="AN139"/>
  <c r="K139"/>
  <c r="I139" s="1"/>
  <c r="K42"/>
  <c r="G310"/>
  <c r="AN200"/>
  <c r="K200"/>
  <c r="I200" s="1"/>
  <c r="K41"/>
  <c r="G309"/>
  <c r="AC22" i="1"/>
  <c r="P42"/>
  <c r="P77" s="1"/>
  <c r="GM37"/>
  <c r="GN37" s="1"/>
  <c r="GM33"/>
  <c r="GN33" s="1"/>
  <c r="CF42"/>
  <c r="AE22"/>
  <c r="GM30"/>
  <c r="GN30" s="1"/>
  <c r="CH42"/>
  <c r="CH22" s="1"/>
  <c r="S42"/>
  <c r="AK42"/>
  <c r="X42" s="1"/>
  <c r="GM36"/>
  <c r="GN36" s="1"/>
  <c r="AL22"/>
  <c r="Y42"/>
  <c r="F97"/>
  <c r="BA18"/>
  <c r="U18"/>
  <c r="F99"/>
  <c r="T18"/>
  <c r="F98"/>
  <c r="AD22"/>
  <c r="Q42"/>
  <c r="GM25"/>
  <c r="GN25" s="1"/>
  <c r="P22"/>
  <c r="F45"/>
  <c r="R22"/>
  <c r="F56"/>
  <c r="R77"/>
  <c r="V18"/>
  <c r="F100"/>
  <c r="F101"/>
  <c r="W18"/>
  <c r="GN24"/>
  <c r="CE22"/>
  <c r="AV42"/>
  <c r="S22"/>
  <c r="S77"/>
  <c r="F57"/>
  <c r="CF22"/>
  <c r="AW42"/>
  <c r="AY42"/>
  <c r="AB42"/>
  <c r="CB42" l="1"/>
  <c r="AS42" s="1"/>
  <c r="K126" i="7"/>
  <c r="I126" s="1"/>
  <c r="AN126"/>
  <c r="L86"/>
  <c r="L229"/>
  <c r="L211" s="1"/>
  <c r="L282" s="1"/>
  <c r="L300"/>
  <c r="J16" i="2"/>
  <c r="AK22" i="1"/>
  <c r="CA42"/>
  <c r="AR42" s="1"/>
  <c r="AY22"/>
  <c r="F50"/>
  <c r="AY77"/>
  <c r="S18"/>
  <c r="F92"/>
  <c r="P18"/>
  <c r="F80"/>
  <c r="X77"/>
  <c r="X22"/>
  <c r="F68"/>
  <c r="O42"/>
  <c r="AB22"/>
  <c r="AV22"/>
  <c r="F47"/>
  <c r="AV77"/>
  <c r="R18"/>
  <c r="F91"/>
  <c r="AW22"/>
  <c r="F48"/>
  <c r="AW77"/>
  <c r="F54"/>
  <c r="Q22"/>
  <c r="Q77"/>
  <c r="Y22"/>
  <c r="F69"/>
  <c r="Y77"/>
  <c r="K87" i="7" l="1"/>
  <c r="I87" s="1"/>
  <c r="AN87"/>
  <c r="CB22" i="1"/>
  <c r="CA22"/>
  <c r="Y18"/>
  <c r="F104"/>
  <c r="AV18"/>
  <c r="F82"/>
  <c r="O22"/>
  <c r="O77"/>
  <c r="F44"/>
  <c r="AW18"/>
  <c r="F83"/>
  <c r="X18"/>
  <c r="F103"/>
  <c r="F89"/>
  <c r="Q18"/>
  <c r="F70"/>
  <c r="F71" s="1"/>
  <c r="AR22"/>
  <c r="AR77"/>
  <c r="F85"/>
  <c r="AY18"/>
  <c r="AS22"/>
  <c r="F59"/>
  <c r="AS77"/>
  <c r="E16" i="2" l="1"/>
  <c r="I16" s="1"/>
  <c r="N16" s="1"/>
  <c r="C41" i="7"/>
  <c r="C38" s="1"/>
  <c r="O18" i="1"/>
  <c r="F79"/>
  <c r="AS18"/>
  <c r="F94"/>
  <c r="F72"/>
  <c r="F73" s="1"/>
  <c r="F105"/>
  <c r="AR18"/>
  <c r="F74" l="1"/>
  <c r="F75" s="1"/>
</calcChain>
</file>

<file path=xl/sharedStrings.xml><?xml version="1.0" encoding="utf-8"?>
<sst xmlns="http://schemas.openxmlformats.org/spreadsheetml/2006/main" count="3030" uniqueCount="510">
  <si>
    <t>Smeta.RU  (495) 974-1589</t>
  </si>
  <si>
    <t>_PS_</t>
  </si>
  <si>
    <t>Smeta.RU</t>
  </si>
  <si>
    <t/>
  </si>
  <si>
    <t>Новый проект 4</t>
  </si>
  <si>
    <t>ремонт трубы</t>
  </si>
  <si>
    <t>Новый объект строительства</t>
  </si>
  <si>
    <t>Сметные нормы списания</t>
  </si>
  <si>
    <t>Коды ценников</t>
  </si>
  <si>
    <t>ФСНБ-2022_И17</t>
  </si>
  <si>
    <t>Версия 1.17.0 для ФСНБ-2022 И17</t>
  </si>
  <si>
    <t>ФСНБ-2022 - Изменения И17</t>
  </si>
  <si>
    <t>Поправки для ФСНБ-2022 от 25.02.2026 г И17 (55/пр) Капитальный ремонт производственных зданий</t>
  </si>
  <si>
    <t>Приказ Минстроя России от 30.12.2021 г. № 1046/пр;  Приказ Минстроя России от 04.08.2020 г. № 421/пр;  Приказ Минстроя России от 21.12.2020 г. № 812/пр;  Приказ Минстроя России от 11.12.2020 г. № 774/пр</t>
  </si>
  <si>
    <t>ГСН</t>
  </si>
  <si>
    <t>Новая локальная смета</t>
  </si>
  <si>
    <t>1</t>
  </si>
  <si>
    <t>01-01-010-38</t>
  </si>
  <si>
    <t>Разработка грунта в отвал экскаваторами, вместимость ковша 0,4 (0,3-0,45) м3, группа грунтов: 2</t>
  </si>
  <si>
    <t>1000 м3</t>
  </si>
  <si>
    <t>ГЭСН-2022, 01-01-010-38, приказ Минстроя России от 18.05.2022 г. № 378/пр</t>
  </si>
  <si>
    <t>Общестроительные работы</t>
  </si>
  <si>
    <t>Земляные работы</t>
  </si>
  <si>
    <t>Земляные работы, выполняемые: механизированным способом</t>
  </si>
  <si>
    <t>ФЕР-01</t>
  </si>
  <si>
    <t>Пр/812-001.1-1</t>
  </si>
  <si>
    <t>Пр/774-001.1</t>
  </si>
  <si>
    <t>2</t>
  </si>
  <si>
    <t>23-01-007-05</t>
  </si>
  <si>
    <t>Демонтаж - Укладка трубопроводов из железобетонных безнапорных раструбных труб диаметром: 1000 мм</t>
  </si>
  <si>
    <t>100 м</t>
  </si>
  <si>
    <t>ГЭСН-2022 доп.16, 23-01-007-05, приказ Минстроя России от 12.11.2025 г. № 696/пр</t>
  </si>
  <si>
    <t>демонтаж_x000D_
Поправка: 571/пр_2022_п.83_т.2_стр.1_стб.3
Наименование: Разборка и (или) демонтаж строительных конструкций, систем и сетей инженерно-технического обеспечения, в том числе их элементов: сборных бетонных и железобетонных строительных конструкций</t>
  </si>
  <si>
    <t>*0</t>
  </si>
  <si>
    <t>*0,8</t>
  </si>
  <si>
    <t>Наружные сети водопровода, канализации, теплоснабжения, газопроводы</t>
  </si>
  <si>
    <t>ФЕР-23</t>
  </si>
  <si>
    <t>демонтаж_x000D_
Поправка: 571/пр_2022_п.83_т.2_стр.1_стб.3</t>
  </si>
  <si>
    <t>Пр/812-018.0-1</t>
  </si>
  <si>
    <t>Пр/774-018.0</t>
  </si>
  <si>
    <t>2,1</t>
  </si>
  <si>
    <t>05.1.02.08</t>
  </si>
  <si>
    <t>Трубы железобетонные безнапорные раструбные</t>
  </si>
  <si>
    <t>м</t>
  </si>
  <si>
    <t>Поправка: 571/пр_2022_п.83_т.2_стр.1_стб.3_x000D_
Наименование: Разборка и (или) демонтаж строительных конструкций, систем и сетей инженерно-технического обеспечения, в том числе их элементов: сборных бетонных и железобетонных строительных конструкций</t>
  </si>
  <si>
    <t>Поправка: 571/пр_2022_п.83_т.2_стр.1_стб.3</t>
  </si>
  <si>
    <t>3</t>
  </si>
  <si>
    <t>25-02-085-05</t>
  </si>
  <si>
    <t>Резка на бровке траншеи демонтируемых труб условным диаметром: 1000 мм</t>
  </si>
  <si>
    <t>РЕЗ</t>
  </si>
  <si>
    <t>ГЭСН-2022, 25-02-085-05, приказ Минстроя России от 18.05.2022 г. № 378/пр</t>
  </si>
  <si>
    <t>Магистральные и промысловые трубопроводы</t>
  </si>
  <si>
    <t>Магистаральные и промысловые водопроводы</t>
  </si>
  <si>
    <t>ФЕР-25</t>
  </si>
  <si>
    <t>Пр/812-019.0-1</t>
  </si>
  <si>
    <t>Пр/774-019.0</t>
  </si>
  <si>
    <t>4</t>
  </si>
  <si>
    <t>Укладка трубопроводов из железобетонных безнапорных раструбных труб диаметром: 1000 мм</t>
  </si>
  <si>
    <t>4,1</t>
  </si>
  <si>
    <t>5</t>
  </si>
  <si>
    <t>01-01-087-01</t>
  </si>
  <si>
    <t>Засыпка траншей и котлованов с перемещением грунта до 5 м бульдозерами мощностью: 303 кВт (410 л.с.), группа грунтов 1</t>
  </si>
  <si>
    <t>ГЭСН-2022, 01-01-087-01, приказ Минстроя России от 18.05.2022 г. № 378/пр</t>
  </si>
  <si>
    <t>5,1</t>
  </si>
  <si>
    <t>91.01.05-104</t>
  </si>
  <si>
    <t>Экскаваторы одноковшовые дизельные на пневмоколесном ходу, объем ковша 0,4 м3</t>
  </si>
  <si>
    <t>маш.-ч</t>
  </si>
  <si>
    <t>ФСЭМ-2022, 91.01.05-104, приказ Минстроя России от 18.05.2022 г. № 378/пр</t>
  </si>
  <si>
    <t>6</t>
  </si>
  <si>
    <t>91.01.01-046</t>
  </si>
  <si>
    <t>Бульдозеры, мощность 303 кВт (410 л.с.)</t>
  </si>
  <si>
    <t>ФСЭМ-2022, 91.01.01-046, приказ Минстроя России от 18.05.2022 г. № 378/пр</t>
  </si>
  <si>
    <t>Машины и механизмы</t>
  </si>
  <si>
    <t>Эксплуатация машин и механизмов ( ценники на ЭММ )</t>
  </si>
  <si>
    <t>ЭММ</t>
  </si>
  <si>
    <t>7</t>
  </si>
  <si>
    <t>22-02-011-16</t>
  </si>
  <si>
    <t>Нанесение нормальной антикоррозионной изоляции из полимерных липких лент на стыки и фасонные части стальных трубопроводов диаметром: 1000 мм</t>
  </si>
  <si>
    <t>км</t>
  </si>
  <si>
    <t>ГЭСН-2022 доп.7, 22-02-011-16, приказ Минстроя России от 02.08.2023 г. № 551/пр</t>
  </si>
  <si>
    <t>ФЕР-22</t>
  </si>
  <si>
    <t>7,1</t>
  </si>
  <si>
    <t>14.4.01.15-1002</t>
  </si>
  <si>
    <t>Грунтовка полимерная для повышения адгезии битумно-полимерных мастик и герметиков при герметизации деформационных швов асфальтобетонных и цементобетонных покрытий</t>
  </si>
  <si>
    <t>т</t>
  </si>
  <si>
    <t>ФСБЦ-2022, 14.4.01.15-1002, приказ Минстроя России от 18.05.2022 г. № 378/пр</t>
  </si>
  <si>
    <t>7,2</t>
  </si>
  <si>
    <t>12.1.02.15-0041</t>
  </si>
  <si>
    <t>Материал рулонный гидроизоляционный изол, резино-битумный, без полимерных добавок</t>
  </si>
  <si>
    <t>м2</t>
  </si>
  <si>
    <t>ФСБЦ-2022, 12.1.02.15-0041, приказ Минстроя России от 18.05.2022 г. № 378/пр</t>
  </si>
  <si>
    <t>8</t>
  </si>
  <si>
    <t>01-02-005-01</t>
  </si>
  <si>
    <t>Уплотнение грунта пневматическими трамбовками, группа грунтов: 1-2</t>
  </si>
  <si>
    <t>100 м3</t>
  </si>
  <si>
    <t>ГЭСН-2022 доп.4, 01-02-005-01, приказ Минстроя России от 27.12.2022 г. № 1133/пр</t>
  </si>
  <si>
    <t>9</t>
  </si>
  <si>
    <t>27-02-027-02</t>
  </si>
  <si>
    <t>Устройство обратной засыпки труб ливневой канализации</t>
  </si>
  <si>
    <t>10 м3</t>
  </si>
  <si>
    <t>ГЭСН-2022 доп.15, 27-02-027-02, приказ Минстроя России от 14.08.2025 г. № 490/пр</t>
  </si>
  <si>
    <t>Автомобильные дороги</t>
  </si>
  <si>
    <t>ФЕР-27</t>
  </si>
  <si>
    <t>Пр/812-021.0-1</t>
  </si>
  <si>
    <t>Пр/774-021.0</t>
  </si>
  <si>
    <t>9,1</t>
  </si>
  <si>
    <t>10</t>
  </si>
  <si>
    <t>91.01.05-089</t>
  </si>
  <si>
    <t>Экскаваторы одноковшовые дизельные на гусеничном ходу, объем ковша 1,25 м3</t>
  </si>
  <si>
    <t>ФСЭМ-2022, 91.01.05-089, приказ Минстроя России от 18.05.2022 г. № 378/пр</t>
  </si>
  <si>
    <t>11</t>
  </si>
  <si>
    <t>02.3.01.02-1104</t>
  </si>
  <si>
    <t>Песок природный для строительных работ I класс, средний</t>
  </si>
  <si>
    <t>м3</t>
  </si>
  <si>
    <t>ФСБЦ-2022, 02.3.01.02-1104, приказ Минстроя России от 18.05.2022 г. № 378/пр</t>
  </si>
  <si>
    <t>Материалы строительные</t>
  </si>
  <si>
    <t>Материалы и конструкции ( строительные ) по ценникам и каталогом</t>
  </si>
  <si>
    <t>ФССЦст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</si>
  <si>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</si>
  <si>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</si>
  <si>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</si>
  <si>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</si>
  <si>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</si>
  <si>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</si>
  <si>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</si>
  <si>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</si>
  <si>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</si>
  <si>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</si>
  <si>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</si>
  <si>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</si>
  <si>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</si>
  <si>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</si>
  <si>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</si>
  <si>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</si>
  <si>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</si>
  <si>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</si>
  <si>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</si>
  <si>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</si>
  <si>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</si>
  <si>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</si>
  <si>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</si>
  <si>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</si>
  <si>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</si>
  <si>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</si>
  <si>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</si>
  <si>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</si>
  <si>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</si>
  <si>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</si>
  <si>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</si>
  <si>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</si>
  <si>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</si>
  <si>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</si>
  <si>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</si>
  <si>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</si>
  <si>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</si>
  <si>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</si>
  <si>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</si>
  <si>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</si>
  <si>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</si>
  <si>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</si>
  <si>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</si>
  <si>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</si>
  <si>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</si>
  <si>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</si>
  <si>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</si>
  <si>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</si>
  <si>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</si>
  <si>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</si>
  <si>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</si>
  <si>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</si>
  <si>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</si>
  <si>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Итого</t>
  </si>
  <si>
    <t>Итого по смете</t>
  </si>
  <si>
    <t>ВЗиС</t>
  </si>
  <si>
    <t>Временные здания и сооружения</t>
  </si>
  <si>
    <t>Итого с ВЗиС</t>
  </si>
  <si>
    <t>Итого с временными зданиями и сооружениями</t>
  </si>
  <si>
    <t>НДС 22%</t>
  </si>
  <si>
    <t>Всего с НДС</t>
  </si>
  <si>
    <t>СТР_РЕК</t>
  </si>
  <si>
    <t>СТРОИТЕЛЬСТВО и РЕКОНСТРУКЦИЯ  зданий и сооружений всех назначений</t>
  </si>
  <si>
    <t>Строительство и реконструкция</t>
  </si>
  <si>
    <t>РЕМ_ЖИЛ</t>
  </si>
  <si>
    <t>КАП. РЕМ. ЖИЛЫХ И ОБЩЕСТВЕННЫХ ЗДАНИЙ</t>
  </si>
  <si>
    <t>Капитальный ремонт жилых и общественных зданий</t>
  </si>
  <si>
    <t>РЕМ_ПР</t>
  </si>
  <si>
    <t>КАП. РЕМ. ПРОИЗВОДСТВЕННЫХ ЗД. и СООРУЖЕНИЙ,  НАРУЖНЫХ ИНЖЕНЕРНЫХ СЕТЕЙ, УЛИЦ И ДОРОГ МЕСТНОГО ЗНАЧЕНИЯ, ИНЖ,СООРУЖЕНИЙ ( ГИДРОТЕХ,СООРУЖ, МОСТОВ И ПУТЕПРОВОДОВ И Т.П.)</t>
  </si>
  <si>
    <t>Капитальный ремонт прозводственных зданий</t>
  </si>
  <si>
    <t>Территория</t>
  </si>
  <si>
    <t>для территории Российской Федерации, не относящейся к районам Крайнего Севера и приравненным к ним местностям</t>
  </si>
  <si>
    <t>МПРКС</t>
  </si>
  <si>
    <t>для территории Российской Федерации, относящейся к местностям, приравненным к районам Крайнего Севера</t>
  </si>
  <si>
    <t>РКС</t>
  </si>
  <si>
    <t>для территории Российской Федерации, относящейся к районам Крайнего Севера</t>
  </si>
  <si>
    <t>СЛЖ</t>
  </si>
  <si>
    <t>При определении сметной стоимости строительства объектов капитального строительства, относящихся к особо опасным и технически сложным. За исключением АЭС.</t>
  </si>
  <si>
    <t>Для сборников ФЕР ( при производстве работ на технически сложных объектах ):  ·  { СЛЖ } - (вкл.)    - работа на сложных объектах  (к=1,2 к НР)           ·  { СЛЖ } - (выкл.) - работа на обычных объектах</t>
  </si>
  <si>
    <t>Сложные объекты</t>
  </si>
  <si>
    <t>СТНДРТ</t>
  </si>
  <si>
    <t>При определении сметной стоимости строительства объектов капитального строительства (за исключением АЭС).</t>
  </si>
  <si>
    <t>АЭС_ПНР</t>
  </si>
  <si>
    <t>При определении сметной стоимости строительства объектов капитального строительства АЭС. Пусконаладочные работы (за исключением технологического оборудования АЭС).</t>
  </si>
  <si>
    <t>АЭС</t>
  </si>
  <si>
    <t>АЭС_ПНР_ТЕХ</t>
  </si>
  <si>
    <t>При определении сметной стоимости строительства объектов капитального строительства АЭС. Пусконаладочные работы технологического оборудования АЭС.</t>
  </si>
  <si>
    <t>Для сборника ФЕРм -39  и ФЕРМ-08  ( при работах по контролю сварных соединений) :    {мАЭС} - ( вкл.)  -     при выполнении работ по на АЭС  (HР=101%; СП= 68%;             {мАЭС} - (выкл.) -  при выполнении работ  на обычных объектах</t>
  </si>
  <si>
    <t>АЭС, ПНР технологического оборудования АЭС.</t>
  </si>
  <si>
    <t>ОПТ/В</t>
  </si>
  <si>
    <t>{вкл}    - Прокладка  МЕЖДУГОРОДНЫХ  ВОЛОКОННО-ОПТИЧЕСКИХ ЛИНИЙ (для ФЕРм10, отд. 6 разд.3)  {выкл} - Прокладка  ГОРОДСКИХ               ВОЛОКОННО-ОПТИЧЕСКИХ ЛИНИЙ  (для ФЕРм10, отд. 6 разд.3)</t>
  </si>
  <si>
    <t>Для сборников ФЕРм-10  ( волоконно-оптические линии связи ): ·  {М_ГОР_опт} -  ( вкл.)  - междугородные сети связи ( НР=120% , СП=70% )           ·  {М_ГОР_опт} - ( выкл.) - городские сети связи  ( НР=100%; СП=65%)</t>
  </si>
  <si>
    <t>Прокладка междугородных в/опт. кабелей</t>
  </si>
  <si>
    <t>АВИ</t>
  </si>
  <si>
    <t>(вкл)   -  При работах по ДИСПЕТЧЕРИЗАЦИИ управления движением АВИАТРАНСПОРТОМ {вкл}  (монтажные работы )</t>
  </si>
  <si>
    <t>Для сборников ФЕРм 08;10;11 :    · {мАВИА} -  (вкл.)     -  производство монтажных  работы по диспетчеризации управления  движением авиатранспортном (НР=95%, СП=55%) ;    ·            {мАВИА} -  (выкл. ) -  при производстве работ на прочих объектах , кром</t>
  </si>
  <si>
    <t>Диспетчеризация авиатранспорта</t>
  </si>
  <si>
    <t>ЗАКР</t>
  </si>
  <si>
    <t>{вкл}   -  Обслуживающие и сопутствующие работы в тоннелях при  производстве работ ЗАКРЫТЫМ СПОСОБОМ   {выкл} - Обслуживающие и сопутствующие работы в тоннелях при  производстве работ  ОТКРЫТЫМ</t>
  </si>
  <si>
    <t>Для сборника ФЕР -29 ( сопутствующие работы в тоннелях и метро. ): ·  {ЗАКР} - (вкл.)     -  при выполнении работ в тоннелях  и метро закрытым способом  (НР=145% , СП=75%); ·                {ЗАКР} - (выкл.) -   при выполнении работ в тоннелях и метро  отк</t>
  </si>
  <si>
    <t>Производство работ закрытым способом (обслуживающие процессы)</t>
  </si>
  <si>
    <t>АВТО_ДРГ</t>
  </si>
  <si>
    <t>{вкл} - НР и СП по п.021.0 "Автомобильные дороги" (раздел 2 нормы 27-02-010-01:07)  {выкл} - НР и СП по п.021.1 Устройство покрытий дорожек, тротуаров, мостовых и площадок и прочее (раздел 2 нормы 27-02-010-01:07)</t>
  </si>
  <si>
    <t>ГОР</t>
  </si>
  <si>
    <t>(вкл) - ФЕРм-08, выполнение работ на горнорудных объектах  (выкл) - ФЕРм-08, выполнение работ на других объектах</t>
  </si>
  <si>
    <t>Выполнение работ на горнорудных объектах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</si>
  <si>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</si>
  <si>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</si>
  <si>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</si>
  <si>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</si>
  <si>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К_НР_РЕМ</t>
  </si>
  <si>
    <t>при ремонте жилых и общественных зданий если  ( если {РЕМ_ЖИЛ}= [вкл.]</t>
  </si>
  <si>
    <t>Для сборников  ФЕР и  ФЕРмр :  · Значение {_МДСрем_НР}= 0,90 -  при ремонте зданий жилого и гражданского назначений ( 0,90 к НР) ;  · Значение {_МДСрем_НР}= 1,00  - при строительстве  и реконструкции  объектов всех назначений</t>
  </si>
  <si>
    <t>п.25</t>
  </si>
  <si>
    <t>К_СП_РЕМ</t>
  </si>
  <si>
    <t>к нормам СП при капитальном ремонте зданий и сооружений всех назначений ( если или {РЕМ_ЖИЛ}=[вкл] , или (РЕМ_ПР}=[вкл] )</t>
  </si>
  <si>
    <t>Для сборников  ФЕР и  ФЕРмр :   · Значение {_МДСрем_СП} = 0.85  -  при ремонте зданий всех назначений ( 0,85 к СП);   · Значение {_МДСрем_СП} = 1,00 -  при строительстве  и реконструкции  объектов всех назначений</t>
  </si>
  <si>
    <t>п.16</t>
  </si>
  <si>
    <t>К_НР_СЛЖ</t>
  </si>
  <si>
    <t>При определении сметной стоимости строительства объектов капитального строительства, относящихся к особо опасным и технически сложным. За исключением объектов атомных электрических станций.  ( если {СЛЖ} = [вкл] )</t>
  </si>
  <si>
    <t>п.27 СЛОЖН</t>
  </si>
  <si>
    <t>К_НР_АЭС</t>
  </si>
  <si>
    <t>При определении сметной стоимости строительства объектов капитального строительства, относящихся к особо опасным и технически сложным. Для объектов атомных электрических станций.  ( если {АЭС} = [вкл] )</t>
  </si>
  <si>
    <t>п.27 АЭС</t>
  </si>
  <si>
    <t>Р_ОКР</t>
  </si>
  <si>
    <t>Разрядность округления результата расчета НР и СП  (с 05.04.2020 - до семи знаков после запятой)</t>
  </si>
  <si>
    <t>Лист_НРиСП</t>
  </si>
  <si>
    <t>Уровень цен</t>
  </si>
  <si>
    <t>Вид цен</t>
  </si>
  <si>
    <t>Тверская область, КТЦ к ФСНБ-2022, 1 квартал 2026 г</t>
  </si>
  <si>
    <t>Сборник индексов</t>
  </si>
  <si>
    <t>Тверская область к ФСНБ-2022 ФГИС ЦС</t>
  </si>
  <si>
    <t>Письмо Минстроя России  «О размещении индексов изменения сметной стоимости строительства по группам однородных строительных ресурсов на I квартал 2026 года»</t>
  </si>
  <si>
    <t>Справочная информация</t>
  </si>
  <si>
    <t>Письмо Минстроя России от 25.02.2026 № 9859-ИФ/09</t>
  </si>
  <si>
    <t>Постановление Правительства Тверской области</t>
  </si>
  <si>
    <t>Постановление Правительства Тверской области от 25.04.2025 г. № 229-пп</t>
  </si>
  <si>
    <t>_OBSM_</t>
  </si>
  <si>
    <t>1-100-20</t>
  </si>
  <si>
    <t>Средний разряд работы 2,0</t>
  </si>
  <si>
    <t>чел.-ч.</t>
  </si>
  <si>
    <t>4-100-00</t>
  </si>
  <si>
    <t>Затраты труда машинистов</t>
  </si>
  <si>
    <t>91.01.05-084</t>
  </si>
  <si>
    <t>ФСЭМ-2022, 91.01.05-084, приказ Минстроя России от 18.05.2022 г. № 378/пр</t>
  </si>
  <si>
    <t>Экскаваторы одноковшовые дизельные на гусеничном ходу, объем ковша 0,4 м3</t>
  </si>
  <si>
    <t>4-100-050</t>
  </si>
  <si>
    <t>1-100-40</t>
  </si>
  <si>
    <t>Средний разряд работы 4,0</t>
  </si>
  <si>
    <t>91.10.05-009</t>
  </si>
  <si>
    <t>ФСЭМ-2022, 91.10.05-009, приказ Минстроя России от 18.05.2022 г. № 378/пр</t>
  </si>
  <si>
    <t>Трубоукладчики, номинальная грузоподъемность 35 т</t>
  </si>
  <si>
    <t>4-100-090</t>
  </si>
  <si>
    <t>91.14.02-001</t>
  </si>
  <si>
    <t>ФСЭМ-2022 доп.7, 91.14.02-001, приказ Минстроя России от 02.08.2023 г. № 551/пр</t>
  </si>
  <si>
    <t>Автомобили бортовые, грузоподъемность до 5 т</t>
  </si>
  <si>
    <t>4-100-040</t>
  </si>
  <si>
    <t>01.1.02.10-1022</t>
  </si>
  <si>
    <t>ФСБЦ-2022, 01.1.02.10-1022, приказ Минстроя России от 18.05.2022 г. № 378/пр</t>
  </si>
  <si>
    <t>Хризотил (асбест хризотиловый), группа 6К, марки 6К-45, 6К-30, 6К-20, 6К-5</t>
  </si>
  <si>
    <t>01.7.03.01-0001</t>
  </si>
  <si>
    <t>ФСБЦ-2022, 01.7.03.01-0001, приказ Минстроя России от 18.05.2022 г. № 378/пр</t>
  </si>
  <si>
    <t>Вода</t>
  </si>
  <si>
    <t>01.7.07.29-0322</t>
  </si>
  <si>
    <t>ФСБЦ-2022 доп.16, 01.7.07.29-0322, приказ Минстроя России от 12.11.2025 г. № 696/пр</t>
  </si>
  <si>
    <t>Канат пропитанный (каболка) из льняного и джутового волокна, канализационный и водопроводный, отжатый, диаметр 10-100 мм</t>
  </si>
  <si>
    <t>кг</t>
  </si>
  <si>
    <t>03.2.01.01-0001</t>
  </si>
  <si>
    <t>ФСБЦ-2022 доп.14, 03.2.01.01-0001, приказ Минстроя России от 19.05.2025 г. № 299/пр</t>
  </si>
  <si>
    <t>Портландцемент бездобавочный общестроительный ЦЕМ 0 32,5Н</t>
  </si>
  <si>
    <t>04.3.01.09-0014</t>
  </si>
  <si>
    <t>ФСБЦ-2022, 04.3.01.09-0014, приказ Минстроя России от 18.05.2022 г. № 378/пр</t>
  </si>
  <si>
    <t>Раствор готовый кладочный, цементный, М100</t>
  </si>
  <si>
    <t>1-100-47</t>
  </si>
  <si>
    <t>Средний разряд работы 4,7</t>
  </si>
  <si>
    <t>91.17.04-042</t>
  </si>
  <si>
    <t>ФСЭМ-2022, 91.17.04-042, приказ Минстроя России от 18.05.2022 г. № 378/пр</t>
  </si>
  <si>
    <t>Аппараты для газовой сварки и резки</t>
  </si>
  <si>
    <t>01.3.02.08-0001</t>
  </si>
  <si>
    <t>ФСБЦ-2022 доп.3, 01.3.02.08-0001, приказ Минстроя России от 26.10.2022 г. № 905/пр</t>
  </si>
  <si>
    <t>Кислород газообразный технический</t>
  </si>
  <si>
    <t>01.3.02.09-0022</t>
  </si>
  <si>
    <t>ФСБЦ-2022 доп.3, 01.3.02.09-0022, приказ Минстроя России от 26.10.2022 г. № 905/пр</t>
  </si>
  <si>
    <t>Пропан-бутан смесь техническая</t>
  </si>
  <si>
    <t>11.1.03.01-0067</t>
  </si>
  <si>
    <t>ФСБЦ-2022, 11.1.03.01-0067, приказ Минстроя России от 18.05.2022 г. № 378/пр</t>
  </si>
  <si>
    <t>Брус обрезной хвойных пород (ель, сосна), естественной влажности, длина 2-6,5 м, ширина 100 и более мм, толщина 100 и более мм, сорт III</t>
  </si>
  <si>
    <t>Машинист 9 разряда</t>
  </si>
  <si>
    <t>1-100-42</t>
  </si>
  <si>
    <t>Средний разряд работы 4,2</t>
  </si>
  <si>
    <t>91.16.01-002</t>
  </si>
  <si>
    <t>ФСЭМ-2022, 91.16.01-002, приказ Минстроя России от 18.05.2022 г. № 378/пр</t>
  </si>
  <si>
    <t>Электростанции передвижные, мощность 4 кВт</t>
  </si>
  <si>
    <t>01.7.06.03-0002</t>
  </si>
  <si>
    <t>ФСБЦ-2022, 01.7.06.03-0002, приказ Минстроя России от 18.05.2022 г. № 378/пр</t>
  </si>
  <si>
    <t>Ленты антикоррозионные из ПВХ с липким слоем с одной стороны для изоляции трубопроводов, цвет черный, ширина 450 мм, толщина 0,4 мм</t>
  </si>
  <si>
    <t>01.7.20.08-0021</t>
  </si>
  <si>
    <t>ФСБЦ-2022, 01.7.20.08-0021, приказ Минстроя России от 18.05.2022 г. № 378/пр</t>
  </si>
  <si>
    <t>Брезент с огнеупорной пропиткой</t>
  </si>
  <si>
    <t>01.7.20.08-0162</t>
  </si>
  <si>
    <t>ФСБЦ-2022, 01.7.20.08-0162, приказ Минстроя России от 18.05.2022 г. № 378/пр</t>
  </si>
  <si>
    <t>Ткань мешочная, ширина 950 мм, поверхностная плотность 190 г/м2</t>
  </si>
  <si>
    <t>10 м2</t>
  </si>
  <si>
    <t>14.1.05.03-0011</t>
  </si>
  <si>
    <t>ФСБЦ-2022, 14.1.05.03-0011, приказ Минстроя России от 18.05.2022 г. № 378/пр</t>
  </si>
  <si>
    <t>Клей фенолополивинилацетальный, марка БФ-2Н</t>
  </si>
  <si>
    <t>1-100-30</t>
  </si>
  <si>
    <t>Средний разряд работы 3,0</t>
  </si>
  <si>
    <t>91.08.09-023</t>
  </si>
  <si>
    <t>ФСЭМ-2022 доп.4, 91.08.09-023, приказ Минстроя России от 27.12.2022 г. № 1133/пр</t>
  </si>
  <si>
    <t>Трамбовки пневматические при работе от передвижных компрессорных установок</t>
  </si>
  <si>
    <t>91.18.01-007</t>
  </si>
  <si>
    <t>ФСЭМ-2022 доп.13, 91.18.01-007, приказ Минстроя России от 07.02.2025 г. № 69/пр</t>
  </si>
  <si>
    <t>Компрессоры винтовые передвижные с двигателем внутреннего сгорания, давление до 0,7 МПа (7 атм), производительность до 5,4 м3/мин</t>
  </si>
  <si>
    <t>4-100-070</t>
  </si>
  <si>
    <t>91.08.09-001</t>
  </si>
  <si>
    <t>ФСЭМ-2022 доп.15, 91.08.09-001, приказ Минстроя России от 14.08.2025 г. № 490/пр</t>
  </si>
  <si>
    <t>Плиты вибрационные с двигателем внутреннего сгорания, мощность до 6 кВт (8 л.с.)</t>
  </si>
  <si>
    <t>Машинист 7 разряда</t>
  </si>
  <si>
    <t>01.2.03.02</t>
  </si>
  <si>
    <t>Грунтовка битумная</t>
  </si>
  <si>
    <t>12.1.02.15</t>
  </si>
  <si>
    <t>Материалы гидроизоляционные рулонные</t>
  </si>
  <si>
    <t>571/пр_2022_п.83_т.2_стр.1_стб.3</t>
  </si>
  <si>
    <t>Разборка и (или) демонтаж строительных конструкций, систем и сетей инженерно-технического обеспечения, в том числе их элементов: сборных бетонных и железобетонных строительных конструкций</t>
  </si>
  <si>
    <t>Методика применения сметных норм 571/пр (О.П.)</t>
  </si>
  <si>
    <t>Приказ Минстроя России от 18.05.2022 г. № 378/пр; Приказ Минстроя России от 26.08.2022 г. № 703/пр; Приказ Минстроя России от 26.10.2022 г. № 905/пр;  Приказ Минстроя России от 27.12.2022 г. № 1133/пр; Приказ Минстроя России от 10.02.2023 г. № 84/пр; Приказ Минстроя России от 11.05.2023 г. № 335/пр;  Приказ Минстроя России от 02.08.2023 г. № 551/пр; Приказ Минстроя России от 14.11.2023 г. № 817/пр; Приказ Минстроя России от 16.02.2024 г. № 102/пр;  Приказ Минстроя России от 13.05.2024 г. № 323/пр; Приказ Минстроя России от 09.08.2024 г. № 524/пр; Приказ Минстроя России от 07.11.2024 г. № 747/пр;  Приказ Минстроя России от 07.02.2025 г. № 69/пр; Приказ Минстроя России от 19.05.2025 г. № 299/пр; Приказ Минстроя России от 14.08.2025 г. № 490/пр;  Приказ Минстроя России от 12.11.2025 г. № 696/пр; Приказ Минстроя России от 17.02.2026 г. № 91/пр;  Приказ Минстроя России от 07.07.2022 г. № 557/пр; Приказ Минстроя России от 30.01.2024 г. № 55/пр; Приказ Минстроя России от 23.01.2025 г. № 30/пр;  Приказ Минстроя России от 02.09.2021 г. № 636/пр; Приказ Минстроя России от 26.07.2022 г. № 611/пр; Приказ Минстроя России от 22.04.2022 г. № 317/пр</t>
  </si>
  <si>
    <t>Наименование программного продукта</t>
  </si>
  <si>
    <t>Наименование редакции сметных нормативов</t>
  </si>
  <si>
    <t>Реквизиты приказа Минстроя России об утверждении дополнений и изменений к сметным нормативам</t>
  </si>
  <si>
    <t xml:space="preserve"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в соответствии с пунктом 85 Методики расчета индексов изменения сметной стоимости строительства, утвержденной приказом Министерства строительства и жилищно-коммунального хозяйства Российской Федерации от 5 июня 2019 г. N 326/пр </t>
  </si>
  <si>
    <t>Реквизиты нормативного правового акта об утверждении оплаты труда, утверждаемый в соответствии с пунктом 22(1) Правилами мониторинга цен, утвержденными постановлением Правительства Российской Федерации от 23 декабря 2016 г. N 1452</t>
  </si>
  <si>
    <t>Обоснование принятых текущих цен на строительные ресурсы</t>
  </si>
  <si>
    <t>Наименование субъекта Российской Федерации</t>
  </si>
  <si>
    <t>Наименование зоны субъекта Российской Федерации</t>
  </si>
  <si>
    <t>(наименование стройки)</t>
  </si>
  <si>
    <t>(наименование объекта капитального строительства)</t>
  </si>
  <si>
    <t>(наименование работ и затрат)</t>
  </si>
  <si>
    <t>Составлен</t>
  </si>
  <si>
    <t>методом</t>
  </si>
  <si>
    <t>Основание</t>
  </si>
  <si>
    <t>(проектная и (или) иная техническая документация)</t>
  </si>
  <si>
    <t>Сметная стоимость</t>
  </si>
  <si>
    <t>тыс. руб.</t>
  </si>
  <si>
    <t>Средства на оплату труда рабочих</t>
  </si>
  <si>
    <t>в том числе:</t>
  </si>
  <si>
    <t>Средства на оплату труда машинистов</t>
  </si>
  <si>
    <t>строительных работ</t>
  </si>
  <si>
    <t xml:space="preserve">Нормативные затраты труда рабочих </t>
  </si>
  <si>
    <t xml:space="preserve">монтажных работ    </t>
  </si>
  <si>
    <t xml:space="preserve">Нормативные затраты труда машинистов </t>
  </si>
  <si>
    <t xml:space="preserve">оборудования         </t>
  </si>
  <si>
    <t xml:space="preserve">прочих затрат       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</si>
  <si>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</si>
  <si>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</si>
  <si>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</si>
  <si>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</si>
  <si>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</si>
  <si>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</si>
  <si>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</si>
  <si>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</si>
  <si>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</si>
  <si>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</si>
  <si>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</si>
  <si>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</si>
  <si>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</si>
  <si>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Программа для ЭВМ «Программа: «Smeta.RU» версия 12»</t>
  </si>
  <si>
    <t>ФГИС ЦС, конъюнктурный анализ</t>
  </si>
  <si>
    <t>Ресурсно-индексным</t>
  </si>
  <si>
    <t>Составлен(а) в текущем уровне цен на I квартал 2026 года</t>
  </si>
  <si>
    <t>ГЭСН 01-01-010-38</t>
  </si>
  <si>
    <t>ОТ (ЗТ)</t>
  </si>
  <si>
    <t>ЭМ</t>
  </si>
  <si>
    <t>ОТм(ЗТм) Средний разряд машинистов 5</t>
  </si>
  <si>
    <t>ОТм(ЗТм)</t>
  </si>
  <si>
    <t>Итого прямые затраты</t>
  </si>
  <si>
    <t>ФОТ</t>
  </si>
  <si>
    <t>НР Земляные работы, выполняемые: механизированным способом</t>
  </si>
  <si>
    <t>%</t>
  </si>
  <si>
    <t>СП Земляные работы, выполняемые: механизированным способом</t>
  </si>
  <si>
    <t>Всего по позиции</t>
  </si>
  <si>
    <t>=</t>
  </si>
  <si>
    <t>ГЭСН 23-01-007-05</t>
  </si>
  <si>
    <t>Разборка и (или) демонтаж строительных конструкций, систем и сетей инженерно-технического обеспечения, в том числе их элементов: сборных бетонных и железобетонных строительных конструкций
ЭМ *0,8; М *0; ЗТ *0,8; ЗТм *0,8</t>
  </si>
  <si>
    <t>ОТм(ЗТм) Средний разряд машинистов 9</t>
  </si>
  <si>
    <t>ОТм(ЗТм) Средний разряд машинистов 4</t>
  </si>
  <si>
    <t>М</t>
  </si>
  <si>
    <t>НР Наружные сети водопровода, канализации, теплоснабжения, газопроводы</t>
  </si>
  <si>
    <t>СП Наружные сети водопровода, канализации, теплоснабжения, газопроводы</t>
  </si>
  <si>
    <t>ГЭСН 25-02-085-05</t>
  </si>
  <si>
    <t>НР Магистральные и промысловые трубопроводы</t>
  </si>
  <si>
    <t>СП Магистральные и промысловые трубопроводы</t>
  </si>
  <si>
    <t>ГЭСН 01-01-087-01</t>
  </si>
  <si>
    <t>5.1</t>
  </si>
  <si>
    <t>ГЭСН 22-02-011-16</t>
  </si>
  <si>
    <t>7.1</t>
  </si>
  <si>
    <t>7.2</t>
  </si>
  <si>
    <t>ГЭСН 01-02-005-01</t>
  </si>
  <si>
    <t>ГЭСН 27-02-027-02</t>
  </si>
  <si>
    <t>ОТм(ЗТм) Средний разряд машинистов 7</t>
  </si>
  <si>
    <t>9.1</t>
  </si>
  <si>
    <t>НР Автомобильные дороги</t>
  </si>
  <si>
    <t>СП Автомобильные дороги</t>
  </si>
  <si>
    <t>ИТОГИ ПО СМЕТЕ</t>
  </si>
  <si>
    <t>ВСЕГО строительные работы</t>
  </si>
  <si>
    <t>в том числе</t>
  </si>
  <si>
    <t>Всего прямые затраты</t>
  </si>
  <si>
    <t xml:space="preserve">  оплата труда (ОТ)</t>
  </si>
  <si>
    <t xml:space="preserve">  эксплуатация машин и механизмов</t>
  </si>
  <si>
    <t xml:space="preserve">  в том числе</t>
  </si>
  <si>
    <t xml:space="preserve">    в том числе</t>
  </si>
  <si>
    <t xml:space="preserve">    доплаты к оплате труда машинистов</t>
  </si>
  <si>
    <t xml:space="preserve">  материальные ресурсы</t>
  </si>
  <si>
    <t xml:space="preserve">    материальные ресурсы без учета дополнительной перевозки</t>
  </si>
  <si>
    <t xml:space="preserve">    дополнительная перевозка материальных ресурсов</t>
  </si>
  <si>
    <t xml:space="preserve">  перевозка</t>
  </si>
  <si>
    <t>ФОТ (справочно)</t>
  </si>
  <si>
    <t>накладные расходы</t>
  </si>
  <si>
    <t>сметная прибыль</t>
  </si>
  <si>
    <t xml:space="preserve">  оплата труда машинистов (ОТм)</t>
  </si>
  <si>
    <t>ВСЕГО монтажные работы</t>
  </si>
  <si>
    <t>ВСЕГО оборудование</t>
  </si>
  <si>
    <t xml:space="preserve">  оборудование без учета дополнительной перевозки</t>
  </si>
  <si>
    <t xml:space="preserve">  дополнительная перевозка оборудования</t>
  </si>
  <si>
    <t>ВСЕГО прочие затраты</t>
  </si>
  <si>
    <t xml:space="preserve">   прочие затраты</t>
  </si>
  <si>
    <t xml:space="preserve">   прочие перевозки</t>
  </si>
  <si>
    <t xml:space="preserve">   Хозяйственный инвентарь</t>
  </si>
  <si>
    <t>Пусконаладочные работы</t>
  </si>
  <si>
    <t>ВСЕГО по смете</t>
  </si>
  <si>
    <t>Всего ФОТ (справочно)</t>
  </si>
  <si>
    <t>Всего накладные расходы</t>
  </si>
  <si>
    <t>Всего сметная прибыль</t>
  </si>
  <si>
    <t>Всего оборудование</t>
  </si>
  <si>
    <t>Всего прочие затраты</t>
  </si>
  <si>
    <t>Справочно</t>
  </si>
  <si>
    <t xml:space="preserve">  материальные ресурсы, отсутствующие в ФРСН</t>
  </si>
  <si>
    <t xml:space="preserve">  оборудование, отсутствующие в ФРСН</t>
  </si>
  <si>
    <t xml:space="preserve">  затраты труда рабочих</t>
  </si>
  <si>
    <t xml:space="preserve">  затраты труда машинистов</t>
  </si>
  <si>
    <t>TYPE</t>
  </si>
  <si>
    <t>SOURCE_LINK</t>
  </si>
  <si>
    <t>RABMAT_EX</t>
  </si>
  <si>
    <t>TIP_RAB</t>
  </si>
  <si>
    <t>TYPE_TRUD</t>
  </si>
  <si>
    <t>TAB</t>
  </si>
  <si>
    <t>NAME</t>
  </si>
  <si>
    <t>EDIZM</t>
  </si>
  <si>
    <t>KOLL</t>
  </si>
  <si>
    <t>UCH</t>
  </si>
  <si>
    <t>PRICE_B</t>
  </si>
  <si>
    <t>PRICE_ED</t>
  </si>
  <si>
    <t>STOIM_B</t>
  </si>
  <si>
    <t>PRICE_C</t>
  </si>
  <si>
    <t>STOIM_C</t>
  </si>
  <si>
    <t>ZPM_B</t>
  </si>
  <si>
    <t>ZPM_ED</t>
  </si>
  <si>
    <t>STOIM_ZPM_B</t>
  </si>
  <si>
    <t>ZPM_C</t>
  </si>
  <si>
    <t>STOIM_ZPM_C</t>
  </si>
  <si>
    <t>CRC_GR_RES</t>
  </si>
  <si>
    <t>CRC_B</t>
  </si>
  <si>
    <t>CRC_C</t>
  </si>
  <si>
    <t>RABMAT</t>
  </si>
  <si>
    <t>WBS</t>
  </si>
  <si>
    <t>CBSI</t>
  </si>
  <si>
    <t>CBSII</t>
  </si>
  <si>
    <t>TechSpecCVORPP</t>
  </si>
  <si>
    <t>BuildingFinished</t>
  </si>
  <si>
    <t>PEREVOZKA</t>
  </si>
  <si>
    <t>Trud</t>
  </si>
  <si>
    <t>Mash</t>
  </si>
  <si>
    <t>Mat</t>
  </si>
  <si>
    <t>MatZak</t>
  </si>
  <si>
    <t>Oborud</t>
  </si>
  <si>
    <t>OborudZak</t>
  </si>
  <si>
    <t>ZeroStoim</t>
  </si>
  <si>
    <t>NegativeKoll</t>
  </si>
  <si>
    <t>ReUnionKollResurcy</t>
  </si>
  <si>
    <t>UnionOneUchRes</t>
  </si>
  <si>
    <t>IdLevel</t>
  </si>
  <si>
    <t>ViewCodes</t>
  </si>
  <si>
    <t>UnionCodes</t>
  </si>
  <si>
    <t>Ресурсная ведомость на</t>
  </si>
  <si>
    <t>Наименование</t>
  </si>
  <si>
    <t>Объем</t>
  </si>
  <si>
    <t xml:space="preserve">Трудовые ресурсы </t>
  </si>
  <si>
    <t xml:space="preserve">Машины и механизмы </t>
  </si>
  <si>
    <t xml:space="preserve">Материальные ресурсы </t>
  </si>
  <si>
    <t xml:space="preserve">Составил   </t>
  </si>
  <si>
    <t>[должность,подпись(инициалы,фамилия)]</t>
  </si>
  <si>
    <t xml:space="preserve">Проверил   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</si>
</sst>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#,##0.00;[Red]\-\ #,##0.00"/>
    <numFmt numFmtId="166" formatCode="#,##0.00#####;[Red]\-\ #,##0.00#####"/>
  </numFmts>
  <fonts count="31">
    <font>
      <sz val="10"/>
      <name val="Arial"/>
      <charset val="204"/>
    </font>
    <font>
      <b/>
      <sz val="10"/>
      <color indexed="12"/>
      <name val="Arial"/>
      <charset val="204"/>
    </font>
    <font>
      <b/>
      <sz val="10"/>
      <color indexed="16"/>
      <name val="Arial"/>
      <charset val="204"/>
    </font>
    <font>
      <b/>
      <sz val="10"/>
      <color indexed="20"/>
      <name val="Arial"/>
      <charset val="204"/>
    </font>
    <font>
      <b/>
      <sz val="10"/>
      <color indexed="17"/>
      <name val="Arial"/>
      <charset val="204"/>
    </font>
    <font>
      <sz val="10"/>
      <color indexed="17"/>
      <name val="Arial"/>
      <charset val="204"/>
    </font>
    <font>
      <sz val="10"/>
      <color indexed="12"/>
      <name val="Arial"/>
      <charset val="204"/>
    </font>
    <font>
      <sz val="10"/>
      <color indexed="14"/>
      <name val="Arial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000000"/>
      <name val="Arial Cyr"/>
      <charset val="204"/>
    </font>
    <font>
      <b/>
      <sz val="10"/>
      <name val="Arial"/>
      <family val="2"/>
      <charset val="204"/>
    </font>
    <font>
      <b/>
      <sz val="10"/>
      <color rgb="FF000000"/>
      <name val="Arial"/>
      <family val="2"/>
      <charset val="204"/>
    </font>
    <font>
      <b/>
      <sz val="12"/>
      <color rgb="FF000000"/>
      <name val="Arial"/>
      <family val="2"/>
      <charset val="204"/>
    </font>
    <font>
      <i/>
      <sz val="10"/>
      <color rgb="FF000000"/>
      <name val="Arial"/>
      <family val="2"/>
      <charset val="204"/>
    </font>
    <font>
      <i/>
      <sz val="9"/>
      <color rgb="FF000000"/>
      <name val="Arial"/>
      <family val="2"/>
      <charset val="204"/>
    </font>
    <font>
      <sz val="11"/>
      <color rgb="FF000000"/>
      <name val="Arial"/>
      <family val="2"/>
      <charset val="204"/>
    </font>
    <font>
      <b/>
      <sz val="11"/>
      <color rgb="FF000000"/>
      <name val="Arial"/>
      <family val="2"/>
      <charset val="204"/>
    </font>
    <font>
      <b/>
      <sz val="14"/>
      <color rgb="FF000000"/>
      <name val="Arial"/>
      <family val="2"/>
      <charset val="204"/>
    </font>
    <font>
      <sz val="11"/>
      <name val="Arial"/>
      <family val="2"/>
      <charset val="204"/>
    </font>
    <font>
      <i/>
      <sz val="11"/>
      <name val="Arial"/>
      <family val="2"/>
      <charset val="204"/>
    </font>
    <font>
      <b/>
      <sz val="11"/>
      <name val="Arial"/>
      <family val="2"/>
      <charset val="204"/>
    </font>
    <font>
      <i/>
      <sz val="10"/>
      <name val="Arial"/>
      <family val="2"/>
      <charset val="204"/>
    </font>
    <font>
      <sz val="13"/>
      <name val="Arial"/>
      <family val="2"/>
      <charset val="204"/>
    </font>
    <font>
      <b/>
      <sz val="13"/>
      <name val="Arial"/>
      <family val="2"/>
      <charset val="204"/>
    </font>
    <font>
      <sz val="9"/>
      <color rgb="FF000000"/>
      <name val="Arial"/>
      <family val="2"/>
      <charset val="204"/>
    </font>
    <font>
      <sz val="11"/>
      <color rgb="FF00B050"/>
      <name val="Arial"/>
      <family val="2"/>
      <charset val="204"/>
    </font>
    <font>
      <i/>
      <sz val="11"/>
      <color rgb="FF00B050"/>
      <name val="Arial"/>
      <family val="2"/>
      <charset val="204"/>
    </font>
    <font>
      <sz val="10"/>
      <color rgb="FF00B050"/>
      <name val="Arial"/>
      <family val="2"/>
      <charset val="204"/>
    </font>
    <font>
      <b/>
      <sz val="11"/>
      <color rgb="FF00B05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1" fillId="0" borderId="0" xfId="0" applyFont="1"/>
    <xf numFmtId="0" fontId="0" fillId="0" borderId="0" xfId="0" applyAlignme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0" fontId="4" fillId="0" borderId="0" xfId="0" applyFont="1" applyAlignment="1"/>
    <xf numFmtId="0" fontId="3" fillId="0" borderId="0" xfId="0" applyFont="1" applyAlignment="1"/>
    <xf numFmtId="0" fontId="5" fillId="0" borderId="0" xfId="0" applyFont="1" applyAlignment="1"/>
    <xf numFmtId="0" fontId="9" fillId="0" borderId="0" xfId="0" applyFont="1"/>
    <xf numFmtId="0" fontId="10" fillId="0" borderId="0" xfId="0" applyNumberFormat="1" applyFont="1" applyAlignment="1"/>
    <xf numFmtId="0" fontId="10" fillId="0" borderId="0" xfId="0" applyNumberFormat="1" applyFont="1" applyAlignment="1">
      <alignment vertical="top" wrapText="1"/>
    </xf>
    <xf numFmtId="0" fontId="10" fillId="0" borderId="2" xfId="0" applyNumberFormat="1" applyFont="1" applyBorder="1" applyAlignment="1">
      <alignment vertical="top"/>
    </xf>
    <xf numFmtId="0" fontId="10" fillId="0" borderId="0" xfId="0" applyNumberFormat="1" applyFont="1" applyAlignment="1">
      <alignment horizontal="left" vertical="top" wrapText="1"/>
    </xf>
    <xf numFmtId="0" fontId="10" fillId="0" borderId="2" xfId="0" applyNumberFormat="1" applyFont="1" applyBorder="1" applyAlignment="1">
      <alignment horizontal="left" vertical="top" wrapText="1"/>
    </xf>
    <xf numFmtId="0" fontId="11" fillId="0" borderId="0" xfId="0" applyNumberFormat="1" applyFont="1" applyAlignment="1"/>
    <xf numFmtId="0" fontId="11" fillId="0" borderId="2" xfId="0" applyNumberFormat="1" applyFont="1" applyBorder="1" applyAlignment="1"/>
    <xf numFmtId="0" fontId="17" fillId="0" borderId="0" xfId="0" applyNumberFormat="1" applyFont="1" applyAlignment="1"/>
    <xf numFmtId="0" fontId="17" fillId="0" borderId="0" xfId="0" applyNumberFormat="1" applyFont="1" applyAlignment="1">
      <alignment wrapText="1"/>
    </xf>
    <xf numFmtId="0" fontId="18" fillId="0" borderId="0" xfId="0" applyNumberFormat="1" applyFont="1" applyAlignment="1">
      <alignment vertical="center" wrapText="1"/>
    </xf>
    <xf numFmtId="0" fontId="18" fillId="0" borderId="0" xfId="0" applyNumberFormat="1" applyFont="1" applyAlignment="1">
      <alignment horizontal="center" wrapText="1"/>
    </xf>
    <xf numFmtId="0" fontId="10" fillId="0" borderId="0" xfId="0" applyNumberFormat="1" applyFont="1" applyAlignment="1">
      <alignment horizontal="center"/>
    </xf>
    <xf numFmtId="0" fontId="10" fillId="0" borderId="1" xfId="0" applyNumberFormat="1" applyFont="1" applyBorder="1" applyAlignment="1">
      <alignment horizontal="center"/>
    </xf>
    <xf numFmtId="0" fontId="10" fillId="0" borderId="2" xfId="0" applyNumberFormat="1" applyFont="1" applyBorder="1" applyAlignment="1"/>
    <xf numFmtId="0" fontId="10" fillId="0" borderId="0" xfId="0" applyNumberFormat="1" applyFont="1" applyAlignment="1">
      <alignment horizontal="left" wrapText="1"/>
    </xf>
    <xf numFmtId="0" fontId="10" fillId="0" borderId="0" xfId="0" applyNumberFormat="1" applyFont="1" applyAlignment="1">
      <alignment wrapText="1"/>
    </xf>
    <xf numFmtId="0" fontId="13" fillId="0" borderId="0" xfId="0" applyNumberFormat="1" applyFont="1" applyAlignment="1"/>
    <xf numFmtId="14" fontId="17" fillId="0" borderId="0" xfId="0" applyNumberFormat="1" applyFont="1" applyAlignment="1"/>
    <xf numFmtId="0" fontId="10" fillId="0" borderId="0" xfId="0" applyNumberFormat="1" applyFont="1" applyAlignment="1">
      <alignment horizontal="right"/>
    </xf>
    <xf numFmtId="0" fontId="15" fillId="0" borderId="0" xfId="0" applyNumberFormat="1" applyFont="1" applyAlignment="1"/>
    <xf numFmtId="164" fontId="10" fillId="0" borderId="0" xfId="0" applyNumberFormat="1" applyFont="1" applyAlignment="1">
      <alignment horizontal="right"/>
    </xf>
    <xf numFmtId="0" fontId="17" fillId="0" borderId="1" xfId="0" applyNumberFormat="1" applyFont="1" applyBorder="1" applyAlignment="1"/>
    <xf numFmtId="0" fontId="10" fillId="0" borderId="7" xfId="0" applyNumberFormat="1" applyFont="1" applyBorder="1" applyAlignment="1">
      <alignment horizontal="center" vertical="center" wrapText="1"/>
    </xf>
    <xf numFmtId="0" fontId="8" fillId="0" borderId="7" xfId="0" applyNumberFormat="1" applyFont="1" applyBorder="1" applyAlignment="1">
      <alignment horizontal="center" vertical="center" wrapText="1"/>
    </xf>
    <xf numFmtId="0" fontId="10" fillId="0" borderId="7" xfId="0" applyNumberFormat="1" applyFont="1" applyBorder="1" applyAlignment="1">
      <alignment horizontal="center"/>
    </xf>
    <xf numFmtId="0" fontId="17" fillId="0" borderId="0" xfId="0" applyNumberFormat="1" applyFont="1" applyAlignment="1">
      <alignment horizontal="center"/>
    </xf>
    <xf numFmtId="0" fontId="17" fillId="0" borderId="7" xfId="0" applyNumberFormat="1" applyFont="1" applyBorder="1" applyAlignment="1">
      <alignment horizontal="center"/>
    </xf>
    <xf numFmtId="0" fontId="10" fillId="0" borderId="1" xfId="0" applyNumberFormat="1" applyFont="1" applyBorder="1" applyAlignment="1">
      <alignment horizontal="left" vertical="top" wrapText="1"/>
    </xf>
    <xf numFmtId="0" fontId="20" fillId="0" borderId="0" xfId="0" quotePrefix="1" applyFont="1" applyAlignment="1">
      <alignment horizontal="left" vertical="top" wrapText="1"/>
    </xf>
    <xf numFmtId="0" fontId="20" fillId="0" borderId="0" xfId="0" applyFont="1" applyAlignment="1">
      <alignment horizontal="left" vertical="top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horizontal="right" vertical="top" wrapText="1"/>
    </xf>
    <xf numFmtId="0" fontId="20" fillId="0" borderId="0" xfId="0" applyFont="1" applyAlignment="1">
      <alignment horizontal="right" vertical="top"/>
    </xf>
    <xf numFmtId="0" fontId="20" fillId="0" borderId="0" xfId="0" applyFont="1" applyAlignment="1">
      <alignment horizontal="right" vertical="top" wrapText="1"/>
    </xf>
    <xf numFmtId="165" fontId="20" fillId="0" borderId="0" xfId="0" applyNumberFormat="1" applyFont="1" applyAlignment="1">
      <alignment horizontal="right" vertical="top"/>
    </xf>
    <xf numFmtId="0" fontId="8" fillId="0" borderId="0" xfId="0" applyFont="1" applyAlignment="1">
      <alignment vertical="top" wrapText="1"/>
    </xf>
    <xf numFmtId="166" fontId="20" fillId="0" borderId="0" xfId="0" applyNumberFormat="1" applyFont="1" applyAlignment="1">
      <alignment horizontal="right" vertical="top"/>
    </xf>
    <xf numFmtId="165" fontId="22" fillId="0" borderId="0" xfId="0" applyNumberFormat="1" applyFont="1" applyAlignment="1">
      <alignment horizontal="right" vertical="top"/>
    </xf>
    <xf numFmtId="0" fontId="20" fillId="0" borderId="1" xfId="0" applyFont="1" applyBorder="1" applyAlignment="1">
      <alignment horizontal="left" vertical="top" wrapText="1"/>
    </xf>
    <xf numFmtId="0" fontId="21" fillId="0" borderId="1" xfId="0" applyFont="1" applyBorder="1" applyAlignment="1">
      <alignment horizontal="right" vertical="top" wrapText="1"/>
    </xf>
    <xf numFmtId="0" fontId="20" fillId="0" borderId="1" xfId="0" applyFont="1" applyBorder="1" applyAlignment="1">
      <alignment horizontal="right" vertical="top"/>
    </xf>
    <xf numFmtId="165" fontId="20" fillId="0" borderId="1" xfId="0" applyNumberFormat="1" applyFont="1" applyBorder="1" applyAlignment="1">
      <alignment horizontal="right" vertical="top"/>
    </xf>
    <xf numFmtId="0" fontId="20" fillId="0" borderId="1" xfId="0" applyFont="1" applyBorder="1" applyAlignment="1">
      <alignment horizontal="right" vertical="top" wrapText="1"/>
    </xf>
    <xf numFmtId="165" fontId="0" fillId="0" borderId="0" xfId="0" applyNumberFormat="1"/>
    <xf numFmtId="165" fontId="20" fillId="0" borderId="0" xfId="0" applyNumberFormat="1" applyFont="1" applyAlignment="1">
      <alignment horizontal="right"/>
    </xf>
    <xf numFmtId="0" fontId="22" fillId="0" borderId="0" xfId="0" applyFont="1" applyAlignment="1">
      <alignment horizontal="left" vertical="top" wrapText="1"/>
    </xf>
    <xf numFmtId="0" fontId="20" fillId="0" borderId="0" xfId="0" applyFont="1" applyAlignment="1">
      <alignment vertical="top"/>
    </xf>
    <xf numFmtId="0" fontId="23" fillId="0" borderId="0" xfId="0" applyFont="1" applyAlignment="1">
      <alignment vertical="top" wrapText="1"/>
    </xf>
    <xf numFmtId="0" fontId="23" fillId="0" borderId="0" xfId="0" quotePrefix="1" applyFont="1" applyAlignment="1">
      <alignment vertical="top" wrapText="1"/>
    </xf>
    <xf numFmtId="0" fontId="8" fillId="0" borderId="0" xfId="0" applyFont="1" applyAlignment="1">
      <alignment horizontal="left" vertical="top" wrapText="1"/>
    </xf>
    <xf numFmtId="0" fontId="22" fillId="0" borderId="0" xfId="0" applyFont="1" applyAlignment="1">
      <alignment vertical="top"/>
    </xf>
    <xf numFmtId="0" fontId="12" fillId="0" borderId="0" xfId="0" applyFont="1" applyAlignment="1">
      <alignment horizontal="left" vertical="top" wrapText="1"/>
    </xf>
    <xf numFmtId="0" fontId="22" fillId="0" borderId="0" xfId="0" applyFont="1" applyAlignment="1">
      <alignment horizontal="right" vertical="top"/>
    </xf>
    <xf numFmtId="0" fontId="22" fillId="0" borderId="2" xfId="0" applyFont="1" applyBorder="1" applyAlignment="1">
      <alignment vertical="top"/>
    </xf>
    <xf numFmtId="0" fontId="12" fillId="0" borderId="2" xfId="0" applyFont="1" applyBorder="1" applyAlignment="1">
      <alignment horizontal="left" vertical="top" wrapText="1"/>
    </xf>
    <xf numFmtId="165" fontId="22" fillId="0" borderId="2" xfId="0" applyNumberFormat="1" applyFont="1" applyBorder="1" applyAlignment="1">
      <alignment horizontal="right" vertical="top"/>
    </xf>
    <xf numFmtId="0" fontId="22" fillId="0" borderId="2" xfId="0" applyFont="1" applyBorder="1" applyAlignment="1">
      <alignment horizontal="right" vertical="top"/>
    </xf>
    <xf numFmtId="165" fontId="10" fillId="0" borderId="0" xfId="0" applyNumberFormat="1" applyFont="1" applyAlignment="1">
      <alignment horizontal="right"/>
    </xf>
    <xf numFmtId="165" fontId="10" fillId="0" borderId="0" xfId="0" applyNumberFormat="1" applyFont="1" applyAlignment="1"/>
    <xf numFmtId="165" fontId="11" fillId="0" borderId="0" xfId="0" applyNumberFormat="1" applyFont="1" applyAlignment="1"/>
    <xf numFmtId="166" fontId="11" fillId="0" borderId="0" xfId="0" applyNumberFormat="1" applyFont="1" applyAlignment="1"/>
    <xf numFmtId="0" fontId="20" fillId="0" borderId="7" xfId="0" applyFont="1" applyBorder="1" applyAlignment="1">
      <alignment horizontal="center" vertical="center" wrapText="1"/>
    </xf>
    <xf numFmtId="49" fontId="20" fillId="0" borderId="7" xfId="0" applyNumberFormat="1" applyFont="1" applyBorder="1" applyAlignment="1">
      <alignment horizontal="left" vertical="top" wrapText="1"/>
    </xf>
    <xf numFmtId="0" fontId="20" fillId="0" borderId="7" xfId="0" applyFont="1" applyBorder="1" applyAlignment="1">
      <alignment horizontal="left" wrapText="1"/>
    </xf>
    <xf numFmtId="0" fontId="20" fillId="0" borderId="7" xfId="0" applyFont="1" applyBorder="1" applyAlignment="1">
      <alignment horizontal="right" wrapText="1"/>
    </xf>
    <xf numFmtId="0" fontId="11" fillId="0" borderId="0" xfId="0" applyNumberFormat="1" applyFont="1" applyAlignment="1">
      <alignment horizontal="right"/>
    </xf>
    <xf numFmtId="0" fontId="10" fillId="0" borderId="0" xfId="0" applyNumberFormat="1" applyFont="1" applyAlignment="1">
      <alignment horizontal="right" vertical="center"/>
    </xf>
    <xf numFmtId="0" fontId="17" fillId="0" borderId="0" xfId="0" applyNumberFormat="1" applyFont="1" applyAlignment="1">
      <alignment horizontal="left"/>
    </xf>
    <xf numFmtId="0" fontId="17" fillId="0" borderId="1" xfId="0" applyNumberFormat="1" applyFont="1" applyBorder="1" applyAlignment="1">
      <alignment horizontal="left"/>
    </xf>
    <xf numFmtId="0" fontId="17" fillId="0" borderId="0" xfId="0" applyNumberFormat="1" applyFont="1" applyAlignment="1">
      <alignment horizontal="right"/>
    </xf>
    <xf numFmtId="0" fontId="27" fillId="0" borderId="0" xfId="0" quotePrefix="1" applyFont="1" applyAlignment="1">
      <alignment horizontal="left" vertical="top" wrapText="1"/>
    </xf>
    <xf numFmtId="0" fontId="27" fillId="0" borderId="0" xfId="0" applyFont="1" applyAlignment="1">
      <alignment horizontal="left" vertical="top" wrapText="1"/>
    </xf>
    <xf numFmtId="0" fontId="28" fillId="0" borderId="0" xfId="0" applyFont="1" applyAlignment="1">
      <alignment horizontal="right" vertical="top" wrapText="1"/>
    </xf>
    <xf numFmtId="0" fontId="27" fillId="0" borderId="0" xfId="0" applyFont="1" applyAlignment="1">
      <alignment horizontal="right" vertical="top"/>
    </xf>
    <xf numFmtId="165" fontId="27" fillId="0" borderId="0" xfId="0" applyNumberFormat="1" applyFont="1" applyAlignment="1">
      <alignment horizontal="right" vertical="top"/>
    </xf>
    <xf numFmtId="0" fontId="27" fillId="0" borderId="0" xfId="0" applyFont="1" applyAlignment="1">
      <alignment horizontal="right" vertical="top" wrapText="1"/>
    </xf>
    <xf numFmtId="0" fontId="29" fillId="0" borderId="0" xfId="0" applyFont="1"/>
    <xf numFmtId="0" fontId="29" fillId="0" borderId="0" xfId="0" applyFont="1" applyAlignment="1">
      <alignment vertical="top" wrapText="1"/>
    </xf>
    <xf numFmtId="0" fontId="27" fillId="0" borderId="0" xfId="0" applyFont="1" applyAlignment="1">
      <alignment horizontal="left" vertical="top"/>
    </xf>
    <xf numFmtId="166" fontId="27" fillId="0" borderId="0" xfId="0" applyNumberFormat="1" applyFont="1" applyAlignment="1">
      <alignment horizontal="right" vertical="top"/>
    </xf>
    <xf numFmtId="165" fontId="30" fillId="0" borderId="0" xfId="0" applyNumberFormat="1" applyFont="1" applyAlignment="1">
      <alignment horizontal="right" vertical="top"/>
    </xf>
    <xf numFmtId="0" fontId="27" fillId="0" borderId="1" xfId="0" applyFont="1" applyBorder="1" applyAlignment="1">
      <alignment horizontal="left" vertical="top" wrapText="1"/>
    </xf>
    <xf numFmtId="0" fontId="28" fillId="0" borderId="1" xfId="0" applyFont="1" applyBorder="1" applyAlignment="1">
      <alignment horizontal="right" vertical="top" wrapText="1"/>
    </xf>
    <xf numFmtId="0" fontId="27" fillId="0" borderId="1" xfId="0" applyFont="1" applyBorder="1" applyAlignment="1">
      <alignment horizontal="right" vertical="top"/>
    </xf>
    <xf numFmtId="165" fontId="27" fillId="0" borderId="1" xfId="0" applyNumberFormat="1" applyFont="1" applyBorder="1" applyAlignment="1">
      <alignment horizontal="right" vertical="top"/>
    </xf>
    <xf numFmtId="0" fontId="27" fillId="0" borderId="1" xfId="0" applyFont="1" applyBorder="1" applyAlignment="1">
      <alignment horizontal="right" vertical="top" wrapText="1"/>
    </xf>
    <xf numFmtId="0" fontId="30" fillId="0" borderId="0" xfId="0" applyFont="1" applyAlignment="1">
      <alignment horizontal="left" vertical="top" wrapText="1"/>
    </xf>
    <xf numFmtId="165" fontId="29" fillId="0" borderId="0" xfId="0" applyNumberFormat="1" applyFont="1"/>
    <xf numFmtId="0" fontId="29" fillId="0" borderId="1" xfId="0" applyFont="1" applyBorder="1"/>
    <xf numFmtId="0" fontId="29" fillId="0" borderId="1" xfId="0" applyFont="1" applyBorder="1" applyAlignment="1">
      <alignment vertical="top" wrapText="1"/>
    </xf>
    <xf numFmtId="0" fontId="22" fillId="0" borderId="7" xfId="0" applyFont="1" applyBorder="1" applyAlignment="1">
      <alignment horizontal="left" vertical="center" wrapText="1"/>
    </xf>
    <xf numFmtId="0" fontId="20" fillId="0" borderId="7" xfId="0" applyFont="1" applyBorder="1" applyAlignment="1">
      <alignment horizontal="left" vertical="center" wrapText="1"/>
    </xf>
    <xf numFmtId="0" fontId="26" fillId="0" borderId="2" xfId="0" applyNumberFormat="1" applyFont="1" applyBorder="1" applyAlignment="1">
      <alignment horizontal="center"/>
    </xf>
    <xf numFmtId="0" fontId="24" fillId="0" borderId="7" xfId="0" applyFont="1" applyBorder="1" applyAlignment="1">
      <alignment horizontal="left" vertical="center" wrapText="1"/>
    </xf>
    <xf numFmtId="0" fontId="25" fillId="0" borderId="7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 wrapText="1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horizontal="left" vertical="top" wrapText="1"/>
    </xf>
    <xf numFmtId="0" fontId="20" fillId="0" borderId="0" xfId="0" applyFont="1" applyAlignment="1">
      <alignment horizontal="right" vertical="top" wrapText="1"/>
    </xf>
    <xf numFmtId="0" fontId="21" fillId="0" borderId="0" xfId="0" applyFont="1" applyAlignment="1">
      <alignment horizontal="left" vertical="top" wrapText="1"/>
    </xf>
    <xf numFmtId="0" fontId="22" fillId="0" borderId="0" xfId="0" applyFont="1" applyAlignment="1">
      <alignment horizontal="left" vertical="top" wrapText="1"/>
    </xf>
    <xf numFmtId="165" fontId="30" fillId="0" borderId="0" xfId="0" applyNumberFormat="1" applyFont="1" applyAlignment="1">
      <alignment horizontal="left" vertical="top"/>
    </xf>
    <xf numFmtId="165" fontId="30" fillId="0" borderId="2" xfId="0" applyNumberFormat="1" applyFont="1" applyBorder="1" applyAlignment="1">
      <alignment horizontal="right" vertical="top"/>
    </xf>
    <xf numFmtId="0" fontId="22" fillId="0" borderId="2" xfId="0" applyFont="1" applyBorder="1" applyAlignment="1">
      <alignment horizontal="left" vertical="top" wrapText="1"/>
    </xf>
    <xf numFmtId="165" fontId="22" fillId="0" borderId="0" xfId="0" applyNumberFormat="1" applyFont="1" applyAlignment="1">
      <alignment horizontal="left" vertical="top"/>
    </xf>
    <xf numFmtId="165" fontId="22" fillId="0" borderId="2" xfId="0" applyNumberFormat="1" applyFont="1" applyBorder="1" applyAlignment="1">
      <alignment horizontal="right" vertical="top"/>
    </xf>
    <xf numFmtId="0" fontId="23" fillId="0" borderId="0" xfId="0" applyFont="1" applyAlignment="1">
      <alignment vertical="top" wrapText="1"/>
    </xf>
    <xf numFmtId="0" fontId="10" fillId="0" borderId="5" xfId="0" applyNumberFormat="1" applyFont="1" applyBorder="1" applyAlignment="1">
      <alignment horizontal="center" vertical="center" wrapText="1"/>
    </xf>
    <xf numFmtId="0" fontId="10" fillId="0" borderId="6" xfId="0" applyNumberFormat="1" applyFont="1" applyBorder="1" applyAlignment="1">
      <alignment horizontal="center" vertical="center" wrapText="1"/>
    </xf>
    <xf numFmtId="0" fontId="10" fillId="0" borderId="8" xfId="0" applyNumberFormat="1" applyFont="1" applyBorder="1" applyAlignment="1">
      <alignment horizontal="center" vertical="center" wrapText="1"/>
    </xf>
    <xf numFmtId="0" fontId="10" fillId="0" borderId="3" xfId="0" applyNumberFormat="1" applyFont="1" applyBorder="1" applyAlignment="1">
      <alignment horizontal="center" vertical="center" wrapText="1"/>
    </xf>
    <xf numFmtId="0" fontId="10" fillId="0" borderId="2" xfId="0" applyNumberFormat="1" applyFont="1" applyBorder="1" applyAlignment="1">
      <alignment horizontal="center" vertical="center" wrapText="1"/>
    </xf>
    <xf numFmtId="0" fontId="10" fillId="0" borderId="9" xfId="0" applyNumberFormat="1" applyFont="1" applyBorder="1" applyAlignment="1">
      <alignment horizontal="center" vertical="center" wrapText="1"/>
    </xf>
    <xf numFmtId="0" fontId="10" fillId="0" borderId="4" xfId="0" applyNumberFormat="1" applyFont="1" applyBorder="1" applyAlignment="1">
      <alignment horizontal="center" vertical="center" wrapText="1"/>
    </xf>
    <xf numFmtId="0" fontId="10" fillId="0" borderId="0" xfId="0" applyNumberFormat="1" applyFont="1" applyBorder="1" applyAlignment="1">
      <alignment horizontal="center" vertical="center" wrapText="1"/>
    </xf>
    <xf numFmtId="0" fontId="10" fillId="0" borderId="10" xfId="0" applyNumberFormat="1" applyFont="1" applyBorder="1" applyAlignment="1">
      <alignment horizontal="center" vertical="center" wrapText="1"/>
    </xf>
    <xf numFmtId="0" fontId="10" fillId="0" borderId="11" xfId="0" applyNumberFormat="1" applyFont="1" applyBorder="1" applyAlignment="1">
      <alignment horizontal="center" vertical="center" wrapText="1"/>
    </xf>
    <xf numFmtId="0" fontId="10" fillId="0" borderId="1" xfId="0" applyNumberFormat="1" applyFont="1" applyBorder="1" applyAlignment="1">
      <alignment horizontal="center" vertical="center" wrapText="1"/>
    </xf>
    <xf numFmtId="0" fontId="10" fillId="0" borderId="12" xfId="0" applyNumberFormat="1" applyFont="1" applyBorder="1" applyAlignment="1">
      <alignment horizontal="center" vertical="center" wrapText="1"/>
    </xf>
    <xf numFmtId="0" fontId="16" fillId="0" borderId="2" xfId="0" applyNumberFormat="1" applyFont="1" applyBorder="1" applyAlignment="1">
      <alignment horizontal="center" vertical="top" wrapText="1"/>
    </xf>
    <xf numFmtId="165" fontId="10" fillId="0" borderId="0" xfId="0" applyNumberFormat="1" applyFont="1" applyAlignment="1">
      <alignment horizontal="right"/>
    </xf>
    <xf numFmtId="0" fontId="10" fillId="0" borderId="0" xfId="0" applyNumberFormat="1" applyFont="1" applyAlignment="1">
      <alignment horizontal="right"/>
    </xf>
    <xf numFmtId="0" fontId="14" fillId="0" borderId="1" xfId="0" applyNumberFormat="1" applyFont="1" applyBorder="1" applyAlignment="1">
      <alignment horizontal="center" wrapText="1"/>
    </xf>
    <xf numFmtId="0" fontId="14" fillId="0" borderId="0" xfId="0" applyNumberFormat="1" applyFont="1" applyAlignment="1">
      <alignment horizontal="center" wrapText="1"/>
    </xf>
    <xf numFmtId="0" fontId="19" fillId="0" borderId="1" xfId="0" applyNumberFormat="1" applyFont="1" applyBorder="1" applyAlignment="1">
      <alignment horizontal="center" wrapText="1"/>
    </xf>
    <xf numFmtId="0" fontId="10" fillId="0" borderId="1" xfId="0" applyNumberFormat="1" applyFont="1" applyBorder="1" applyAlignment="1">
      <alignment horizontal="left" wrapText="1"/>
    </xf>
    <xf numFmtId="0" fontId="10" fillId="0" borderId="0" xfId="0" applyNumberFormat="1" applyFont="1" applyAlignment="1">
      <alignment horizontal="left" vertical="top" wrapText="1"/>
    </xf>
    <xf numFmtId="0" fontId="10" fillId="0" borderId="1" xfId="0" applyNumberFormat="1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49"/>
  <sheetViews>
    <sheetView workbookViewId="0"/>
  </sheetViews>
  <sheetFormatPr defaultRowHeight="12.75"/>
  <sheetData>
    <row r="1" spans="1:28">
      <c r="A1" t="s">
        <v>486</v>
      </c>
      <c r="B1" t="s">
        <v>488</v>
      </c>
      <c r="C1" t="s">
        <v>489</v>
      </c>
      <c r="D1" t="s">
        <v>490</v>
      </c>
      <c r="E1" t="s">
        <v>491</v>
      </c>
      <c r="F1" t="s">
        <v>492</v>
      </c>
      <c r="G1" t="s">
        <v>493</v>
      </c>
      <c r="H1" t="s">
        <v>494</v>
      </c>
      <c r="I1" t="s">
        <v>495</v>
      </c>
      <c r="J1" t="s">
        <v>496</v>
      </c>
      <c r="K1" t="s">
        <v>497</v>
      </c>
      <c r="L1" t="s">
        <v>498</v>
      </c>
      <c r="M1" t="s">
        <v>499</v>
      </c>
      <c r="N1" t="s">
        <v>500</v>
      </c>
      <c r="O1" t="s">
        <v>487</v>
      </c>
    </row>
    <row r="2" spans="1:28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</v>
      </c>
      <c r="I2">
        <v>1</v>
      </c>
      <c r="J2">
        <v>0</v>
      </c>
      <c r="K2">
        <v>1</v>
      </c>
      <c r="L2">
        <v>38182922</v>
      </c>
      <c r="M2">
        <v>0</v>
      </c>
      <c r="N2">
        <v>0</v>
      </c>
      <c r="O2">
        <v>0</v>
      </c>
    </row>
    <row r="4" spans="1:28">
      <c r="A4" t="s">
        <v>458</v>
      </c>
      <c r="B4" t="s">
        <v>459</v>
      </c>
      <c r="C4" t="s">
        <v>460</v>
      </c>
      <c r="D4" t="s">
        <v>461</v>
      </c>
      <c r="E4" t="s">
        <v>462</v>
      </c>
      <c r="F4" t="s">
        <v>463</v>
      </c>
      <c r="G4" t="s">
        <v>464</v>
      </c>
      <c r="H4" t="s">
        <v>465</v>
      </c>
      <c r="I4" t="s">
        <v>466</v>
      </c>
      <c r="J4" t="s">
        <v>467</v>
      </c>
      <c r="K4" t="s">
        <v>468</v>
      </c>
      <c r="L4" t="s">
        <v>469</v>
      </c>
      <c r="M4" t="s">
        <v>470</v>
      </c>
      <c r="N4" t="s">
        <v>471</v>
      </c>
      <c r="O4" t="s">
        <v>472</v>
      </c>
      <c r="P4" t="s">
        <v>473</v>
      </c>
      <c r="Q4" t="s">
        <v>474</v>
      </c>
      <c r="R4" t="s">
        <v>475</v>
      </c>
      <c r="S4" t="s">
        <v>476</v>
      </c>
      <c r="T4" t="s">
        <v>477</v>
      </c>
      <c r="U4" t="s">
        <v>481</v>
      </c>
      <c r="V4" t="s">
        <v>482</v>
      </c>
      <c r="W4" t="s">
        <v>483</v>
      </c>
      <c r="X4" t="s">
        <v>484</v>
      </c>
      <c r="Y4" t="s">
        <v>485</v>
      </c>
      <c r="Z4" t="s">
        <v>478</v>
      </c>
      <c r="AA4" t="s">
        <v>479</v>
      </c>
      <c r="AB4" t="s">
        <v>480</v>
      </c>
    </row>
    <row r="6" spans="1:28">
      <c r="A6">
        <f>Source!A20</f>
        <v>3</v>
      </c>
      <c r="B6">
        <v>20</v>
      </c>
      <c r="G6" t="str">
        <f>Source!G20</f>
        <v>ремонт трубы</v>
      </c>
    </row>
    <row r="7" spans="1:28">
      <c r="A7">
        <v>20</v>
      </c>
      <c r="B7">
        <v>3</v>
      </c>
      <c r="C7">
        <v>2</v>
      </c>
      <c r="D7">
        <v>0</v>
      </c>
      <c r="E7">
        <f>SmtRes!AV3</f>
        <v>1</v>
      </c>
      <c r="F7" t="str">
        <f>SmtRes!I3</f>
        <v>91.01.05-084</v>
      </c>
      <c r="G7" t="str">
        <f>SmtRes!K3</f>
        <v>Экскаваторы одноковшовые дизельные на гусеничном ходу, объем ковша 0,4 м3</v>
      </c>
      <c r="H7" t="str">
        <f>SmtRes!O3</f>
        <v>маш.-ч</v>
      </c>
      <c r="I7">
        <f>SmtRes!Y3*Source!I24</f>
        <v>1.3225499999999999</v>
      </c>
      <c r="J7">
        <f>SmtRes!AO3</f>
        <v>0</v>
      </c>
      <c r="K7">
        <f>SmtRes!AF3</f>
        <v>947.64</v>
      </c>
      <c r="M7">
        <f t="shared" ref="M7:M26" si="0">ROUND(I7*K7, 2)</f>
        <v>1253.3</v>
      </c>
      <c r="N7">
        <f>SmtRes!AB3</f>
        <v>1250.8800000000001</v>
      </c>
      <c r="O7">
        <f>SmtRes!DG3</f>
        <v>1654.35</v>
      </c>
      <c r="P7">
        <f>SmtRes!AG3</f>
        <v>497.4</v>
      </c>
      <c r="R7">
        <f t="shared" ref="R7:R26" si="1">ROUND(I7*P7, 2)</f>
        <v>657.84</v>
      </c>
      <c r="S7">
        <f>SmtRes!AC3</f>
        <v>497.4</v>
      </c>
      <c r="T7">
        <f>SmtRes!DH3</f>
        <v>657.84</v>
      </c>
      <c r="U7">
        <v>2</v>
      </c>
      <c r="Z7">
        <f>SmtRes!X3</f>
        <v>1473885390</v>
      </c>
      <c r="AA7">
        <v>1567848987</v>
      </c>
      <c r="AB7">
        <v>1216713234</v>
      </c>
    </row>
    <row r="8" spans="1:28">
      <c r="A8">
        <v>20</v>
      </c>
      <c r="B8">
        <v>1</v>
      </c>
      <c r="C8">
        <v>1</v>
      </c>
      <c r="D8">
        <v>0</v>
      </c>
      <c r="E8">
        <f>SmtRes!AV1</f>
        <v>1</v>
      </c>
      <c r="F8" t="str">
        <f>SmtRes!I1</f>
        <v>1-100-20</v>
      </c>
      <c r="G8" t="str">
        <f>SmtRes!K1</f>
        <v>Средний разряд работы 2,0</v>
      </c>
      <c r="H8" t="str">
        <f>SmtRes!O1</f>
        <v>чел.-ч.</v>
      </c>
      <c r="I8">
        <f>SmtRes!Y1*Source!I24</f>
        <v>0.26550000000000001</v>
      </c>
      <c r="J8">
        <f>SmtRes!AO1</f>
        <v>0</v>
      </c>
      <c r="K8">
        <f>SmtRes!AH1</f>
        <v>352.06</v>
      </c>
      <c r="M8">
        <f t="shared" si="0"/>
        <v>93.47</v>
      </c>
      <c r="N8">
        <f>SmtRes!AD1</f>
        <v>352.06</v>
      </c>
      <c r="O8">
        <f>SmtRes!DI1</f>
        <v>93.47</v>
      </c>
      <c r="P8">
        <f>SmtRes!AG1</f>
        <v>0</v>
      </c>
      <c r="R8">
        <f t="shared" si="1"/>
        <v>0</v>
      </c>
      <c r="S8">
        <f>SmtRes!AC1</f>
        <v>0</v>
      </c>
      <c r="T8">
        <f>SmtRes!DH1</f>
        <v>0</v>
      </c>
      <c r="U8">
        <v>1</v>
      </c>
      <c r="Z8">
        <f>SmtRes!X1</f>
        <v>370475345</v>
      </c>
      <c r="AA8">
        <v>1406990596</v>
      </c>
      <c r="AB8">
        <v>1406990596</v>
      </c>
    </row>
    <row r="9" spans="1:28">
      <c r="A9">
        <v>20</v>
      </c>
      <c r="B9">
        <v>7</v>
      </c>
      <c r="C9">
        <v>2</v>
      </c>
      <c r="D9">
        <v>0</v>
      </c>
      <c r="E9">
        <f>SmtRes!AV7</f>
        <v>1</v>
      </c>
      <c r="F9" t="str">
        <f>SmtRes!I7</f>
        <v>91.14.02-001</v>
      </c>
      <c r="G9" t="str">
        <f>SmtRes!K7</f>
        <v>Автомобили бортовые, грузоподъемность до 5 т</v>
      </c>
      <c r="H9" t="str">
        <f>SmtRes!O7</f>
        <v>маш.-ч</v>
      </c>
      <c r="I9">
        <f>SmtRes!Y7*Source!I25</f>
        <v>3.8400000000000004E-2</v>
      </c>
      <c r="J9">
        <f>SmtRes!AO7</f>
        <v>0</v>
      </c>
      <c r="K9">
        <f>SmtRes!AF7</f>
        <v>652.84</v>
      </c>
      <c r="M9">
        <f t="shared" si="0"/>
        <v>25.07</v>
      </c>
      <c r="N9">
        <f>SmtRes!AB7</f>
        <v>652.84</v>
      </c>
      <c r="O9">
        <f>SmtRes!DG7</f>
        <v>25.07</v>
      </c>
      <c r="P9">
        <f>SmtRes!AG7</f>
        <v>432.81</v>
      </c>
      <c r="R9">
        <f t="shared" si="1"/>
        <v>16.62</v>
      </c>
      <c r="S9">
        <f>SmtRes!AC7</f>
        <v>432.81</v>
      </c>
      <c r="T9">
        <f>SmtRes!DH7</f>
        <v>16.62</v>
      </c>
      <c r="U9">
        <v>2</v>
      </c>
      <c r="Z9">
        <f>SmtRes!X7</f>
        <v>-849950259</v>
      </c>
      <c r="AA9">
        <v>106755230</v>
      </c>
      <c r="AB9">
        <v>106755230</v>
      </c>
    </row>
    <row r="10" spans="1:28">
      <c r="A10">
        <v>20</v>
      </c>
      <c r="B10">
        <v>6</v>
      </c>
      <c r="C10">
        <v>2</v>
      </c>
      <c r="D10">
        <v>0</v>
      </c>
      <c r="E10">
        <f>SmtRes!AV6</f>
        <v>1</v>
      </c>
      <c r="F10" t="str">
        <f>SmtRes!I6</f>
        <v>91.10.05-009</v>
      </c>
      <c r="G10" t="str">
        <f>SmtRes!K6</f>
        <v>Трубоукладчики, номинальная грузоподъемность 35 т</v>
      </c>
      <c r="H10" t="str">
        <f>SmtRes!O6</f>
        <v>маш.-ч</v>
      </c>
      <c r="I10">
        <f>SmtRes!Y6*Source!I25</f>
        <v>0.99200000000000021</v>
      </c>
      <c r="J10">
        <f>SmtRes!AO6</f>
        <v>0</v>
      </c>
      <c r="K10">
        <f>SmtRes!AF6</f>
        <v>4403.5600000000004</v>
      </c>
      <c r="M10">
        <f t="shared" si="0"/>
        <v>4368.33</v>
      </c>
      <c r="N10">
        <f>SmtRes!AB6</f>
        <v>4931.99</v>
      </c>
      <c r="O10">
        <f>SmtRes!DG6</f>
        <v>4892.53</v>
      </c>
      <c r="P10">
        <f>SmtRes!AG6</f>
        <v>707.35</v>
      </c>
      <c r="R10">
        <f t="shared" si="1"/>
        <v>701.69</v>
      </c>
      <c r="S10">
        <f>SmtRes!AC6</f>
        <v>707.35</v>
      </c>
      <c r="T10">
        <f>SmtRes!DH6</f>
        <v>701.69</v>
      </c>
      <c r="U10">
        <v>2</v>
      </c>
      <c r="Z10">
        <f>SmtRes!X6</f>
        <v>-1505731505</v>
      </c>
      <c r="AA10">
        <v>1516374314</v>
      </c>
      <c r="AB10">
        <v>929036850</v>
      </c>
    </row>
    <row r="11" spans="1:28">
      <c r="A11">
        <v>20</v>
      </c>
      <c r="B11">
        <v>4</v>
      </c>
      <c r="C11">
        <v>1</v>
      </c>
      <c r="D11">
        <v>0</v>
      </c>
      <c r="E11">
        <f>SmtRes!AV4</f>
        <v>1</v>
      </c>
      <c r="F11" t="str">
        <f>SmtRes!I4</f>
        <v>1-100-40</v>
      </c>
      <c r="G11" t="str">
        <f>SmtRes!K4</f>
        <v>Средний разряд работы 4,0</v>
      </c>
      <c r="H11" t="str">
        <f>SmtRes!O4</f>
        <v>чел.-ч.</v>
      </c>
      <c r="I11">
        <f>SmtRes!Y4*Source!I25</f>
        <v>15.008000000000003</v>
      </c>
      <c r="J11">
        <f>SmtRes!AO4</f>
        <v>0</v>
      </c>
      <c r="K11">
        <f>SmtRes!AH4</f>
        <v>432.81</v>
      </c>
      <c r="M11">
        <f t="shared" si="0"/>
        <v>6495.61</v>
      </c>
      <c r="N11">
        <f>SmtRes!AD4</f>
        <v>432.81</v>
      </c>
      <c r="O11">
        <f>SmtRes!DI4</f>
        <v>6495.61</v>
      </c>
      <c r="P11">
        <f>SmtRes!AG4</f>
        <v>0</v>
      </c>
      <c r="R11">
        <f t="shared" si="1"/>
        <v>0</v>
      </c>
      <c r="S11">
        <f>SmtRes!AC4</f>
        <v>0</v>
      </c>
      <c r="T11">
        <f>SmtRes!DH4</f>
        <v>0</v>
      </c>
      <c r="U11">
        <v>1</v>
      </c>
      <c r="Z11">
        <f>SmtRes!X4</f>
        <v>888410196</v>
      </c>
      <c r="AA11">
        <v>795807998</v>
      </c>
      <c r="AB11">
        <v>795807998</v>
      </c>
    </row>
    <row r="12" spans="1:28">
      <c r="A12">
        <v>20</v>
      </c>
      <c r="B12">
        <v>20</v>
      </c>
      <c r="C12">
        <v>3</v>
      </c>
      <c r="D12">
        <v>0</v>
      </c>
      <c r="E12">
        <f>SmtRes!AV20</f>
        <v>0</v>
      </c>
      <c r="F12" t="str">
        <f>SmtRes!I20</f>
        <v>11.1.03.01-0067</v>
      </c>
      <c r="G12" t="str">
        <f>SmtRes!K20</f>
        <v>Брус обрезной хвойных пород (ель, сосна), естественной влажности, длина 2-6,5 м, ширина 100 и более мм, толщина 100 и более мм, сорт III</v>
      </c>
      <c r="H12" t="str">
        <f>SmtRes!O20</f>
        <v>м3</v>
      </c>
      <c r="I12">
        <f>SmtRes!Y20*Source!I27</f>
        <v>2.7E-2</v>
      </c>
      <c r="J12">
        <f>SmtRes!AO20</f>
        <v>0</v>
      </c>
      <c r="K12">
        <f>SmtRes!AE20</f>
        <v>16655</v>
      </c>
      <c r="M12">
        <f t="shared" si="0"/>
        <v>449.69</v>
      </c>
      <c r="N12">
        <f>SmtRes!AA20</f>
        <v>13324</v>
      </c>
      <c r="O12">
        <f>SmtRes!DF20</f>
        <v>359.75</v>
      </c>
      <c r="P12">
        <f>SmtRes!AG20</f>
        <v>0</v>
      </c>
      <c r="R12">
        <f t="shared" si="1"/>
        <v>0</v>
      </c>
      <c r="S12">
        <f>SmtRes!AC20</f>
        <v>0</v>
      </c>
      <c r="T12">
        <f>SmtRes!DH20</f>
        <v>0</v>
      </c>
      <c r="U12">
        <v>3</v>
      </c>
      <c r="Z12">
        <f>SmtRes!X20</f>
        <v>-831399682</v>
      </c>
      <c r="AA12">
        <v>-1480605263</v>
      </c>
      <c r="AB12">
        <v>-1360243399</v>
      </c>
    </row>
    <row r="13" spans="1:28">
      <c r="A13">
        <v>20</v>
      </c>
      <c r="B13">
        <v>19</v>
      </c>
      <c r="C13">
        <v>3</v>
      </c>
      <c r="D13">
        <v>0</v>
      </c>
      <c r="E13">
        <f>SmtRes!AV19</f>
        <v>0</v>
      </c>
      <c r="F13" t="str">
        <f>SmtRes!I19</f>
        <v>01.3.02.09-0022</v>
      </c>
      <c r="G13" t="str">
        <f>SmtRes!K19</f>
        <v>Пропан-бутан смесь техническая</v>
      </c>
      <c r="H13" t="str">
        <f>SmtRes!O19</f>
        <v>кг</v>
      </c>
      <c r="I13">
        <f>SmtRes!Y19*Source!I27</f>
        <v>4.0655999999999999</v>
      </c>
      <c r="J13">
        <f>SmtRes!AO19</f>
        <v>0</v>
      </c>
      <c r="K13">
        <f>SmtRes!AE19</f>
        <v>41.38</v>
      </c>
      <c r="M13">
        <f t="shared" si="0"/>
        <v>168.23</v>
      </c>
      <c r="N13">
        <f>SmtRes!AA19</f>
        <v>57.1</v>
      </c>
      <c r="O13">
        <f>SmtRes!DF19</f>
        <v>232.15</v>
      </c>
      <c r="P13">
        <f>SmtRes!AG19</f>
        <v>0</v>
      </c>
      <c r="R13">
        <f t="shared" si="1"/>
        <v>0</v>
      </c>
      <c r="S13">
        <f>SmtRes!AC19</f>
        <v>0</v>
      </c>
      <c r="T13">
        <f>SmtRes!DH19</f>
        <v>0</v>
      </c>
      <c r="U13">
        <v>3</v>
      </c>
      <c r="Z13">
        <f>SmtRes!X19</f>
        <v>-1568219933</v>
      </c>
      <c r="AA13">
        <v>1588463070</v>
      </c>
      <c r="AB13">
        <v>766106269</v>
      </c>
    </row>
    <row r="14" spans="1:28">
      <c r="A14">
        <v>20</v>
      </c>
      <c r="B14">
        <v>18</v>
      </c>
      <c r="C14">
        <v>3</v>
      </c>
      <c r="D14">
        <v>0</v>
      </c>
      <c r="E14">
        <f>SmtRes!AV18</f>
        <v>0</v>
      </c>
      <c r="F14" t="str">
        <f>SmtRes!I18</f>
        <v>01.3.02.08-0001</v>
      </c>
      <c r="G14" t="str">
        <f>SmtRes!K18</f>
        <v>Кислород газообразный технический</v>
      </c>
      <c r="H14" t="str">
        <f>SmtRes!O18</f>
        <v>м3</v>
      </c>
      <c r="I14">
        <f>SmtRes!Y18*Source!I27</f>
        <v>1.59</v>
      </c>
      <c r="J14">
        <f>SmtRes!AO18</f>
        <v>0</v>
      </c>
      <c r="K14">
        <f>SmtRes!AE18</f>
        <v>89</v>
      </c>
      <c r="M14">
        <f t="shared" si="0"/>
        <v>141.51</v>
      </c>
      <c r="N14">
        <f>SmtRes!AA18</f>
        <v>89</v>
      </c>
      <c r="O14">
        <f>SmtRes!DF18</f>
        <v>141.51</v>
      </c>
      <c r="P14">
        <f>SmtRes!AG18</f>
        <v>0</v>
      </c>
      <c r="R14">
        <f t="shared" si="1"/>
        <v>0</v>
      </c>
      <c r="S14">
        <f>SmtRes!AC18</f>
        <v>0</v>
      </c>
      <c r="T14">
        <f>SmtRes!DH18</f>
        <v>0</v>
      </c>
      <c r="U14">
        <v>3</v>
      </c>
      <c r="Z14">
        <f>SmtRes!X18</f>
        <v>-2058989610</v>
      </c>
      <c r="AA14">
        <v>1504361348</v>
      </c>
      <c r="AB14">
        <v>1504361348</v>
      </c>
    </row>
    <row r="15" spans="1:28">
      <c r="A15">
        <v>20</v>
      </c>
      <c r="B15">
        <v>17</v>
      </c>
      <c r="C15">
        <v>2</v>
      </c>
      <c r="D15">
        <v>0</v>
      </c>
      <c r="E15">
        <f>SmtRes!AV17</f>
        <v>1</v>
      </c>
      <c r="F15" t="str">
        <f>SmtRes!I17</f>
        <v>91.17.04-042</v>
      </c>
      <c r="G15" t="str">
        <f>SmtRes!K17</f>
        <v>Аппараты для газовой сварки и резки</v>
      </c>
      <c r="H15" t="str">
        <f>SmtRes!O17</f>
        <v>маш.-ч</v>
      </c>
      <c r="I15">
        <f>SmtRes!Y17*Source!I27</f>
        <v>0.44</v>
      </c>
      <c r="J15">
        <f>SmtRes!AO17</f>
        <v>0</v>
      </c>
      <c r="K15">
        <f>SmtRes!AF17</f>
        <v>4.3499999999999996</v>
      </c>
      <c r="M15">
        <f t="shared" si="0"/>
        <v>1.91</v>
      </c>
      <c r="N15">
        <f>SmtRes!AB17</f>
        <v>5.35</v>
      </c>
      <c r="O15">
        <f>SmtRes!DG17</f>
        <v>2.35</v>
      </c>
      <c r="P15">
        <f>SmtRes!AG17</f>
        <v>0</v>
      </c>
      <c r="R15">
        <f t="shared" si="1"/>
        <v>0</v>
      </c>
      <c r="S15">
        <f>SmtRes!AC17</f>
        <v>0</v>
      </c>
      <c r="T15">
        <f>SmtRes!DH17</f>
        <v>0</v>
      </c>
      <c r="U15">
        <v>2</v>
      </c>
      <c r="Z15">
        <f>SmtRes!X17</f>
        <v>-880363394</v>
      </c>
      <c r="AA15">
        <v>1145571634</v>
      </c>
      <c r="AB15">
        <v>-51089833</v>
      </c>
    </row>
    <row r="16" spans="1:28">
      <c r="A16">
        <v>20</v>
      </c>
      <c r="B16">
        <v>16</v>
      </c>
      <c r="C16">
        <v>2</v>
      </c>
      <c r="D16">
        <v>0</v>
      </c>
      <c r="E16">
        <f>SmtRes!AV16</f>
        <v>1</v>
      </c>
      <c r="F16" t="str">
        <f>SmtRes!I16</f>
        <v>91.10.05-009</v>
      </c>
      <c r="G16" t="str">
        <f>SmtRes!K16</f>
        <v>Трубоукладчики, номинальная грузоподъемность 35 т</v>
      </c>
      <c r="H16" t="str">
        <f>SmtRes!O16</f>
        <v>маш.-ч</v>
      </c>
      <c r="I16">
        <f>SmtRes!Y16*Source!I27</f>
        <v>0.75</v>
      </c>
      <c r="J16">
        <f>SmtRes!AO16</f>
        <v>0</v>
      </c>
      <c r="K16">
        <f>SmtRes!AF16</f>
        <v>4403.5600000000004</v>
      </c>
      <c r="M16">
        <f t="shared" si="0"/>
        <v>3302.67</v>
      </c>
      <c r="N16">
        <f>SmtRes!AB16</f>
        <v>4931.99</v>
      </c>
      <c r="O16">
        <f>SmtRes!DG16</f>
        <v>3698.99</v>
      </c>
      <c r="P16">
        <f>SmtRes!AG16</f>
        <v>707.35</v>
      </c>
      <c r="R16">
        <f t="shared" si="1"/>
        <v>530.51</v>
      </c>
      <c r="S16">
        <f>SmtRes!AC16</f>
        <v>707.35</v>
      </c>
      <c r="T16">
        <f>SmtRes!DH16</f>
        <v>530.51</v>
      </c>
      <c r="U16">
        <v>2</v>
      </c>
      <c r="Z16">
        <f>SmtRes!X16</f>
        <v>-1505731505</v>
      </c>
      <c r="AA16">
        <v>1516374314</v>
      </c>
      <c r="AB16">
        <v>929036850</v>
      </c>
    </row>
    <row r="17" spans="1:28">
      <c r="A17">
        <v>20</v>
      </c>
      <c r="B17">
        <v>14</v>
      </c>
      <c r="C17">
        <v>1</v>
      </c>
      <c r="D17">
        <v>0</v>
      </c>
      <c r="E17">
        <f>SmtRes!AV14</f>
        <v>1</v>
      </c>
      <c r="F17" t="str">
        <f>SmtRes!I14</f>
        <v>1-100-47</v>
      </c>
      <c r="G17" t="str">
        <f>SmtRes!K14</f>
        <v>Средний разряд работы 4,7</v>
      </c>
      <c r="H17" t="str">
        <f>SmtRes!O14</f>
        <v>чел.-ч.</v>
      </c>
      <c r="I17">
        <f>SmtRes!Y14*Source!I27</f>
        <v>1.59</v>
      </c>
      <c r="J17">
        <f>SmtRes!AO14</f>
        <v>0</v>
      </c>
      <c r="K17">
        <f>SmtRes!AH14</f>
        <v>478.03</v>
      </c>
      <c r="M17">
        <f t="shared" si="0"/>
        <v>760.07</v>
      </c>
      <c r="N17">
        <f>SmtRes!AD14</f>
        <v>478.03</v>
      </c>
      <c r="O17">
        <f>SmtRes!DI14</f>
        <v>760.07</v>
      </c>
      <c r="P17">
        <f>SmtRes!AG14</f>
        <v>0</v>
      </c>
      <c r="R17">
        <f t="shared" si="1"/>
        <v>0</v>
      </c>
      <c r="S17">
        <f>SmtRes!AC14</f>
        <v>0</v>
      </c>
      <c r="T17">
        <f>SmtRes!DH14</f>
        <v>0</v>
      </c>
      <c r="U17">
        <v>1</v>
      </c>
      <c r="Z17">
        <f>SmtRes!X14</f>
        <v>1521243167</v>
      </c>
      <c r="AA17">
        <v>-1434346882</v>
      </c>
      <c r="AB17">
        <v>-1434346882</v>
      </c>
    </row>
    <row r="18" spans="1:28">
      <c r="A18">
        <v>20</v>
      </c>
      <c r="B18">
        <v>29</v>
      </c>
      <c r="C18">
        <v>3</v>
      </c>
      <c r="D18">
        <v>0</v>
      </c>
      <c r="E18">
        <f>SmtRes!AV29</f>
        <v>0</v>
      </c>
      <c r="F18" t="str">
        <f>SmtRes!I29</f>
        <v>04.3.01.09-0014</v>
      </c>
      <c r="G18" t="str">
        <f>SmtRes!K29</f>
        <v>Раствор готовый кладочный, цементный, М100</v>
      </c>
      <c r="H18" t="str">
        <f>SmtRes!O29</f>
        <v>м3</v>
      </c>
      <c r="I18">
        <f>SmtRes!Y29*Source!I28</f>
        <v>6.6000000000000003E-2</v>
      </c>
      <c r="J18">
        <f>SmtRes!AO29</f>
        <v>0</v>
      </c>
      <c r="K18">
        <f>SmtRes!AE29</f>
        <v>5769.31</v>
      </c>
      <c r="M18">
        <f t="shared" si="0"/>
        <v>380.77</v>
      </c>
      <c r="N18">
        <f>SmtRes!AA29</f>
        <v>5769.31</v>
      </c>
      <c r="O18">
        <f>SmtRes!DF29</f>
        <v>380.77</v>
      </c>
      <c r="P18">
        <f>SmtRes!AG29</f>
        <v>0</v>
      </c>
      <c r="R18">
        <f t="shared" si="1"/>
        <v>0</v>
      </c>
      <c r="S18">
        <f>SmtRes!AC29</f>
        <v>0</v>
      </c>
      <c r="T18">
        <f>SmtRes!DH29</f>
        <v>0</v>
      </c>
      <c r="U18">
        <v>3</v>
      </c>
      <c r="Z18">
        <f>SmtRes!X29</f>
        <v>-2089581116</v>
      </c>
      <c r="AA18">
        <v>1543752563</v>
      </c>
      <c r="AB18">
        <v>1543752563</v>
      </c>
    </row>
    <row r="19" spans="1:28">
      <c r="A19">
        <v>20</v>
      </c>
      <c r="B19">
        <v>28</v>
      </c>
      <c r="C19">
        <v>3</v>
      </c>
      <c r="D19">
        <v>0</v>
      </c>
      <c r="E19">
        <f>SmtRes!AV28</f>
        <v>0</v>
      </c>
      <c r="F19" t="str">
        <f>SmtRes!I28</f>
        <v>03.2.01.01-0001</v>
      </c>
      <c r="G19" t="str">
        <f>SmtRes!K28</f>
        <v>Портландцемент бездобавочный общестроительный ЦЕМ 0 32,5Н</v>
      </c>
      <c r="H19" t="str">
        <f>SmtRes!O28</f>
        <v>т</v>
      </c>
      <c r="I19">
        <f>SmtRes!Y28*Source!I28</f>
        <v>2.656E-2</v>
      </c>
      <c r="J19">
        <f>SmtRes!AO28</f>
        <v>0</v>
      </c>
      <c r="K19">
        <f>SmtRes!AE28</f>
        <v>4800.8500000000004</v>
      </c>
      <c r="M19">
        <f t="shared" si="0"/>
        <v>127.51</v>
      </c>
      <c r="N19">
        <f>SmtRes!AA28</f>
        <v>9073.61</v>
      </c>
      <c r="O19">
        <f>SmtRes!DF28</f>
        <v>241</v>
      </c>
      <c r="P19">
        <f>SmtRes!AG28</f>
        <v>0</v>
      </c>
      <c r="R19">
        <f t="shared" si="1"/>
        <v>0</v>
      </c>
      <c r="S19">
        <f>SmtRes!AC28</f>
        <v>0</v>
      </c>
      <c r="T19">
        <f>SmtRes!DH28</f>
        <v>0</v>
      </c>
      <c r="U19">
        <v>3</v>
      </c>
      <c r="Z19">
        <f>SmtRes!X28</f>
        <v>269049756</v>
      </c>
      <c r="AA19">
        <v>580301888</v>
      </c>
      <c r="AB19">
        <v>-1771451004</v>
      </c>
    </row>
    <row r="20" spans="1:28">
      <c r="A20">
        <v>20</v>
      </c>
      <c r="B20">
        <v>27</v>
      </c>
      <c r="C20">
        <v>3</v>
      </c>
      <c r="D20">
        <v>0</v>
      </c>
      <c r="E20">
        <f>SmtRes!AV27</f>
        <v>0</v>
      </c>
      <c r="F20" t="str">
        <f>SmtRes!I27</f>
        <v>01.7.07.29-0322</v>
      </c>
      <c r="G20" t="str">
        <f>SmtRes!K27</f>
        <v>Канат пропитанный (каболка) из льняного и джутового волокна, канализационный и водопроводный, отжатый, диаметр 10-100 мм</v>
      </c>
      <c r="H20" t="str">
        <f>SmtRes!O27</f>
        <v>кг</v>
      </c>
      <c r="I20">
        <f>SmtRes!Y27*Source!I28</f>
        <v>8.4</v>
      </c>
      <c r="J20">
        <f>SmtRes!AO27</f>
        <v>0</v>
      </c>
      <c r="K20">
        <f>SmtRes!AE27</f>
        <v>152.78</v>
      </c>
      <c r="M20">
        <f t="shared" si="0"/>
        <v>1283.3499999999999</v>
      </c>
      <c r="N20">
        <f>SmtRes!AA27</f>
        <v>207.78</v>
      </c>
      <c r="O20">
        <f>SmtRes!DF27</f>
        <v>1745.35</v>
      </c>
      <c r="P20">
        <f>SmtRes!AG27</f>
        <v>0</v>
      </c>
      <c r="R20">
        <f t="shared" si="1"/>
        <v>0</v>
      </c>
      <c r="S20">
        <f>SmtRes!AC27</f>
        <v>0</v>
      </c>
      <c r="T20">
        <f>SmtRes!DH27</f>
        <v>0</v>
      </c>
      <c r="U20">
        <v>3</v>
      </c>
      <c r="Z20">
        <f>SmtRes!X27</f>
        <v>219322737</v>
      </c>
      <c r="AA20">
        <v>269364198</v>
      </c>
      <c r="AB20">
        <v>1772365322</v>
      </c>
    </row>
    <row r="21" spans="1:28">
      <c r="A21">
        <v>20</v>
      </c>
      <c r="B21">
        <v>26</v>
      </c>
      <c r="C21">
        <v>3</v>
      </c>
      <c r="D21">
        <v>0</v>
      </c>
      <c r="E21">
        <f>SmtRes!AV26</f>
        <v>0</v>
      </c>
      <c r="F21" t="str">
        <f>SmtRes!I26</f>
        <v>01.7.03.01-0001</v>
      </c>
      <c r="G21" t="str">
        <f>SmtRes!K26</f>
        <v>Вода</v>
      </c>
      <c r="H21" t="str">
        <f>SmtRes!O26</f>
        <v>м3</v>
      </c>
      <c r="I21">
        <f>SmtRes!Y26*Source!I28</f>
        <v>7.8500000000000005</v>
      </c>
      <c r="J21">
        <f>SmtRes!AO26</f>
        <v>0</v>
      </c>
      <c r="K21">
        <f>SmtRes!AE26</f>
        <v>35.71</v>
      </c>
      <c r="M21">
        <f t="shared" si="0"/>
        <v>280.32</v>
      </c>
      <c r="N21">
        <f>SmtRes!AA26</f>
        <v>26.07</v>
      </c>
      <c r="O21">
        <f>SmtRes!DF26</f>
        <v>204.65</v>
      </c>
      <c r="P21">
        <f>SmtRes!AG26</f>
        <v>0</v>
      </c>
      <c r="R21">
        <f t="shared" si="1"/>
        <v>0</v>
      </c>
      <c r="S21">
        <f>SmtRes!AC26</f>
        <v>0</v>
      </c>
      <c r="T21">
        <f>SmtRes!DH26</f>
        <v>0</v>
      </c>
      <c r="U21">
        <v>3</v>
      </c>
      <c r="Z21">
        <f>SmtRes!X26</f>
        <v>1964556667</v>
      </c>
      <c r="AA21">
        <v>1781038258</v>
      </c>
      <c r="AB21">
        <v>-471873250</v>
      </c>
    </row>
    <row r="22" spans="1:28">
      <c r="A22">
        <v>20</v>
      </c>
      <c r="B22">
        <v>25</v>
      </c>
      <c r="C22">
        <v>3</v>
      </c>
      <c r="D22">
        <v>0</v>
      </c>
      <c r="E22">
        <f>SmtRes!AV25</f>
        <v>0</v>
      </c>
      <c r="F22" t="str">
        <f>SmtRes!I25</f>
        <v>01.1.02.10-1022</v>
      </c>
      <c r="G22" t="str">
        <f>SmtRes!K25</f>
        <v>Хризотил (асбест хризотиловый), группа 6К, марки 6К-45, 6К-30, 6К-20, 6К-5</v>
      </c>
      <c r="H22" t="str">
        <f>SmtRes!O25</f>
        <v>т</v>
      </c>
      <c r="I22">
        <f>SmtRes!Y25*Source!I28</f>
        <v>1.14E-2</v>
      </c>
      <c r="J22">
        <f>SmtRes!AO25</f>
        <v>0</v>
      </c>
      <c r="K22">
        <f>SmtRes!AE25</f>
        <v>21588.35</v>
      </c>
      <c r="M22">
        <f t="shared" si="0"/>
        <v>246.11</v>
      </c>
      <c r="N22">
        <f>SmtRes!AA25</f>
        <v>25474.25</v>
      </c>
      <c r="O22">
        <f>SmtRes!DF25</f>
        <v>290.41000000000003</v>
      </c>
      <c r="P22">
        <f>SmtRes!AG25</f>
        <v>0</v>
      </c>
      <c r="R22">
        <f t="shared" si="1"/>
        <v>0</v>
      </c>
      <c r="S22">
        <f>SmtRes!AC25</f>
        <v>0</v>
      </c>
      <c r="T22">
        <f>SmtRes!DH25</f>
        <v>0</v>
      </c>
      <c r="U22">
        <v>3</v>
      </c>
      <c r="Z22">
        <f>SmtRes!X25</f>
        <v>192185020</v>
      </c>
      <c r="AA22">
        <v>728816804</v>
      </c>
      <c r="AB22">
        <v>-973196742</v>
      </c>
    </row>
    <row r="23" spans="1:28">
      <c r="A23">
        <v>20</v>
      </c>
      <c r="B23">
        <v>24</v>
      </c>
      <c r="C23">
        <v>2</v>
      </c>
      <c r="D23">
        <v>0</v>
      </c>
      <c r="E23">
        <f>SmtRes!AV24</f>
        <v>1</v>
      </c>
      <c r="F23" t="str">
        <f>SmtRes!I24</f>
        <v>91.14.02-001</v>
      </c>
      <c r="G23" t="str">
        <f>SmtRes!K24</f>
        <v>Автомобили бортовые, грузоподъемность до 5 т</v>
      </c>
      <c r="H23" t="str">
        <f>SmtRes!O24</f>
        <v>маш.-ч</v>
      </c>
      <c r="I23">
        <f>SmtRes!Y24*Source!I28</f>
        <v>4.8000000000000001E-2</v>
      </c>
      <c r="J23">
        <f>SmtRes!AO24</f>
        <v>0</v>
      </c>
      <c r="K23">
        <f>SmtRes!AF24</f>
        <v>652.84</v>
      </c>
      <c r="M23">
        <f t="shared" si="0"/>
        <v>31.34</v>
      </c>
      <c r="N23">
        <f>SmtRes!AB24</f>
        <v>652.84</v>
      </c>
      <c r="O23">
        <f>SmtRes!DG24</f>
        <v>31.34</v>
      </c>
      <c r="P23">
        <f>SmtRes!AG24</f>
        <v>432.81</v>
      </c>
      <c r="R23">
        <f t="shared" si="1"/>
        <v>20.77</v>
      </c>
      <c r="S23">
        <f>SmtRes!AC24</f>
        <v>432.81</v>
      </c>
      <c r="T23">
        <f>SmtRes!DH24</f>
        <v>20.77</v>
      </c>
      <c r="U23">
        <v>2</v>
      </c>
      <c r="Z23">
        <f>SmtRes!X24</f>
        <v>-849950259</v>
      </c>
      <c r="AA23">
        <v>106755230</v>
      </c>
      <c r="AB23">
        <v>106755230</v>
      </c>
    </row>
    <row r="24" spans="1:28">
      <c r="A24">
        <v>20</v>
      </c>
      <c r="B24">
        <v>23</v>
      </c>
      <c r="C24">
        <v>2</v>
      </c>
      <c r="D24">
        <v>0</v>
      </c>
      <c r="E24">
        <f>SmtRes!AV23</f>
        <v>1</v>
      </c>
      <c r="F24" t="str">
        <f>SmtRes!I23</f>
        <v>91.10.05-009</v>
      </c>
      <c r="G24" t="str">
        <f>SmtRes!K23</f>
        <v>Трубоукладчики, номинальная грузоподъемность 35 т</v>
      </c>
      <c r="H24" t="str">
        <f>SmtRes!O23</f>
        <v>маш.-ч</v>
      </c>
      <c r="I24">
        <f>SmtRes!Y23*Source!I28</f>
        <v>1.2400000000000002</v>
      </c>
      <c r="J24">
        <f>SmtRes!AO23</f>
        <v>0</v>
      </c>
      <c r="K24">
        <f>SmtRes!AF23</f>
        <v>4403.5600000000004</v>
      </c>
      <c r="M24">
        <f t="shared" si="0"/>
        <v>5460.41</v>
      </c>
      <c r="N24">
        <f>SmtRes!AB23</f>
        <v>4931.99</v>
      </c>
      <c r="O24">
        <f>SmtRes!DG23</f>
        <v>6115.67</v>
      </c>
      <c r="P24">
        <f>SmtRes!AG23</f>
        <v>707.35</v>
      </c>
      <c r="R24">
        <f t="shared" si="1"/>
        <v>877.11</v>
      </c>
      <c r="S24">
        <f>SmtRes!AC23</f>
        <v>707.35</v>
      </c>
      <c r="T24">
        <f>SmtRes!DH23</f>
        <v>877.11</v>
      </c>
      <c r="U24">
        <v>2</v>
      </c>
      <c r="Z24">
        <f>SmtRes!X23</f>
        <v>-1505731505</v>
      </c>
      <c r="AA24">
        <v>1516374314</v>
      </c>
      <c r="AB24">
        <v>929036850</v>
      </c>
    </row>
    <row r="25" spans="1:28">
      <c r="A25">
        <v>20</v>
      </c>
      <c r="B25">
        <v>21</v>
      </c>
      <c r="C25">
        <v>1</v>
      </c>
      <c r="D25">
        <v>0</v>
      </c>
      <c r="E25">
        <f>SmtRes!AV21</f>
        <v>1</v>
      </c>
      <c r="F25" t="str">
        <f>SmtRes!I21</f>
        <v>1-100-40</v>
      </c>
      <c r="G25" t="str">
        <f>SmtRes!K21</f>
        <v>Средний разряд работы 4,0</v>
      </c>
      <c r="H25" t="str">
        <f>SmtRes!O21</f>
        <v>чел.-ч.</v>
      </c>
      <c r="I25">
        <f>SmtRes!Y21*Source!I28</f>
        <v>18.760000000000002</v>
      </c>
      <c r="J25">
        <f>SmtRes!AO21</f>
        <v>0</v>
      </c>
      <c r="K25">
        <f>SmtRes!AH21</f>
        <v>432.81</v>
      </c>
      <c r="M25">
        <f t="shared" si="0"/>
        <v>8119.52</v>
      </c>
      <c r="N25">
        <f>SmtRes!AD21</f>
        <v>432.81</v>
      </c>
      <c r="O25">
        <f>SmtRes!DI21</f>
        <v>8119.52</v>
      </c>
      <c r="P25">
        <f>SmtRes!AG21</f>
        <v>0</v>
      </c>
      <c r="R25">
        <f t="shared" si="1"/>
        <v>0</v>
      </c>
      <c r="S25">
        <f>SmtRes!AC21</f>
        <v>0</v>
      </c>
      <c r="T25">
        <f>SmtRes!DH21</f>
        <v>0</v>
      </c>
      <c r="U25">
        <v>1</v>
      </c>
      <c r="Z25">
        <f>SmtRes!X21</f>
        <v>888410196</v>
      </c>
      <c r="AA25">
        <v>795807998</v>
      </c>
      <c r="AB25">
        <v>795807998</v>
      </c>
    </row>
    <row r="26" spans="1:28">
      <c r="A26">
        <v>20</v>
      </c>
      <c r="B26">
        <v>32</v>
      </c>
      <c r="C26">
        <v>2</v>
      </c>
      <c r="D26">
        <v>0</v>
      </c>
      <c r="E26">
        <f>SmtRes!AV32</f>
        <v>1</v>
      </c>
      <c r="F26" t="str">
        <f>SmtRes!I32</f>
        <v>91.01.01-046</v>
      </c>
      <c r="G26" t="str">
        <f>SmtRes!K32</f>
        <v>Бульдозеры, мощность 303 кВт (410 л.с.)</v>
      </c>
      <c r="H26" t="str">
        <f>SmtRes!O32</f>
        <v>маш.-ч</v>
      </c>
      <c r="I26">
        <f>SmtRes!Y32*Source!I30</f>
        <v>9.0000000000000011E-2</v>
      </c>
      <c r="J26">
        <f>SmtRes!AO32</f>
        <v>0</v>
      </c>
      <c r="K26">
        <f>SmtRes!AF32</f>
        <v>5605.48</v>
      </c>
      <c r="M26">
        <f t="shared" si="0"/>
        <v>504.49</v>
      </c>
      <c r="N26">
        <f>SmtRes!AB32</f>
        <v>5605.48</v>
      </c>
      <c r="O26">
        <f>SmtRes!DG32</f>
        <v>504.49</v>
      </c>
      <c r="P26">
        <f>SmtRes!AG32</f>
        <v>707.35</v>
      </c>
      <c r="R26">
        <f t="shared" si="1"/>
        <v>63.66</v>
      </c>
      <c r="S26">
        <f>SmtRes!AC32</f>
        <v>707.35</v>
      </c>
      <c r="T26">
        <f>SmtRes!DH32</f>
        <v>63.66</v>
      </c>
      <c r="U26">
        <v>2</v>
      </c>
      <c r="Z26">
        <f>SmtRes!X32</f>
        <v>626856282</v>
      </c>
      <c r="AA26">
        <v>-1281970117</v>
      </c>
      <c r="AB26">
        <v>-1281970117</v>
      </c>
    </row>
    <row r="27" spans="1:28">
      <c r="A27">
        <f>Source!A31</f>
        <v>18</v>
      </c>
      <c r="B27">
        <v>31</v>
      </c>
      <c r="C27">
        <v>2</v>
      </c>
      <c r="D27">
        <f>Source!BI31</f>
        <v>1</v>
      </c>
      <c r="E27">
        <f>Source!FS31</f>
        <v>1</v>
      </c>
      <c r="F27" t="str">
        <f>Source!F31</f>
        <v>91.01.05-104</v>
      </c>
      <c r="G27" t="str">
        <f>Source!G31</f>
        <v>Экскаваторы одноковшовые дизельные на пневмоколесном ходу, объем ковша 0,4 м3</v>
      </c>
      <c r="H27" t="str">
        <f>Source!H31</f>
        <v>маш.-ч</v>
      </c>
      <c r="I27">
        <f>Source!I31</f>
        <v>0.09</v>
      </c>
      <c r="J27">
        <v>1</v>
      </c>
      <c r="K27">
        <f>Source!AD31</f>
        <v>1162.81</v>
      </c>
      <c r="M27">
        <f>ROUND(K27*I27, 2)</f>
        <v>104.65</v>
      </c>
      <c r="N27">
        <f>Source!CQ31</f>
        <v>0</v>
      </c>
      <c r="O27">
        <f>ROUND(N27*I27, 2)</f>
        <v>0</v>
      </c>
      <c r="P27">
        <f>Source!AE31</f>
        <v>497.4</v>
      </c>
      <c r="R27">
        <f>ROUND(P27*I27, 2)</f>
        <v>44.77</v>
      </c>
      <c r="S27">
        <f>Source!AE31*IF(Source!BS31&lt;&gt; 0, Source!BS31, 1)</f>
        <v>497.4</v>
      </c>
      <c r="T27">
        <f>ROUND(S27*I27, 2)</f>
        <v>44.77</v>
      </c>
      <c r="U27">
        <v>2</v>
      </c>
      <c r="Z27">
        <f>Source!GF31</f>
        <v>-598721075</v>
      </c>
      <c r="AA27">
        <v>-1992513835</v>
      </c>
      <c r="AB27">
        <v>-1937554257</v>
      </c>
    </row>
    <row r="28" spans="1:28">
      <c r="A28">
        <f>Source!A32</f>
        <v>17</v>
      </c>
      <c r="B28">
        <v>32</v>
      </c>
      <c r="C28">
        <v>2</v>
      </c>
      <c r="D28">
        <f>Source!BI32</f>
        <v>1</v>
      </c>
      <c r="E28">
        <f>Source!FS32</f>
        <v>1</v>
      </c>
      <c r="F28" t="str">
        <f>Source!F32</f>
        <v>91.01.01-046</v>
      </c>
      <c r="G28" t="str">
        <f>Source!G32</f>
        <v>Бульдозеры, мощность 303 кВт (410 л.с.)</v>
      </c>
      <c r="H28" t="str">
        <f>Source!H32</f>
        <v>маш.-ч</v>
      </c>
      <c r="I28">
        <f>Source!I32</f>
        <v>-0.09</v>
      </c>
      <c r="J28">
        <v>1</v>
      </c>
      <c r="K28">
        <f>Source!AD32</f>
        <v>5605.48</v>
      </c>
      <c r="M28">
        <f>ROUND(K28*I28, 2)</f>
        <v>-504.49</v>
      </c>
      <c r="N28">
        <f>Source!CQ32</f>
        <v>0</v>
      </c>
      <c r="O28">
        <f>ROUND(N28*I28, 2)</f>
        <v>0</v>
      </c>
      <c r="P28">
        <f>Source!AE32</f>
        <v>707.35</v>
      </c>
      <c r="R28">
        <f>ROUND(P28*I28, 2)</f>
        <v>-63.66</v>
      </c>
      <c r="S28">
        <f>Source!AE32*IF(Source!BS32&lt;&gt; 0, Source!BS32, 1)</f>
        <v>707.35</v>
      </c>
      <c r="T28">
        <f>ROUND(S28*I28, 2)</f>
        <v>-63.66</v>
      </c>
      <c r="U28">
        <v>2</v>
      </c>
      <c r="Z28">
        <f>Source!GF32</f>
        <v>626856282</v>
      </c>
      <c r="AA28">
        <v>-1281970117</v>
      </c>
      <c r="AB28">
        <v>888318738</v>
      </c>
    </row>
    <row r="29" spans="1:28">
      <c r="A29">
        <v>20</v>
      </c>
      <c r="B29">
        <v>44</v>
      </c>
      <c r="C29">
        <v>3</v>
      </c>
      <c r="D29">
        <v>0</v>
      </c>
      <c r="E29">
        <f>SmtRes!AV44</f>
        <v>0</v>
      </c>
      <c r="F29" t="str">
        <f>SmtRes!I44</f>
        <v>14.1.05.03-0011</v>
      </c>
      <c r="G29" t="str">
        <f>SmtRes!K44</f>
        <v>Клей фенолополивинилацетальный, марка БФ-2Н</v>
      </c>
      <c r="H29" t="str">
        <f>SmtRes!O44</f>
        <v>т</v>
      </c>
      <c r="I29">
        <f>SmtRes!Y44*Source!I33</f>
        <v>1.2500000000000001E-5</v>
      </c>
      <c r="J29">
        <f>SmtRes!AO44</f>
        <v>0</v>
      </c>
      <c r="K29">
        <f>SmtRes!AE44</f>
        <v>442593.68</v>
      </c>
      <c r="M29">
        <f t="shared" ref="M29:M36" si="2">ROUND(I29*K29, 2)</f>
        <v>5.53</v>
      </c>
      <c r="N29">
        <f>SmtRes!AA44</f>
        <v>686020.2</v>
      </c>
      <c r="O29">
        <f>SmtRes!DF44</f>
        <v>8.58</v>
      </c>
      <c r="P29">
        <f>SmtRes!AG44</f>
        <v>0</v>
      </c>
      <c r="R29">
        <f t="shared" ref="R29:R36" si="3">ROUND(I29*P29, 2)</f>
        <v>0</v>
      </c>
      <c r="S29">
        <f>SmtRes!AC44</f>
        <v>0</v>
      </c>
      <c r="T29">
        <f>SmtRes!DH44</f>
        <v>0</v>
      </c>
      <c r="U29">
        <v>3</v>
      </c>
      <c r="Z29">
        <f>SmtRes!X44</f>
        <v>1435964893</v>
      </c>
      <c r="AA29">
        <v>236554803</v>
      </c>
      <c r="AB29">
        <v>-910808008</v>
      </c>
    </row>
    <row r="30" spans="1:28">
      <c r="A30">
        <v>20</v>
      </c>
      <c r="B30">
        <v>42</v>
      </c>
      <c r="C30">
        <v>3</v>
      </c>
      <c r="D30">
        <v>0</v>
      </c>
      <c r="E30">
        <f>SmtRes!AV42</f>
        <v>0</v>
      </c>
      <c r="F30" t="str">
        <f>SmtRes!I42</f>
        <v>01.7.20.08-0162</v>
      </c>
      <c r="G30" t="str">
        <f>SmtRes!K42</f>
        <v>Ткань мешочная, ширина 950 мм, поверхностная плотность 190 г/м2</v>
      </c>
      <c r="H30" t="str">
        <f>SmtRes!O42</f>
        <v>10 м2</v>
      </c>
      <c r="I30">
        <f>SmtRes!Y42*Source!I33</f>
        <v>1E-4</v>
      </c>
      <c r="J30">
        <f>SmtRes!AO42</f>
        <v>0</v>
      </c>
      <c r="K30">
        <f>SmtRes!AE42</f>
        <v>592.04</v>
      </c>
      <c r="M30">
        <f t="shared" si="2"/>
        <v>0.06</v>
      </c>
      <c r="N30">
        <f>SmtRes!AA42</f>
        <v>953.18</v>
      </c>
      <c r="O30">
        <f>SmtRes!DF42</f>
        <v>0.1</v>
      </c>
      <c r="P30">
        <f>SmtRes!AG42</f>
        <v>0</v>
      </c>
      <c r="R30">
        <f t="shared" si="3"/>
        <v>0</v>
      </c>
      <c r="S30">
        <f>SmtRes!AC42</f>
        <v>0</v>
      </c>
      <c r="T30">
        <f>SmtRes!DH42</f>
        <v>0</v>
      </c>
      <c r="U30">
        <v>3</v>
      </c>
      <c r="Z30">
        <f>SmtRes!X42</f>
        <v>-1756344661</v>
      </c>
      <c r="AA30">
        <v>-1533044596</v>
      </c>
      <c r="AB30">
        <v>-1094930439</v>
      </c>
    </row>
    <row r="31" spans="1:28">
      <c r="A31">
        <v>20</v>
      </c>
      <c r="B31">
        <v>41</v>
      </c>
      <c r="C31">
        <v>3</v>
      </c>
      <c r="D31">
        <v>0</v>
      </c>
      <c r="E31">
        <f>SmtRes!AV41</f>
        <v>0</v>
      </c>
      <c r="F31" t="str">
        <f>SmtRes!I41</f>
        <v>01.7.20.08-0021</v>
      </c>
      <c r="G31" t="str">
        <f>SmtRes!K41</f>
        <v>Брезент с огнеупорной пропиткой</v>
      </c>
      <c r="H31" t="str">
        <f>SmtRes!O41</f>
        <v>м2</v>
      </c>
      <c r="I31">
        <f>SmtRes!Y41*Source!I33</f>
        <v>8.0000000000000004E-4</v>
      </c>
      <c r="J31">
        <f>SmtRes!AO41</f>
        <v>0</v>
      </c>
      <c r="K31">
        <f>SmtRes!AE41</f>
        <v>108.68</v>
      </c>
      <c r="M31">
        <f t="shared" si="2"/>
        <v>0.09</v>
      </c>
      <c r="N31">
        <f>SmtRes!AA41</f>
        <v>174.97</v>
      </c>
      <c r="O31">
        <f>SmtRes!DF41</f>
        <v>0.14000000000000001</v>
      </c>
      <c r="P31">
        <f>SmtRes!AG41</f>
        <v>0</v>
      </c>
      <c r="R31">
        <f t="shared" si="3"/>
        <v>0</v>
      </c>
      <c r="S31">
        <f>SmtRes!AC41</f>
        <v>0</v>
      </c>
      <c r="T31">
        <f>SmtRes!DH41</f>
        <v>0</v>
      </c>
      <c r="U31">
        <v>3</v>
      </c>
      <c r="Z31">
        <f>SmtRes!X41</f>
        <v>2050518453</v>
      </c>
      <c r="AA31">
        <v>-1943925511</v>
      </c>
      <c r="AB31">
        <v>1676897807</v>
      </c>
    </row>
    <row r="32" spans="1:28">
      <c r="A32">
        <v>20</v>
      </c>
      <c r="B32">
        <v>40</v>
      </c>
      <c r="C32">
        <v>3</v>
      </c>
      <c r="D32">
        <v>0</v>
      </c>
      <c r="E32">
        <f>SmtRes!AV40</f>
        <v>0</v>
      </c>
      <c r="F32" t="str">
        <f>SmtRes!I40</f>
        <v>01.7.06.03-0002</v>
      </c>
      <c r="G32" t="str">
        <f>SmtRes!K40</f>
        <v>Ленты антикоррозионные из ПВХ с липким слоем с одной стороны для изоляции трубопроводов, цвет черный, ширина 450 мм, толщина 0,4 мм</v>
      </c>
      <c r="H32" t="str">
        <f>SmtRes!O40</f>
        <v>м2</v>
      </c>
      <c r="I32">
        <f>SmtRes!Y40*Source!I33</f>
        <v>0.47800000000000004</v>
      </c>
      <c r="J32">
        <f>SmtRes!AO40</f>
        <v>0</v>
      </c>
      <c r="K32">
        <f>SmtRes!AE40</f>
        <v>62.74</v>
      </c>
      <c r="M32">
        <f t="shared" si="2"/>
        <v>29.99</v>
      </c>
      <c r="N32">
        <f>SmtRes!AA40</f>
        <v>123.6</v>
      </c>
      <c r="O32">
        <f>SmtRes!DF40</f>
        <v>59.08</v>
      </c>
      <c r="P32">
        <f>SmtRes!AG40</f>
        <v>0</v>
      </c>
      <c r="R32">
        <f t="shared" si="3"/>
        <v>0</v>
      </c>
      <c r="S32">
        <f>SmtRes!AC40</f>
        <v>0</v>
      </c>
      <c r="T32">
        <f>SmtRes!DH40</f>
        <v>0</v>
      </c>
      <c r="U32">
        <v>3</v>
      </c>
      <c r="Z32">
        <f>SmtRes!X40</f>
        <v>1711398520</v>
      </c>
      <c r="AA32">
        <v>1396930422</v>
      </c>
      <c r="AB32">
        <v>-1323178595</v>
      </c>
    </row>
    <row r="33" spans="1:28">
      <c r="A33">
        <v>20</v>
      </c>
      <c r="B33">
        <v>39</v>
      </c>
      <c r="C33">
        <v>2</v>
      </c>
      <c r="D33">
        <v>0</v>
      </c>
      <c r="E33">
        <f>SmtRes!AV39</f>
        <v>1</v>
      </c>
      <c r="F33" t="str">
        <f>SmtRes!I39</f>
        <v>91.16.01-002</v>
      </c>
      <c r="G33" t="str">
        <f>SmtRes!K39</f>
        <v>Электростанции передвижные, мощность 4 кВт</v>
      </c>
      <c r="H33" t="str">
        <f>SmtRes!O39</f>
        <v>маш.-ч</v>
      </c>
      <c r="I33">
        <f>SmtRes!Y39*Source!I33</f>
        <v>9.9299999999999996E-3</v>
      </c>
      <c r="J33">
        <f>SmtRes!AO39</f>
        <v>0</v>
      </c>
      <c r="K33">
        <f>SmtRes!AF39</f>
        <v>130.38999999999999</v>
      </c>
      <c r="M33">
        <f t="shared" si="2"/>
        <v>1.29</v>
      </c>
      <c r="N33">
        <f>SmtRes!AB39</f>
        <v>130.38999999999999</v>
      </c>
      <c r="O33">
        <f>SmtRes!DG39</f>
        <v>1.29</v>
      </c>
      <c r="P33">
        <f>SmtRes!AG39</f>
        <v>432.81</v>
      </c>
      <c r="R33">
        <f t="shared" si="3"/>
        <v>4.3</v>
      </c>
      <c r="S33">
        <f>SmtRes!AC39</f>
        <v>432.81</v>
      </c>
      <c r="T33">
        <f>SmtRes!DH39</f>
        <v>4.3</v>
      </c>
      <c r="U33">
        <v>2</v>
      </c>
      <c r="Z33">
        <f>SmtRes!X39</f>
        <v>-245244677</v>
      </c>
      <c r="AA33">
        <v>1669558037</v>
      </c>
      <c r="AB33">
        <v>1669558037</v>
      </c>
    </row>
    <row r="34" spans="1:28">
      <c r="A34">
        <v>20</v>
      </c>
      <c r="B34">
        <v>38</v>
      </c>
      <c r="C34">
        <v>2</v>
      </c>
      <c r="D34">
        <v>0</v>
      </c>
      <c r="E34">
        <f>SmtRes!AV38</f>
        <v>1</v>
      </c>
      <c r="F34" t="str">
        <f>SmtRes!I38</f>
        <v>91.14.02-001</v>
      </c>
      <c r="G34" t="str">
        <f>SmtRes!K38</f>
        <v>Автомобили бортовые, грузоподъемность до 5 т</v>
      </c>
      <c r="H34" t="str">
        <f>SmtRes!O38</f>
        <v>маш.-ч</v>
      </c>
      <c r="I34">
        <f>SmtRes!Y38*Source!I33</f>
        <v>1.0600000000000002E-3</v>
      </c>
      <c r="J34">
        <f>SmtRes!AO38</f>
        <v>0</v>
      </c>
      <c r="K34">
        <f>SmtRes!AF38</f>
        <v>652.84</v>
      </c>
      <c r="M34">
        <f t="shared" si="2"/>
        <v>0.69</v>
      </c>
      <c r="N34">
        <f>SmtRes!AB38</f>
        <v>652.84</v>
      </c>
      <c r="O34">
        <f>SmtRes!DG38</f>
        <v>0.69</v>
      </c>
      <c r="P34">
        <f>SmtRes!AG38</f>
        <v>432.81</v>
      </c>
      <c r="R34">
        <f t="shared" si="3"/>
        <v>0.46</v>
      </c>
      <c r="S34">
        <f>SmtRes!AC38</f>
        <v>432.81</v>
      </c>
      <c r="T34">
        <f>SmtRes!DH38</f>
        <v>0.46</v>
      </c>
      <c r="U34">
        <v>2</v>
      </c>
      <c r="Z34">
        <f>SmtRes!X38</f>
        <v>-849950259</v>
      </c>
      <c r="AA34">
        <v>106755230</v>
      </c>
      <c r="AB34">
        <v>106755230</v>
      </c>
    </row>
    <row r="35" spans="1:28">
      <c r="A35">
        <v>20</v>
      </c>
      <c r="B35">
        <v>37</v>
      </c>
      <c r="C35">
        <v>2</v>
      </c>
      <c r="D35">
        <v>0</v>
      </c>
      <c r="E35">
        <f>SmtRes!AV37</f>
        <v>1</v>
      </c>
      <c r="F35" t="str">
        <f>SmtRes!I37</f>
        <v>91.10.05-009</v>
      </c>
      <c r="G35" t="str">
        <f>SmtRes!K37</f>
        <v>Трубоукладчики, номинальная грузоподъемность 35 т</v>
      </c>
      <c r="H35" t="str">
        <f>SmtRes!O37</f>
        <v>маш.-ч</v>
      </c>
      <c r="I35">
        <f>SmtRes!Y37*Source!I33</f>
        <v>1.218E-2</v>
      </c>
      <c r="J35">
        <f>SmtRes!AO37</f>
        <v>0</v>
      </c>
      <c r="K35">
        <f>SmtRes!AF37</f>
        <v>4403.5600000000004</v>
      </c>
      <c r="M35">
        <f t="shared" si="2"/>
        <v>53.64</v>
      </c>
      <c r="N35">
        <f>SmtRes!AB37</f>
        <v>4931.99</v>
      </c>
      <c r="O35">
        <f>SmtRes!DG37</f>
        <v>60.07</v>
      </c>
      <c r="P35">
        <f>SmtRes!AG37</f>
        <v>707.35</v>
      </c>
      <c r="R35">
        <f t="shared" si="3"/>
        <v>8.6199999999999992</v>
      </c>
      <c r="S35">
        <f>SmtRes!AC37</f>
        <v>707.35</v>
      </c>
      <c r="T35">
        <f>SmtRes!DH37</f>
        <v>8.6199999999999992</v>
      </c>
      <c r="U35">
        <v>2</v>
      </c>
      <c r="Z35">
        <f>SmtRes!X37</f>
        <v>-1505731505</v>
      </c>
      <c r="AA35">
        <v>1516374314</v>
      </c>
      <c r="AB35">
        <v>929036850</v>
      </c>
    </row>
    <row r="36" spans="1:28">
      <c r="A36">
        <v>20</v>
      </c>
      <c r="B36">
        <v>35</v>
      </c>
      <c r="C36">
        <v>1</v>
      </c>
      <c r="D36">
        <v>0</v>
      </c>
      <c r="E36">
        <f>SmtRes!AV35</f>
        <v>1</v>
      </c>
      <c r="F36" t="str">
        <f>SmtRes!I35</f>
        <v>1-100-42</v>
      </c>
      <c r="G36" t="str">
        <f>SmtRes!K35</f>
        <v>Средний разряд работы 4,2</v>
      </c>
      <c r="H36" t="str">
        <f>SmtRes!O35</f>
        <v>чел.-ч.</v>
      </c>
      <c r="I36">
        <f>SmtRes!Y35*Source!I33</f>
        <v>0.14000000000000001</v>
      </c>
      <c r="J36">
        <f>SmtRes!AO35</f>
        <v>0</v>
      </c>
      <c r="K36">
        <f>SmtRes!AH35</f>
        <v>445.73</v>
      </c>
      <c r="M36">
        <f t="shared" si="2"/>
        <v>62.4</v>
      </c>
      <c r="N36">
        <f>SmtRes!AD35</f>
        <v>445.73</v>
      </c>
      <c r="O36">
        <f>SmtRes!DI35</f>
        <v>62.4</v>
      </c>
      <c r="P36">
        <f>SmtRes!AG35</f>
        <v>0</v>
      </c>
      <c r="R36">
        <f t="shared" si="3"/>
        <v>0</v>
      </c>
      <c r="S36">
        <f>SmtRes!AC35</f>
        <v>0</v>
      </c>
      <c r="T36">
        <f>SmtRes!DH35</f>
        <v>0</v>
      </c>
      <c r="U36">
        <v>1</v>
      </c>
      <c r="Z36">
        <f>SmtRes!X35</f>
        <v>1522950421</v>
      </c>
      <c r="AA36">
        <v>2015934539</v>
      </c>
      <c r="AB36">
        <v>2015934539</v>
      </c>
    </row>
    <row r="37" spans="1:28">
      <c r="A37">
        <f>Source!A34</f>
        <v>18</v>
      </c>
      <c r="B37">
        <v>34</v>
      </c>
      <c r="C37">
        <v>3</v>
      </c>
      <c r="D37">
        <f>Source!BI34</f>
        <v>1</v>
      </c>
      <c r="E37">
        <f>Source!FS34</f>
        <v>0</v>
      </c>
      <c r="F37" t="str">
        <f>Source!F34</f>
        <v>14.4.01.15-1002</v>
      </c>
      <c r="G37" t="str">
        <f>Source!G34</f>
        <v>Грунтовка полимерная для повышения адгезии битумно-полимерных мастик и герметиков при герметизации деформационных швов асфальтобетонных и цементобетонных покрытий</v>
      </c>
      <c r="H37" t="str">
        <f>Source!H34</f>
        <v>т</v>
      </c>
      <c r="I37">
        <f>Source!I34</f>
        <v>1E-3</v>
      </c>
      <c r="J37">
        <v>1</v>
      </c>
      <c r="K37">
        <f>Source!AC34</f>
        <v>411791.94</v>
      </c>
      <c r="M37">
        <f>ROUND(K37*I37, 2)</f>
        <v>411.79</v>
      </c>
      <c r="N37">
        <f>Source!CQ34</f>
        <v>522975.76</v>
      </c>
      <c r="O37">
        <f>ROUND(N37*I37, 2)</f>
        <v>522.98</v>
      </c>
      <c r="P37">
        <f>Source!AE34</f>
        <v>0</v>
      </c>
      <c r="R37">
        <f>ROUND(P37*I37, 2)</f>
        <v>0</v>
      </c>
      <c r="S37">
        <f>Source!AE34*IF(Source!BS34&lt;&gt; 0, Source!BS34, 1)</f>
        <v>0</v>
      </c>
      <c r="T37">
        <f>ROUND(S37*I37, 2)</f>
        <v>0</v>
      </c>
      <c r="U37">
        <v>3</v>
      </c>
      <c r="Z37">
        <f>Source!GF34</f>
        <v>7353553</v>
      </c>
      <c r="AA37">
        <v>-248603019</v>
      </c>
      <c r="AB37">
        <v>602379180</v>
      </c>
    </row>
    <row r="38" spans="1:28">
      <c r="A38">
        <f>Source!A35</f>
        <v>18</v>
      </c>
      <c r="B38">
        <v>35</v>
      </c>
      <c r="C38">
        <v>3</v>
      </c>
      <c r="D38">
        <f>Source!BI35</f>
        <v>1</v>
      </c>
      <c r="E38">
        <f>Source!FS35</f>
        <v>0</v>
      </c>
      <c r="F38" t="str">
        <f>Source!F35</f>
        <v>12.1.02.15-0041</v>
      </c>
      <c r="G38" t="str">
        <f>Source!G35</f>
        <v>Материал рулонный гидроизоляционный изол, резино-битумный, без полимерных добавок</v>
      </c>
      <c r="H38" t="str">
        <f>Source!H35</f>
        <v>м2</v>
      </c>
      <c r="I38">
        <f>Source!I35</f>
        <v>0.85</v>
      </c>
      <c r="J38">
        <v>1</v>
      </c>
      <c r="K38">
        <f>Source!AC35</f>
        <v>126.14</v>
      </c>
      <c r="M38">
        <f>ROUND(K38*I38, 2)</f>
        <v>107.22</v>
      </c>
      <c r="N38">
        <f>Source!CQ35</f>
        <v>172.81</v>
      </c>
      <c r="O38">
        <f>ROUND(N38*I38, 2)</f>
        <v>146.88999999999999</v>
      </c>
      <c r="P38">
        <f>Source!AE35</f>
        <v>0</v>
      </c>
      <c r="R38">
        <f>ROUND(P38*I38, 2)</f>
        <v>0</v>
      </c>
      <c r="S38">
        <f>Source!AE35*IF(Source!BS35&lt;&gt; 0, Source!BS35, 1)</f>
        <v>0</v>
      </c>
      <c r="T38">
        <f>ROUND(S38*I38, 2)</f>
        <v>0</v>
      </c>
      <c r="U38">
        <v>3</v>
      </c>
      <c r="Z38">
        <f>Source!GF35</f>
        <v>-848550540</v>
      </c>
      <c r="AA38">
        <v>2142095169</v>
      </c>
      <c r="AB38">
        <v>-1719168864</v>
      </c>
    </row>
    <row r="39" spans="1:28">
      <c r="A39">
        <v>20</v>
      </c>
      <c r="B39">
        <v>49</v>
      </c>
      <c r="C39">
        <v>2</v>
      </c>
      <c r="D39">
        <v>0</v>
      </c>
      <c r="E39">
        <f>SmtRes!AV49</f>
        <v>1</v>
      </c>
      <c r="F39" t="str">
        <f>SmtRes!I49</f>
        <v>91.18.01-007</v>
      </c>
      <c r="G39" t="str">
        <f>SmtRes!K49</f>
        <v>Компрессоры винтовые передвижные с двигателем внутреннего сгорания, давление до 0,7 МПа (7 атм), производительность до 5,4 м3/мин</v>
      </c>
      <c r="H39" t="str">
        <f>SmtRes!O49</f>
        <v>маш.-ч</v>
      </c>
      <c r="I39">
        <f>SmtRes!Y49*Source!I36</f>
        <v>1.179</v>
      </c>
      <c r="J39">
        <f>SmtRes!AO49</f>
        <v>0</v>
      </c>
      <c r="K39">
        <f>SmtRes!AF49</f>
        <v>411.37</v>
      </c>
      <c r="M39">
        <f t="shared" ref="M39:M45" si="4">ROUND(I39*K39, 2)</f>
        <v>485.01</v>
      </c>
      <c r="N39">
        <f>SmtRes!AB49</f>
        <v>411.37</v>
      </c>
      <c r="O39">
        <f>SmtRes!DG49</f>
        <v>485.01</v>
      </c>
      <c r="P39">
        <f>SmtRes!AG49</f>
        <v>432.81</v>
      </c>
      <c r="R39">
        <f t="shared" ref="R39:R45" si="5">ROUND(I39*P39, 2)</f>
        <v>510.28</v>
      </c>
      <c r="S39">
        <f>SmtRes!AC49</f>
        <v>432.81</v>
      </c>
      <c r="T39">
        <f>SmtRes!DH49</f>
        <v>510.28</v>
      </c>
      <c r="U39">
        <v>2</v>
      </c>
      <c r="Z39">
        <f>SmtRes!X49</f>
        <v>1282244495</v>
      </c>
      <c r="AA39">
        <v>-919029990</v>
      </c>
      <c r="AB39">
        <v>-919029990</v>
      </c>
    </row>
    <row r="40" spans="1:28">
      <c r="A40">
        <v>20</v>
      </c>
      <c r="B40">
        <v>48</v>
      </c>
      <c r="C40">
        <v>2</v>
      </c>
      <c r="D40">
        <v>0</v>
      </c>
      <c r="E40">
        <f>SmtRes!AV48</f>
        <v>1</v>
      </c>
      <c r="F40" t="str">
        <f>SmtRes!I48</f>
        <v>91.08.09-023</v>
      </c>
      <c r="G40" t="str">
        <f>SmtRes!K48</f>
        <v>Трамбовки пневматические при работе от передвижных компрессорных установок</v>
      </c>
      <c r="H40" t="str">
        <f>SmtRes!O48</f>
        <v>маш.-ч</v>
      </c>
      <c r="I40">
        <f>SmtRes!Y48*Source!I36</f>
        <v>4.7250000000000005</v>
      </c>
      <c r="J40">
        <f>SmtRes!AO48</f>
        <v>0</v>
      </c>
      <c r="K40">
        <f>SmtRes!AF48</f>
        <v>2.41</v>
      </c>
      <c r="M40">
        <f t="shared" si="4"/>
        <v>11.39</v>
      </c>
      <c r="N40">
        <f>SmtRes!AB48</f>
        <v>2.7</v>
      </c>
      <c r="O40">
        <f>SmtRes!DG48</f>
        <v>12.76</v>
      </c>
      <c r="P40">
        <f>SmtRes!AG48</f>
        <v>0</v>
      </c>
      <c r="R40">
        <f t="shared" si="5"/>
        <v>0</v>
      </c>
      <c r="S40">
        <f>SmtRes!AC48</f>
        <v>0</v>
      </c>
      <c r="T40">
        <f>SmtRes!DH48</f>
        <v>0</v>
      </c>
      <c r="U40">
        <v>2</v>
      </c>
      <c r="Z40">
        <f>SmtRes!X48</f>
        <v>4789874</v>
      </c>
      <c r="AA40">
        <v>201212123</v>
      </c>
      <c r="AB40">
        <v>-1275274398</v>
      </c>
    </row>
    <row r="41" spans="1:28">
      <c r="A41">
        <v>20</v>
      </c>
      <c r="B41">
        <v>46</v>
      </c>
      <c r="C41">
        <v>1</v>
      </c>
      <c r="D41">
        <v>0</v>
      </c>
      <c r="E41">
        <f>SmtRes!AV46</f>
        <v>1</v>
      </c>
      <c r="F41" t="str">
        <f>SmtRes!I46</f>
        <v>1-100-30</v>
      </c>
      <c r="G41" t="str">
        <f>SmtRes!K46</f>
        <v>Средний разряд работы 3,0</v>
      </c>
      <c r="H41" t="str">
        <f>SmtRes!O46</f>
        <v>чел.-ч.</v>
      </c>
      <c r="I41">
        <f>SmtRes!Y46*Source!I36</f>
        <v>5.6384999999999996</v>
      </c>
      <c r="J41">
        <f>SmtRes!AO46</f>
        <v>0</v>
      </c>
      <c r="K41">
        <f>SmtRes!AH46</f>
        <v>384.36</v>
      </c>
      <c r="M41">
        <f t="shared" si="4"/>
        <v>2167.21</v>
      </c>
      <c r="N41">
        <f>SmtRes!AD46</f>
        <v>384.36</v>
      </c>
      <c r="O41">
        <f>SmtRes!DI46</f>
        <v>2167.21</v>
      </c>
      <c r="P41">
        <f>SmtRes!AG46</f>
        <v>0</v>
      </c>
      <c r="R41">
        <f t="shared" si="5"/>
        <v>0</v>
      </c>
      <c r="S41">
        <f>SmtRes!AC46</f>
        <v>0</v>
      </c>
      <c r="T41">
        <f>SmtRes!DH46</f>
        <v>0</v>
      </c>
      <c r="U41">
        <v>1</v>
      </c>
      <c r="Z41">
        <f>SmtRes!X46</f>
        <v>-1833565283</v>
      </c>
      <c r="AA41">
        <v>-1658114278</v>
      </c>
      <c r="AB41">
        <v>-1658114278</v>
      </c>
    </row>
    <row r="42" spans="1:28">
      <c r="A42">
        <v>20</v>
      </c>
      <c r="B42">
        <v>55</v>
      </c>
      <c r="C42">
        <v>3</v>
      </c>
      <c r="D42">
        <v>0</v>
      </c>
      <c r="E42">
        <f>SmtRes!AV55</f>
        <v>0</v>
      </c>
      <c r="F42" t="str">
        <f>SmtRes!I55</f>
        <v>02.3.01.02-1104</v>
      </c>
      <c r="G42" t="str">
        <f>SmtRes!K55</f>
        <v>Песок природный для строительных работ I класс, средний</v>
      </c>
      <c r="H42" t="str">
        <f>SmtRes!O55</f>
        <v>м3</v>
      </c>
      <c r="I42">
        <f>SmtRes!Y55*Source!I37</f>
        <v>57.33</v>
      </c>
      <c r="J42">
        <f>SmtRes!AO55</f>
        <v>0</v>
      </c>
      <c r="K42">
        <f>SmtRes!AE55</f>
        <v>757.36</v>
      </c>
      <c r="M42">
        <f t="shared" si="4"/>
        <v>43419.45</v>
      </c>
      <c r="N42">
        <f>SmtRes!AA55</f>
        <v>757.36</v>
      </c>
      <c r="O42">
        <f>SmtRes!DF55</f>
        <v>43419.45</v>
      </c>
      <c r="P42">
        <f>SmtRes!AG55</f>
        <v>0</v>
      </c>
      <c r="R42">
        <f t="shared" si="5"/>
        <v>0</v>
      </c>
      <c r="S42">
        <f>SmtRes!AC55</f>
        <v>0</v>
      </c>
      <c r="T42">
        <f>SmtRes!DH55</f>
        <v>0</v>
      </c>
      <c r="U42">
        <v>3</v>
      </c>
      <c r="Z42">
        <f>SmtRes!X55</f>
        <v>318135557</v>
      </c>
      <c r="AA42">
        <v>-1879287007</v>
      </c>
      <c r="AB42">
        <v>-1879287007</v>
      </c>
    </row>
    <row r="43" spans="1:28">
      <c r="A43">
        <v>20</v>
      </c>
      <c r="B43">
        <v>54</v>
      </c>
      <c r="C43">
        <v>2</v>
      </c>
      <c r="D43">
        <v>0</v>
      </c>
      <c r="E43">
        <f>SmtRes!AV54</f>
        <v>1</v>
      </c>
      <c r="F43" t="str">
        <f>SmtRes!I54</f>
        <v>91.08.09-001</v>
      </c>
      <c r="G43" t="str">
        <f>SmtRes!K54</f>
        <v>Плиты вибрационные с двигателем внутреннего сгорания, мощность до 6 кВт (8 л.с.)</v>
      </c>
      <c r="H43" t="str">
        <f>SmtRes!O54</f>
        <v>маш.-ч</v>
      </c>
      <c r="I43">
        <f>SmtRes!Y54*Source!I37</f>
        <v>4.7250000000000005</v>
      </c>
      <c r="J43">
        <f>SmtRes!AO54</f>
        <v>0</v>
      </c>
      <c r="K43">
        <f>SmtRes!AF54</f>
        <v>53.19</v>
      </c>
      <c r="M43">
        <f t="shared" si="4"/>
        <v>251.32</v>
      </c>
      <c r="N43">
        <f>SmtRes!AB54</f>
        <v>53.19</v>
      </c>
      <c r="O43">
        <f>SmtRes!DG54</f>
        <v>251.32</v>
      </c>
      <c r="P43">
        <f>SmtRes!AG54</f>
        <v>0</v>
      </c>
      <c r="R43">
        <f t="shared" si="5"/>
        <v>0</v>
      </c>
      <c r="S43">
        <f>SmtRes!AC54</f>
        <v>0</v>
      </c>
      <c r="T43">
        <f>SmtRes!DH54</f>
        <v>0</v>
      </c>
      <c r="U43">
        <v>2</v>
      </c>
      <c r="Z43">
        <f>SmtRes!X54</f>
        <v>-1355227874</v>
      </c>
      <c r="AA43">
        <v>98175846</v>
      </c>
      <c r="AB43">
        <v>98175846</v>
      </c>
    </row>
    <row r="44" spans="1:28">
      <c r="A44">
        <v>20</v>
      </c>
      <c r="B44">
        <v>52</v>
      </c>
      <c r="C44">
        <v>2</v>
      </c>
      <c r="D44">
        <v>0</v>
      </c>
      <c r="E44">
        <f>SmtRes!AV52</f>
        <v>1</v>
      </c>
      <c r="F44" t="str">
        <f>SmtRes!I52</f>
        <v>91.01.05-089</v>
      </c>
      <c r="G44" t="str">
        <f>SmtRes!K52</f>
        <v>Экскаваторы одноковшовые дизельные на гусеничном ходу, объем ковша 1,25 м3</v>
      </c>
      <c r="H44" t="str">
        <f>SmtRes!O52</f>
        <v>маш.-ч</v>
      </c>
      <c r="I44">
        <f>SmtRes!Y52*Source!I37</f>
        <v>3.42</v>
      </c>
      <c r="J44">
        <f>SmtRes!AO52</f>
        <v>0</v>
      </c>
      <c r="K44">
        <f>SmtRes!AF52</f>
        <v>1524.72</v>
      </c>
      <c r="M44">
        <f t="shared" si="4"/>
        <v>5214.54</v>
      </c>
      <c r="N44">
        <f>SmtRes!AB52</f>
        <v>2012.63</v>
      </c>
      <c r="O44">
        <f>SmtRes!DG52</f>
        <v>6883.19</v>
      </c>
      <c r="P44">
        <f>SmtRes!AG52</f>
        <v>620.14</v>
      </c>
      <c r="R44">
        <f t="shared" si="5"/>
        <v>2120.88</v>
      </c>
      <c r="S44">
        <f>SmtRes!AC52</f>
        <v>620.14</v>
      </c>
      <c r="T44">
        <f>SmtRes!DH52</f>
        <v>2120.88</v>
      </c>
      <c r="U44">
        <v>2</v>
      </c>
      <c r="Z44">
        <f>SmtRes!X52</f>
        <v>-972071566</v>
      </c>
      <c r="AA44">
        <v>-1477793774</v>
      </c>
      <c r="AB44">
        <v>-904394777</v>
      </c>
    </row>
    <row r="45" spans="1:28">
      <c r="A45">
        <v>20</v>
      </c>
      <c r="B45">
        <v>50</v>
      </c>
      <c r="C45">
        <v>1</v>
      </c>
      <c r="D45">
        <v>0</v>
      </c>
      <c r="E45">
        <f>SmtRes!AV50</f>
        <v>1</v>
      </c>
      <c r="F45" t="str">
        <f>SmtRes!I50</f>
        <v>1-100-30</v>
      </c>
      <c r="G45" t="str">
        <f>SmtRes!K50</f>
        <v>Средний разряд работы 3,0</v>
      </c>
      <c r="H45" t="str">
        <f>SmtRes!O50</f>
        <v>чел.-ч.</v>
      </c>
      <c r="I45">
        <f>SmtRes!Y50*Source!I37</f>
        <v>8.370000000000001</v>
      </c>
      <c r="J45">
        <f>SmtRes!AO50</f>
        <v>0</v>
      </c>
      <c r="K45">
        <f>SmtRes!AH50</f>
        <v>384.36</v>
      </c>
      <c r="M45">
        <f t="shared" si="4"/>
        <v>3217.09</v>
      </c>
      <c r="N45">
        <f>SmtRes!AD50</f>
        <v>384.36</v>
      </c>
      <c r="O45">
        <f>SmtRes!DI50</f>
        <v>3217.09</v>
      </c>
      <c r="P45">
        <f>SmtRes!AG50</f>
        <v>0</v>
      </c>
      <c r="R45">
        <f t="shared" si="5"/>
        <v>0</v>
      </c>
      <c r="S45">
        <f>SmtRes!AC50</f>
        <v>0</v>
      </c>
      <c r="T45">
        <f>SmtRes!DH50</f>
        <v>0</v>
      </c>
      <c r="U45">
        <v>1</v>
      </c>
      <c r="Z45">
        <f>SmtRes!X50</f>
        <v>-1833565283</v>
      </c>
      <c r="AA45">
        <v>-1658114278</v>
      </c>
      <c r="AB45">
        <v>-1658114278</v>
      </c>
    </row>
    <row r="46" spans="1:28">
      <c r="A46">
        <f>Source!A38</f>
        <v>18</v>
      </c>
      <c r="B46">
        <v>38</v>
      </c>
      <c r="C46">
        <v>2</v>
      </c>
      <c r="D46">
        <f>Source!BI38</f>
        <v>1</v>
      </c>
      <c r="E46">
        <f>Source!FS38</f>
        <v>1</v>
      </c>
      <c r="F46" t="str">
        <f>Source!F38</f>
        <v>91.01.05-104</v>
      </c>
      <c r="G46" t="str">
        <f>Source!G38</f>
        <v>Экскаваторы одноковшовые дизельные на пневмоколесном ходу, объем ковша 0,4 м3</v>
      </c>
      <c r="H46" t="str">
        <f>Source!H38</f>
        <v>маш.-ч</v>
      </c>
      <c r="I46">
        <f>Source!I38</f>
        <v>3.42</v>
      </c>
      <c r="J46">
        <v>1</v>
      </c>
      <c r="K46">
        <f>Source!AD38</f>
        <v>1162.81</v>
      </c>
      <c r="M46">
        <f>ROUND(K46*I46, 2)</f>
        <v>3976.81</v>
      </c>
      <c r="N46">
        <f>Source!CQ38</f>
        <v>0</v>
      </c>
      <c r="O46">
        <f>ROUND(N46*I46, 2)</f>
        <v>0</v>
      </c>
      <c r="P46">
        <f>Source!AE38</f>
        <v>497.4</v>
      </c>
      <c r="R46">
        <f>ROUND(P46*I46, 2)</f>
        <v>1701.11</v>
      </c>
      <c r="S46">
        <f>Source!AE38*IF(Source!BS38&lt;&gt; 0, Source!BS38, 1)</f>
        <v>497.4</v>
      </c>
      <c r="T46">
        <f>ROUND(S46*I46, 2)</f>
        <v>1701.11</v>
      </c>
      <c r="U46">
        <v>2</v>
      </c>
      <c r="Z46">
        <f>Source!GF38</f>
        <v>-598721075</v>
      </c>
      <c r="AA46">
        <v>-1992513835</v>
      </c>
      <c r="AB46">
        <v>-1937554257</v>
      </c>
    </row>
    <row r="47" spans="1:28">
      <c r="A47">
        <f>Source!A39</f>
        <v>17</v>
      </c>
      <c r="B47">
        <v>39</v>
      </c>
      <c r="C47">
        <v>2</v>
      </c>
      <c r="D47">
        <f>Source!BI39</f>
        <v>1</v>
      </c>
      <c r="E47">
        <f>Source!FS39</f>
        <v>1</v>
      </c>
      <c r="F47" t="str">
        <f>Source!F39</f>
        <v>91.01.05-089</v>
      </c>
      <c r="G47" t="str">
        <f>Source!G39</f>
        <v>Экскаваторы одноковшовые дизельные на гусеничном ходу, объем ковша 1,25 м3</v>
      </c>
      <c r="H47" t="str">
        <f>Source!H39</f>
        <v>маш.-ч</v>
      </c>
      <c r="I47">
        <f>Source!I39</f>
        <v>-3.42</v>
      </c>
      <c r="J47">
        <v>1</v>
      </c>
      <c r="K47">
        <f>Source!AD39</f>
        <v>1524.72</v>
      </c>
      <c r="M47">
        <f>ROUND(K47*I47, 2)</f>
        <v>-5214.54</v>
      </c>
      <c r="N47">
        <f>Source!CQ39</f>
        <v>0</v>
      </c>
      <c r="O47">
        <f>ROUND(N47*I47, 2)</f>
        <v>0</v>
      </c>
      <c r="P47">
        <f>Source!AE39</f>
        <v>620.14</v>
      </c>
      <c r="R47">
        <f>ROUND(P47*I47, 2)</f>
        <v>-2120.88</v>
      </c>
      <c r="S47">
        <f>Source!AE39*IF(Source!BS39&lt;&gt; 0, Source!BS39, 1)</f>
        <v>620.14</v>
      </c>
      <c r="T47">
        <f>ROUND(S47*I47, 2)</f>
        <v>-2120.88</v>
      </c>
      <c r="U47">
        <v>2</v>
      </c>
      <c r="Z47">
        <f>Source!GF39</f>
        <v>-972071566</v>
      </c>
      <c r="AA47">
        <v>-1477793774</v>
      </c>
      <c r="AB47">
        <v>855284677</v>
      </c>
    </row>
    <row r="48" spans="1:28">
      <c r="A48">
        <f>Source!A40</f>
        <v>17</v>
      </c>
      <c r="B48">
        <v>40</v>
      </c>
      <c r="C48">
        <v>3</v>
      </c>
      <c r="D48">
        <f>Source!BI40</f>
        <v>1</v>
      </c>
      <c r="E48">
        <f>Source!FS40</f>
        <v>0</v>
      </c>
      <c r="F48" t="str">
        <f>Source!F40</f>
        <v>02.3.01.02-1104</v>
      </c>
      <c r="G48" t="str">
        <f>Source!G40</f>
        <v>Песок природный для строительных работ I класс, средний</v>
      </c>
      <c r="H48" t="str">
        <f>Source!H40</f>
        <v>м3</v>
      </c>
      <c r="I48">
        <f>Source!I40</f>
        <v>-57.33</v>
      </c>
      <c r="J48">
        <v>1</v>
      </c>
      <c r="K48">
        <f>ROUND((Source!GE40),6)</f>
        <v>573.70000000000005</v>
      </c>
      <c r="M48">
        <f>ROUND(K48*I48, 2)</f>
        <v>-32890.22</v>
      </c>
      <c r="N48">
        <f>Source!CQ40</f>
        <v>757.36</v>
      </c>
      <c r="O48">
        <f>ROUND(N48*I48, 2)</f>
        <v>-43419.45</v>
      </c>
      <c r="P48">
        <f>Source!AE40</f>
        <v>0</v>
      </c>
      <c r="R48">
        <f>ROUND(P48*I48, 2)</f>
        <v>0</v>
      </c>
      <c r="S48">
        <f>Source!AE40*IF(Source!BS40&lt;&gt; 0, Source!BS40, 1)</f>
        <v>0</v>
      </c>
      <c r="T48">
        <f>ROUND(S48*I48, 2)</f>
        <v>0</v>
      </c>
      <c r="U48">
        <v>3</v>
      </c>
      <c r="Z48">
        <f>Source!GF40</f>
        <v>318135557</v>
      </c>
      <c r="AA48">
        <v>1174559202</v>
      </c>
      <c r="AB48">
        <v>-1879287007</v>
      </c>
    </row>
    <row r="49" spans="1:1">
      <c r="A49">
        <v>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W403"/>
  <sheetViews>
    <sheetView tabSelected="1" topLeftCell="A13" zoomScaleNormal="100" workbookViewId="0">
      <selection activeCell="A183" sqref="A183:XFD207"/>
    </sheetView>
  </sheetViews>
  <sheetFormatPr defaultRowHeight="12.75"/>
  <cols>
    <col min="1" max="1" width="5.7109375" customWidth="1"/>
    <col min="2" max="2" width="20.7109375" customWidth="1"/>
    <col min="3" max="3" width="40.7109375" customWidth="1"/>
    <col min="4" max="4" width="10.7109375" customWidth="1"/>
    <col min="5" max="12" width="15.7109375" customWidth="1"/>
    <col min="15" max="92" width="0" hidden="1" customWidth="1"/>
    <col min="93" max="93" width="108.7109375" hidden="1" customWidth="1"/>
    <col min="94" max="100" width="0" hidden="1" customWidth="1"/>
    <col min="101" max="101" width="173.7109375" hidden="1" customWidth="1"/>
    <col min="102" max="102" width="0" hidden="1" customWidth="1"/>
  </cols>
  <sheetData>
    <row r="1" spans="1:93">
      <c r="A1" s="13" t="str">
        <f>Source!B1</f>
        <v>Smeta.RU  (495) 974-1589</v>
      </c>
    </row>
    <row r="2" spans="1:93" ht="12.75" customHeight="1">
      <c r="A2" s="140" t="s">
        <v>345</v>
      </c>
      <c r="B2" s="140"/>
      <c r="C2" s="140"/>
      <c r="D2" s="140"/>
      <c r="E2" s="140"/>
      <c r="F2" s="141" t="s">
        <v>384</v>
      </c>
      <c r="G2" s="141"/>
      <c r="H2" s="141"/>
      <c r="I2" s="141"/>
      <c r="J2" s="141"/>
      <c r="K2" s="141"/>
      <c r="L2" s="141"/>
    </row>
    <row r="3" spans="1:93" ht="12.75" customHeight="1">
      <c r="A3" s="15"/>
      <c r="B3" s="15"/>
      <c r="C3" s="15"/>
      <c r="D3" s="15"/>
      <c r="E3" s="15"/>
      <c r="F3" s="16"/>
      <c r="G3" s="16"/>
      <c r="H3" s="16"/>
      <c r="I3" s="16"/>
      <c r="J3" s="16"/>
      <c r="K3" s="16"/>
      <c r="L3" s="16"/>
    </row>
    <row r="4" spans="1:93" ht="25.5">
      <c r="A4" s="140" t="s">
        <v>346</v>
      </c>
      <c r="B4" s="140"/>
      <c r="C4" s="140"/>
      <c r="D4" s="140"/>
      <c r="E4" s="140"/>
      <c r="F4" s="141" t="str">
        <f>IF(Source!CQ12 &lt;&gt; "", Source!CQ12, "")</f>
        <v>Приказ Минстроя России от 30.12.2021 г. № 1046/пр;  Приказ Минстроя России от 04.08.2020 г. № 421/пр;  Приказ Минстроя России от 21.12.2020 г. № 812/пр;  Приказ Минстроя России от 11.12.2020 г. № 774/пр</v>
      </c>
      <c r="G4" s="141"/>
      <c r="H4" s="141"/>
      <c r="I4" s="141"/>
      <c r="J4" s="141"/>
      <c r="K4" s="141"/>
      <c r="L4" s="141"/>
      <c r="CO4" s="41" t="str">
        <f>IF(Source!CQ12 &lt;&gt; "", Source!CQ12, "")</f>
        <v>Приказ Минстроя России от 30.12.2021 г. № 1046/пр;  Приказ Минстроя России от 04.08.2020 г. № 421/пр;  Приказ Минстроя России от 21.12.2020 г. № 812/пр;  Приказ Минстроя России от 11.12.2020 г. № 774/пр</v>
      </c>
    </row>
    <row r="5" spans="1:93" ht="12.75" customHeight="1">
      <c r="A5" s="15"/>
      <c r="B5" s="15"/>
      <c r="C5" s="15"/>
      <c r="D5" s="15"/>
      <c r="E5" s="15"/>
      <c r="F5" s="16"/>
      <c r="G5" s="16"/>
      <c r="H5" s="16"/>
      <c r="I5" s="16"/>
      <c r="J5" s="16"/>
      <c r="K5" s="16"/>
      <c r="L5" s="16"/>
    </row>
    <row r="6" spans="1:93" ht="140.25">
      <c r="A6" s="140" t="s">
        <v>347</v>
      </c>
      <c r="B6" s="140"/>
      <c r="C6" s="140"/>
      <c r="D6" s="140"/>
      <c r="E6" s="140"/>
      <c r="F6" s="141" t="str">
        <f>IF(Source!CV12 &lt;&gt; "", Source!CV12, "")</f>
        <v>Приказ Минстроя России от 18.05.2022 г. № 378/пр; Приказ Минстроя России от 26.08.2022 г. № 703/пр; Приказ Минстроя России от 26.10.2022 г. № 905/пр;  Приказ Минстроя России от 27.12.2022 г. № 1133/пр; Приказ Минстроя России от 10.02.2023 г. № 84/пр; Приказ Минстроя России от 11.05.2023 г. № 335/пр;  Приказ Минстроя России от 02.08.2023 г. № 551/пр; Приказ Минстроя России от 14.11.2023 г. № 817/пр; Приказ Минстроя России от 16.02.2024 г. № 102/пр;  Приказ Минстроя России от 13.05.2024 г. № 323/пр; Приказ Минстроя России от 09.08.2024 г. № 524/пр; Приказ Минстроя России от 07.11.2024 г. № 747/пр;  Приказ Минстроя России от 07.02.2025 г. № 69/пр; Приказ Минстроя России от 19.05.2025 г. № 299/пр; Приказ Минстроя России от 14.08.2025 г. № 490/пр;  Приказ Минстроя России от 12.11.2025 г. № 696/пр; Приказ Минстроя России от 17.02.2026 г. № 91/пр;  Приказ Минстроя России от 07.07.2022 г. № 557/пр; Приказ Минстроя России от 30.01.2024 г. № 55/пр; Приказ Минстроя России от 23.01.2025 г. № 30/пр;  Приказ Минстроя России от 02.09.2021 г. № 636/пр; Приказ Минстроя России от 26.07.2022 г. № 611/пр; Приказ Минстроя России от 22.04.2022 г. № 317/пр</v>
      </c>
      <c r="G6" s="141"/>
      <c r="H6" s="141"/>
      <c r="I6" s="141"/>
      <c r="J6" s="141"/>
      <c r="K6" s="141"/>
      <c r="L6" s="141"/>
      <c r="CO6" s="41" t="str">
        <f>IF(Source!CV12 &lt;&gt; "", Source!CV12, "")</f>
        <v>Приказ Минстроя России от 18.05.2022 г. № 378/пр; Приказ Минстроя России от 26.08.2022 г. № 703/пр; Приказ Минстроя России от 26.10.2022 г. № 905/пр;  Приказ Минстроя России от 27.12.2022 г. № 1133/пр; Приказ Минстроя России от 10.02.2023 г. № 84/пр; Приказ Минстроя России от 11.05.2023 г. № 335/пр;  Приказ Минстроя России от 02.08.2023 г. № 551/пр; Приказ Минстроя России от 14.11.2023 г. № 817/пр; Приказ Минстроя России от 16.02.2024 г. № 102/пр;  Приказ Минстроя России от 13.05.2024 г. № 323/пр; Приказ Минстроя России от 09.08.2024 г. № 524/пр; Приказ Минстроя России от 07.11.2024 г. № 747/пр;  Приказ Минстроя России от 07.02.2025 г. № 69/пр; Приказ Минстроя России от 19.05.2025 г. № 299/пр; Приказ Минстроя России от 14.08.2025 г. № 490/пр;  Приказ Минстроя России от 12.11.2025 г. № 696/пр; Приказ Минстроя России от 17.02.2026 г. № 91/пр;  Приказ Минстроя России от 07.07.2022 г. № 557/пр; Приказ Минстроя России от 30.01.2024 г. № 55/пр; Приказ Минстроя России от 23.01.2025 г. № 30/пр;  Приказ Минстроя России от 02.09.2021 г. № 636/пр; Приказ Минстроя России от 26.07.2022 г. № 611/пр; Приказ Минстроя России от 22.04.2022 г. № 317/пр</v>
      </c>
    </row>
    <row r="7" spans="1:93" ht="12.75" customHeight="1">
      <c r="A7" s="15"/>
      <c r="B7" s="15"/>
      <c r="C7" s="15"/>
      <c r="D7" s="15"/>
      <c r="E7" s="15"/>
      <c r="F7" s="16"/>
      <c r="G7" s="16"/>
      <c r="H7" s="16"/>
      <c r="I7" s="16"/>
      <c r="J7" s="16"/>
      <c r="K7" s="16"/>
      <c r="L7" s="16"/>
    </row>
    <row r="8" spans="1:93" ht="76.5" customHeight="1">
      <c r="A8" s="140" t="s">
        <v>348</v>
      </c>
      <c r="B8" s="140"/>
      <c r="C8" s="140"/>
      <c r="D8" s="140"/>
      <c r="E8" s="140"/>
      <c r="F8" s="141" t="s">
        <v>252</v>
      </c>
      <c r="G8" s="141"/>
      <c r="H8" s="141"/>
      <c r="I8" s="141"/>
      <c r="J8" s="141"/>
      <c r="K8" s="141"/>
      <c r="L8" s="141"/>
    </row>
    <row r="9" spans="1:93" ht="12.75" customHeight="1">
      <c r="A9" s="15"/>
      <c r="B9" s="15"/>
      <c r="C9" s="15"/>
      <c r="D9" s="15"/>
      <c r="E9" s="15"/>
      <c r="F9" s="16"/>
      <c r="G9" s="16"/>
      <c r="H9" s="16"/>
      <c r="I9" s="16"/>
      <c r="J9" s="16"/>
      <c r="K9" s="16"/>
      <c r="L9" s="16"/>
    </row>
    <row r="10" spans="1:93" ht="38.25" customHeight="1">
      <c r="A10" s="140" t="s">
        <v>349</v>
      </c>
      <c r="B10" s="140"/>
      <c r="C10" s="140"/>
      <c r="D10" s="140"/>
      <c r="E10" s="140"/>
      <c r="F10" s="141" t="s">
        <v>254</v>
      </c>
      <c r="G10" s="141"/>
      <c r="H10" s="141"/>
      <c r="I10" s="141"/>
      <c r="J10" s="141"/>
      <c r="K10" s="141"/>
      <c r="L10" s="141"/>
    </row>
    <row r="11" spans="1:93" ht="12.75" customHeight="1">
      <c r="A11" s="17"/>
      <c r="B11" s="17"/>
      <c r="C11" s="17"/>
      <c r="D11" s="17"/>
      <c r="E11" s="17"/>
      <c r="F11" s="18"/>
      <c r="G11" s="18"/>
      <c r="H11" s="18"/>
      <c r="I11" s="18"/>
      <c r="J11" s="18"/>
      <c r="K11" s="18"/>
      <c r="L11" s="18"/>
    </row>
    <row r="12" spans="1:93" ht="12.75" customHeight="1">
      <c r="A12" s="140" t="s">
        <v>350</v>
      </c>
      <c r="B12" s="140"/>
      <c r="C12" s="140"/>
      <c r="D12" s="140"/>
      <c r="E12" s="140"/>
      <c r="F12" s="141" t="s">
        <v>385</v>
      </c>
      <c r="G12" s="141"/>
      <c r="H12" s="141"/>
      <c r="I12" s="141"/>
      <c r="J12" s="141"/>
      <c r="K12" s="141"/>
      <c r="L12" s="141"/>
    </row>
    <row r="13" spans="1:93" ht="12.75" customHeight="1">
      <c r="A13" s="17"/>
      <c r="B13" s="17"/>
      <c r="C13" s="17"/>
      <c r="D13" s="17"/>
      <c r="E13" s="17"/>
      <c r="F13" s="18"/>
      <c r="G13" s="18"/>
      <c r="H13" s="18"/>
      <c r="I13" s="18"/>
      <c r="J13" s="18"/>
      <c r="K13" s="18"/>
      <c r="L13" s="18"/>
    </row>
    <row r="14" spans="1:93" ht="12.75" customHeight="1">
      <c r="A14" s="140" t="s">
        <v>351</v>
      </c>
      <c r="B14" s="140"/>
      <c r="C14" s="140"/>
      <c r="D14" s="140"/>
      <c r="E14" s="140"/>
      <c r="F14" s="141" t="str">
        <f>IF(Source!CZ12 &lt;&gt; "", Source!CZ12, "")</f>
        <v/>
      </c>
      <c r="G14" s="141"/>
      <c r="H14" s="141"/>
      <c r="I14" s="141"/>
      <c r="J14" s="141"/>
      <c r="K14" s="141"/>
      <c r="L14" s="141"/>
    </row>
    <row r="15" spans="1:93" ht="12.75" customHeight="1">
      <c r="A15" s="17"/>
      <c r="B15" s="17"/>
      <c r="C15" s="17"/>
      <c r="D15" s="17"/>
      <c r="E15" s="17"/>
      <c r="F15" s="18"/>
      <c r="G15" s="18"/>
      <c r="H15" s="18"/>
      <c r="I15" s="18"/>
      <c r="J15" s="18"/>
      <c r="K15" s="18"/>
      <c r="L15" s="16"/>
    </row>
    <row r="16" spans="1:93" ht="12.75" customHeight="1">
      <c r="A16" s="140" t="s">
        <v>352</v>
      </c>
      <c r="B16" s="140"/>
      <c r="C16" s="140"/>
      <c r="D16" s="140"/>
      <c r="E16" s="140"/>
      <c r="F16" s="141" t="str">
        <f>IF(Source!DA12 &lt;&gt; "", Source!DA12, "")</f>
        <v/>
      </c>
      <c r="G16" s="141"/>
      <c r="H16" s="141"/>
      <c r="I16" s="141"/>
      <c r="J16" s="141"/>
      <c r="K16" s="141"/>
      <c r="L16" s="141"/>
    </row>
    <row r="17" spans="1:12" ht="12.75" customHeight="1">
      <c r="A17" s="19"/>
      <c r="B17" s="19"/>
      <c r="C17" s="19"/>
      <c r="D17" s="19"/>
      <c r="E17" s="19"/>
      <c r="F17" s="20"/>
      <c r="G17" s="20"/>
      <c r="H17" s="20"/>
      <c r="I17" s="20"/>
      <c r="J17" s="20"/>
      <c r="K17" s="20"/>
      <c r="L17" s="20"/>
    </row>
    <row r="18" spans="1:12" ht="12.75" customHeight="1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</row>
    <row r="19" spans="1:12" ht="15.75" customHeight="1">
      <c r="A19" s="136" t="s">
        <v>5</v>
      </c>
      <c r="B19" s="136"/>
      <c r="C19" s="136"/>
      <c r="D19" s="136"/>
      <c r="E19" s="136"/>
      <c r="F19" s="136"/>
      <c r="G19" s="136"/>
      <c r="H19" s="136"/>
      <c r="I19" s="136"/>
      <c r="J19" s="136"/>
      <c r="K19" s="136"/>
      <c r="L19" s="136"/>
    </row>
    <row r="20" spans="1:12" ht="14.25" customHeight="1">
      <c r="A20" s="133" t="s">
        <v>353</v>
      </c>
      <c r="B20" s="133"/>
      <c r="C20" s="133"/>
      <c r="D20" s="133"/>
      <c r="E20" s="133"/>
      <c r="F20" s="133"/>
      <c r="G20" s="133"/>
      <c r="H20" s="133"/>
      <c r="I20" s="133"/>
      <c r="J20" s="133"/>
      <c r="K20" s="133"/>
      <c r="L20" s="133"/>
    </row>
    <row r="21" spans="1:12" ht="14.2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spans="1:12" ht="15.75" customHeight="1">
      <c r="A22" s="136" t="str">
        <f>IF(Source!G12&lt;&gt;"Новый объект", Source!G12, "")</f>
        <v>ремонт трубы</v>
      </c>
      <c r="B22" s="136"/>
      <c r="C22" s="136"/>
      <c r="D22" s="136"/>
      <c r="E22" s="136"/>
      <c r="F22" s="136"/>
      <c r="G22" s="136"/>
      <c r="H22" s="136"/>
      <c r="I22" s="136"/>
      <c r="J22" s="136"/>
      <c r="K22" s="136"/>
      <c r="L22" s="136"/>
    </row>
    <row r="23" spans="1:12" ht="14.25" customHeight="1">
      <c r="A23" s="133" t="s">
        <v>354</v>
      </c>
      <c r="B23" s="133"/>
      <c r="C23" s="133"/>
      <c r="D23" s="133"/>
      <c r="E23" s="133"/>
      <c r="F23" s="133"/>
      <c r="G23" s="133"/>
      <c r="H23" s="133"/>
      <c r="I23" s="133"/>
      <c r="J23" s="133"/>
      <c r="K23" s="133"/>
      <c r="L23" s="133"/>
    </row>
    <row r="24" spans="1:12" ht="14.25" customHeight="1">
      <c r="A24" s="21"/>
      <c r="B24" s="21"/>
      <c r="C24" s="21"/>
      <c r="D24" s="21"/>
      <c r="E24" s="21"/>
      <c r="F24" s="22"/>
      <c r="G24" s="22"/>
      <c r="H24" s="22"/>
      <c r="I24" s="22"/>
      <c r="J24" s="22"/>
      <c r="K24" s="22"/>
      <c r="L24" s="22"/>
    </row>
    <row r="25" spans="1:12" ht="15.75" customHeight="1">
      <c r="A25" s="137" t="str">
        <f>CONCATENATE( "ЛОКАЛЬНАЯ СМЕТА № ", Source!L20, " ",Source!CM20)</f>
        <v xml:space="preserve">ЛОКАЛЬНАЯ СМЕТА № Новая локальная смета </v>
      </c>
      <c r="B25" s="137"/>
      <c r="C25" s="137"/>
      <c r="D25" s="137"/>
      <c r="E25" s="137"/>
      <c r="F25" s="137"/>
      <c r="G25" s="137"/>
      <c r="H25" s="137"/>
      <c r="I25" s="137"/>
      <c r="J25" s="137"/>
      <c r="K25" s="137"/>
      <c r="L25" s="137"/>
    </row>
    <row r="26" spans="1:12" ht="15" customHeight="1">
      <c r="A26" s="23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3"/>
    </row>
    <row r="27" spans="1:12" ht="18" customHeight="1">
      <c r="A27" s="138" t="str">
        <f>IF(Source!G20&lt;&gt;"Новая локальная смета", Source!G20, "")</f>
        <v>ремонт трубы</v>
      </c>
      <c r="B27" s="138"/>
      <c r="C27" s="138"/>
      <c r="D27" s="138"/>
      <c r="E27" s="138"/>
      <c r="F27" s="138"/>
      <c r="G27" s="138"/>
      <c r="H27" s="138"/>
      <c r="I27" s="138"/>
      <c r="J27" s="138"/>
      <c r="K27" s="138"/>
      <c r="L27" s="138"/>
    </row>
    <row r="28" spans="1:12" ht="14.25" customHeight="1">
      <c r="A28" s="133" t="s">
        <v>355</v>
      </c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</row>
    <row r="29" spans="1:12" ht="14.2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</row>
    <row r="30" spans="1:12" ht="14.2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</row>
    <row r="31" spans="1:12" ht="12.75" customHeight="1">
      <c r="A31" s="14" t="s">
        <v>356</v>
      </c>
      <c r="B31" s="14"/>
      <c r="C31" s="26" t="s">
        <v>386</v>
      </c>
      <c r="D31" s="14" t="s">
        <v>357</v>
      </c>
      <c r="E31" s="14"/>
      <c r="F31" s="14"/>
      <c r="G31" s="14"/>
      <c r="H31" s="14"/>
      <c r="I31" s="14"/>
      <c r="J31" s="14"/>
      <c r="K31" s="14"/>
      <c r="L31" s="14"/>
    </row>
    <row r="32" spans="1:12" ht="12.75" customHeight="1">
      <c r="A32" s="14"/>
      <c r="B32" s="14"/>
      <c r="C32" s="27"/>
      <c r="D32" s="14"/>
      <c r="E32" s="14"/>
      <c r="F32" s="14"/>
      <c r="G32" s="14"/>
      <c r="H32" s="14"/>
      <c r="I32" s="14"/>
      <c r="J32" s="14"/>
      <c r="K32" s="14"/>
      <c r="L32" s="14"/>
    </row>
    <row r="33" spans="1:12" ht="12.75" customHeight="1">
      <c r="A33" s="14" t="s">
        <v>358</v>
      </c>
      <c r="B33" s="14"/>
      <c r="C33" s="139"/>
      <c r="D33" s="139"/>
      <c r="E33" s="139"/>
      <c r="F33" s="139"/>
      <c r="G33" s="139"/>
      <c r="H33" s="139"/>
      <c r="I33" s="139"/>
      <c r="J33" s="139"/>
      <c r="K33" s="139"/>
      <c r="L33" s="139"/>
    </row>
    <row r="34" spans="1:12" ht="12.75" customHeight="1">
      <c r="A34" s="28"/>
      <c r="B34" s="29"/>
      <c r="C34" s="133" t="s">
        <v>359</v>
      </c>
      <c r="D34" s="133"/>
      <c r="E34" s="133"/>
      <c r="F34" s="133"/>
      <c r="G34" s="133"/>
      <c r="H34" s="133"/>
      <c r="I34" s="133"/>
      <c r="J34" s="133"/>
      <c r="K34" s="133"/>
      <c r="L34" s="133"/>
    </row>
    <row r="35" spans="1:12" ht="14.2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</row>
    <row r="36" spans="1:12" ht="14.25" customHeight="1">
      <c r="A36" s="30" t="s">
        <v>387</v>
      </c>
      <c r="B36" s="21"/>
      <c r="C36" s="21"/>
      <c r="D36" s="31"/>
      <c r="E36" s="21"/>
      <c r="F36" s="21"/>
      <c r="G36" s="21"/>
      <c r="H36" s="21"/>
      <c r="I36" s="21"/>
      <c r="J36" s="21"/>
      <c r="K36" s="21"/>
      <c r="L36" s="21"/>
    </row>
    <row r="37" spans="1:12" ht="14.2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</row>
    <row r="38" spans="1:12" ht="14.25" customHeight="1">
      <c r="A38" s="30" t="s">
        <v>360</v>
      </c>
      <c r="B38" s="21"/>
      <c r="C38" s="134">
        <f>C41+C42+C43+C44</f>
        <v>110.67</v>
      </c>
      <c r="D38" s="135"/>
      <c r="E38" s="14" t="s">
        <v>361</v>
      </c>
      <c r="F38" s="19"/>
      <c r="G38" s="19"/>
      <c r="H38" s="19"/>
      <c r="I38" s="19"/>
      <c r="J38" s="19"/>
      <c r="K38" s="19"/>
      <c r="L38" s="21"/>
    </row>
    <row r="39" spans="1:12" ht="14.25" customHeight="1">
      <c r="A39" s="30"/>
      <c r="B39" s="21"/>
      <c r="C39" s="71"/>
      <c r="D39" s="32"/>
      <c r="E39" s="14"/>
      <c r="F39" s="19"/>
      <c r="G39" s="14" t="s">
        <v>362</v>
      </c>
      <c r="H39" s="21"/>
      <c r="I39" s="14"/>
      <c r="J39" s="14"/>
      <c r="K39" s="73">
        <f>ROUND(SUM(AR52:AR316)/1000, 2)</f>
        <v>20.92</v>
      </c>
      <c r="L39" s="14" t="s">
        <v>361</v>
      </c>
    </row>
    <row r="40" spans="1:12" ht="14.25" customHeight="1">
      <c r="A40" s="21"/>
      <c r="B40" s="33" t="s">
        <v>363</v>
      </c>
      <c r="C40" s="72"/>
      <c r="D40" s="21"/>
      <c r="E40" s="14"/>
      <c r="F40" s="19"/>
      <c r="G40" s="14" t="s">
        <v>364</v>
      </c>
      <c r="H40" s="21"/>
      <c r="I40" s="14"/>
      <c r="J40" s="14"/>
      <c r="K40" s="73">
        <f>ROUND(SUM(AT52:AT316)/1000, 2)</f>
        <v>7.26</v>
      </c>
      <c r="L40" s="14" t="s">
        <v>361</v>
      </c>
    </row>
    <row r="41" spans="1:12" ht="14.25" customHeight="1">
      <c r="A41" s="21"/>
      <c r="B41" s="30" t="s">
        <v>365</v>
      </c>
      <c r="C41" s="134">
        <f>ROUND((Source!F59)/1000, 2)</f>
        <v>110.67</v>
      </c>
      <c r="D41" s="135"/>
      <c r="E41" s="14" t="s">
        <v>361</v>
      </c>
      <c r="F41" s="19"/>
      <c r="G41" s="14" t="s">
        <v>366</v>
      </c>
      <c r="H41" s="21"/>
      <c r="I41" s="14"/>
      <c r="J41" s="32"/>
      <c r="K41" s="74">
        <f>Source!F64</f>
        <v>49.771999999999998</v>
      </c>
      <c r="L41" s="14" t="s">
        <v>258</v>
      </c>
    </row>
    <row r="42" spans="1:12" ht="14.25" customHeight="1">
      <c r="A42" s="21"/>
      <c r="B42" s="30" t="s">
        <v>367</v>
      </c>
      <c r="C42" s="134">
        <f>ROUND((Source!F60)/1000, 2)</f>
        <v>0</v>
      </c>
      <c r="D42" s="135"/>
      <c r="E42" s="14" t="s">
        <v>361</v>
      </c>
      <c r="F42" s="19"/>
      <c r="G42" s="14" t="s">
        <v>368</v>
      </c>
      <c r="H42" s="21"/>
      <c r="I42" s="14"/>
      <c r="J42" s="34"/>
      <c r="K42" s="74">
        <f>Source!F65</f>
        <v>12.61312</v>
      </c>
      <c r="L42" s="14" t="s">
        <v>258</v>
      </c>
    </row>
    <row r="43" spans="1:12" ht="14.25" customHeight="1">
      <c r="A43" s="21"/>
      <c r="B43" s="30" t="s">
        <v>369</v>
      </c>
      <c r="C43" s="134">
        <f>ROUND((Source!F51)/1000, 2)</f>
        <v>0</v>
      </c>
      <c r="D43" s="135"/>
      <c r="E43" s="14" t="s">
        <v>361</v>
      </c>
      <c r="F43" s="19"/>
      <c r="G43" s="14"/>
      <c r="H43" s="14"/>
      <c r="I43" s="14"/>
      <c r="J43" s="14"/>
      <c r="K43" s="19"/>
      <c r="L43" s="14"/>
    </row>
    <row r="44" spans="1:12" ht="14.25" customHeight="1">
      <c r="A44" s="21"/>
      <c r="B44" s="30" t="s">
        <v>370</v>
      </c>
      <c r="C44" s="134">
        <f>ROUND((Source!F61)/1000, 2)</f>
        <v>0</v>
      </c>
      <c r="D44" s="135"/>
      <c r="E44" s="14" t="s">
        <v>361</v>
      </c>
      <c r="F44" s="19"/>
      <c r="G44" s="14"/>
      <c r="H44" s="14"/>
      <c r="I44" s="14"/>
      <c r="J44" s="14"/>
      <c r="K44" s="19"/>
      <c r="L44" s="14"/>
    </row>
    <row r="45" spans="1:12" ht="14.2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</row>
    <row r="46" spans="1:12" ht="12.75" customHeight="1">
      <c r="A46" s="121" t="s">
        <v>371</v>
      </c>
      <c r="B46" s="121" t="s">
        <v>372</v>
      </c>
      <c r="C46" s="121" t="s">
        <v>373</v>
      </c>
      <c r="D46" s="121" t="s">
        <v>374</v>
      </c>
      <c r="E46" s="124" t="s">
        <v>375</v>
      </c>
      <c r="F46" s="125"/>
      <c r="G46" s="126"/>
      <c r="H46" s="124" t="s">
        <v>376</v>
      </c>
      <c r="I46" s="125"/>
      <c r="J46" s="125"/>
      <c r="K46" s="125"/>
      <c r="L46" s="126"/>
    </row>
    <row r="47" spans="1:12" ht="12.75" customHeight="1">
      <c r="A47" s="122"/>
      <c r="B47" s="122"/>
      <c r="C47" s="122"/>
      <c r="D47" s="122"/>
      <c r="E47" s="127"/>
      <c r="F47" s="128"/>
      <c r="G47" s="129"/>
      <c r="H47" s="127"/>
      <c r="I47" s="128"/>
      <c r="J47" s="128"/>
      <c r="K47" s="128"/>
      <c r="L47" s="129"/>
    </row>
    <row r="48" spans="1:12" ht="12.75" customHeight="1">
      <c r="A48" s="122"/>
      <c r="B48" s="122"/>
      <c r="C48" s="122"/>
      <c r="D48" s="122"/>
      <c r="E48" s="127"/>
      <c r="F48" s="128"/>
      <c r="G48" s="129"/>
      <c r="H48" s="127"/>
      <c r="I48" s="128"/>
      <c r="J48" s="128"/>
      <c r="K48" s="128"/>
      <c r="L48" s="129"/>
    </row>
    <row r="49" spans="1:83" ht="12.75" customHeight="1">
      <c r="A49" s="122"/>
      <c r="B49" s="122"/>
      <c r="C49" s="122"/>
      <c r="D49" s="122"/>
      <c r="E49" s="130"/>
      <c r="F49" s="131"/>
      <c r="G49" s="132"/>
      <c r="H49" s="130"/>
      <c r="I49" s="131"/>
      <c r="J49" s="131"/>
      <c r="K49" s="131"/>
      <c r="L49" s="132"/>
    </row>
    <row r="50" spans="1:83" ht="51" customHeight="1">
      <c r="A50" s="123"/>
      <c r="B50" s="123"/>
      <c r="C50" s="123"/>
      <c r="D50" s="123"/>
      <c r="E50" s="36" t="s">
        <v>377</v>
      </c>
      <c r="F50" s="36" t="s">
        <v>378</v>
      </c>
      <c r="G50" s="37" t="s">
        <v>379</v>
      </c>
      <c r="H50" s="36" t="s">
        <v>380</v>
      </c>
      <c r="I50" s="36" t="s">
        <v>381</v>
      </c>
      <c r="J50" s="36" t="s">
        <v>382</v>
      </c>
      <c r="K50" s="36" t="s">
        <v>378</v>
      </c>
      <c r="L50" s="36" t="s">
        <v>383</v>
      </c>
    </row>
    <row r="51" spans="1:83" ht="14.25" customHeight="1">
      <c r="A51" s="38">
        <v>1</v>
      </c>
      <c r="B51" s="38">
        <v>2</v>
      </c>
      <c r="C51" s="38">
        <v>3</v>
      </c>
      <c r="D51" s="38">
        <v>4</v>
      </c>
      <c r="E51" s="38">
        <v>5</v>
      </c>
      <c r="F51" s="38">
        <v>6</v>
      </c>
      <c r="G51" s="38">
        <v>7</v>
      </c>
      <c r="H51" s="38">
        <v>8</v>
      </c>
      <c r="I51" s="38">
        <v>9</v>
      </c>
      <c r="J51" s="38">
        <v>10</v>
      </c>
      <c r="K51" s="40">
        <v>11</v>
      </c>
      <c r="L51" s="40">
        <v>12</v>
      </c>
    </row>
    <row r="52" spans="1:83" ht="42.75">
      <c r="A52" s="42" t="s">
        <v>16</v>
      </c>
      <c r="B52" s="44" t="s">
        <v>388</v>
      </c>
      <c r="C52" s="44" t="str">
        <f>Source!G24</f>
        <v>Разработка грунта в отвал экскаваторами, вместимость ковша 0,4 (0,3-0,45) м3, группа грунтов: 2</v>
      </c>
      <c r="D52" s="45" t="str">
        <f>Source!H24</f>
        <v>1000 м3</v>
      </c>
      <c r="E52" s="46">
        <f>Source!K24</f>
        <v>4.4999999999999998E-2</v>
      </c>
      <c r="F52" s="46"/>
      <c r="G52" s="46">
        <f>Source!I24</f>
        <v>4.4999999999999998E-2</v>
      </c>
      <c r="H52" s="48"/>
      <c r="I52" s="47"/>
      <c r="J52" s="48"/>
      <c r="K52" s="47"/>
      <c r="L52" s="48"/>
    </row>
    <row r="53" spans="1:83">
      <c r="C53" s="49" t="str">
        <f>"Объем: "&amp;Source!I24&amp;"=45/"&amp;"1000"</f>
        <v>Объем: 0,045=45/1000</v>
      </c>
    </row>
    <row r="54" spans="1:83" ht="15">
      <c r="A54" s="43"/>
      <c r="B54" s="46">
        <v>1</v>
      </c>
      <c r="C54" s="43" t="s">
        <v>389</v>
      </c>
      <c r="D54" s="45" t="s">
        <v>258</v>
      </c>
      <c r="E54" s="50"/>
      <c r="F54" s="46"/>
      <c r="G54" s="46">
        <f>Source!U24</f>
        <v>0.26550000000000001</v>
      </c>
      <c r="H54" s="46"/>
      <c r="I54" s="46"/>
      <c r="J54" s="46"/>
      <c r="K54" s="46"/>
      <c r="L54" s="51">
        <f>SUM(L55:L55)-SUMIF(CE55:CE55, 1, L55:L55)</f>
        <v>93.47</v>
      </c>
    </row>
    <row r="55" spans="1:83" ht="14.25">
      <c r="A55" s="44"/>
      <c r="B55" s="44" t="s">
        <v>256</v>
      </c>
      <c r="C55" s="44" t="s">
        <v>257</v>
      </c>
      <c r="D55" s="45" t="s">
        <v>258</v>
      </c>
      <c r="E55" s="46">
        <v>5.9</v>
      </c>
      <c r="F55" s="46"/>
      <c r="G55" s="46">
        <f>SmtRes!CX1</f>
        <v>0.26550000000000001</v>
      </c>
      <c r="H55" s="48"/>
      <c r="I55" s="47"/>
      <c r="J55" s="48">
        <f>SmtRes!CZ1</f>
        <v>352.06</v>
      </c>
      <c r="K55" s="47"/>
      <c r="L55" s="48">
        <f>SmtRes!DI1</f>
        <v>93.47</v>
      </c>
    </row>
    <row r="56" spans="1:83" ht="15">
      <c r="A56" s="43"/>
      <c r="B56" s="46">
        <v>2</v>
      </c>
      <c r="C56" s="43" t="s">
        <v>390</v>
      </c>
      <c r="D56" s="45"/>
      <c r="E56" s="50"/>
      <c r="F56" s="46"/>
      <c r="G56" s="46"/>
      <c r="H56" s="46"/>
      <c r="I56" s="46"/>
      <c r="J56" s="46"/>
      <c r="K56" s="46"/>
      <c r="L56" s="51">
        <f>SUM(L57:L59)-SUMIF(CE57:CE59, 1, L57:L59)</f>
        <v>1654.3500000000001</v>
      </c>
    </row>
    <row r="57" spans="1:83" ht="15">
      <c r="A57" s="43"/>
      <c r="B57" s="46"/>
      <c r="C57" s="43" t="s">
        <v>392</v>
      </c>
      <c r="D57" s="45" t="s">
        <v>258</v>
      </c>
      <c r="E57" s="50"/>
      <c r="F57" s="46"/>
      <c r="G57" s="46">
        <f>Source!V24</f>
        <v>1.3225499999999999</v>
      </c>
      <c r="H57" s="46"/>
      <c r="I57" s="46"/>
      <c r="J57" s="46"/>
      <c r="K57" s="46"/>
      <c r="L57" s="51">
        <f>SUMIF(CE58:CE59, 1, L58:L59)</f>
        <v>657.84</v>
      </c>
      <c r="CE57">
        <v>1</v>
      </c>
    </row>
    <row r="58" spans="1:83" ht="42.75">
      <c r="A58" s="44"/>
      <c r="B58" s="44" t="s">
        <v>261</v>
      </c>
      <c r="C58" s="44" t="s">
        <v>263</v>
      </c>
      <c r="D58" s="45" t="s">
        <v>66</v>
      </c>
      <c r="E58" s="46">
        <v>29.39</v>
      </c>
      <c r="F58" s="46"/>
      <c r="G58" s="46">
        <f>SmtRes!CX3</f>
        <v>1.3225499999999999</v>
      </c>
      <c r="H58" s="48">
        <f>SmtRes!CZ3</f>
        <v>947.64</v>
      </c>
      <c r="I58" s="47">
        <f>SmtRes!AJ3</f>
        <v>1.32</v>
      </c>
      <c r="J58" s="48">
        <f>ROUND(H58*I58, 2)</f>
        <v>1250.8800000000001</v>
      </c>
      <c r="K58" s="47"/>
      <c r="L58" s="48">
        <f>SmtRes!DG3</f>
        <v>1654.35</v>
      </c>
    </row>
    <row r="59" spans="1:83" ht="28.5">
      <c r="A59" s="44"/>
      <c r="B59" s="44" t="s">
        <v>264</v>
      </c>
      <c r="C59" s="52" t="s">
        <v>391</v>
      </c>
      <c r="D59" s="53" t="s">
        <v>258</v>
      </c>
      <c r="E59" s="54">
        <f>SmtRes!DO3*SmtRes!AT3</f>
        <v>29.39</v>
      </c>
      <c r="F59" s="54"/>
      <c r="G59" s="54">
        <f>ROUND(E59*G52, 7)</f>
        <v>1.3225499999999999</v>
      </c>
      <c r="H59" s="55"/>
      <c r="I59" s="56"/>
      <c r="J59" s="55">
        <f>ROUND(SmtRes!AG3/SmtRes!DO3, 2)</f>
        <v>497.4</v>
      </c>
      <c r="K59" s="56"/>
      <c r="L59" s="55">
        <f>SmtRes!DH3</f>
        <v>657.84</v>
      </c>
      <c r="CE59">
        <v>1</v>
      </c>
    </row>
    <row r="60" spans="1:83" ht="15">
      <c r="A60" s="44"/>
      <c r="B60" s="44"/>
      <c r="C60" s="59" t="s">
        <v>393</v>
      </c>
      <c r="D60" s="45"/>
      <c r="E60" s="46"/>
      <c r="F60" s="46"/>
      <c r="G60" s="46"/>
      <c r="H60" s="48"/>
      <c r="I60" s="47"/>
      <c r="J60" s="48"/>
      <c r="K60" s="47"/>
      <c r="L60" s="48">
        <f>L54+L56+L57</f>
        <v>2405.6600000000003</v>
      </c>
    </row>
    <row r="61" spans="1:83" ht="14.25">
      <c r="A61" s="44"/>
      <c r="B61" s="44"/>
      <c r="C61" s="44" t="s">
        <v>394</v>
      </c>
      <c r="D61" s="45"/>
      <c r="E61" s="46"/>
      <c r="F61" s="46"/>
      <c r="G61" s="46"/>
      <c r="H61" s="48"/>
      <c r="I61" s="47"/>
      <c r="J61" s="48"/>
      <c r="K61" s="47"/>
      <c r="L61" s="48">
        <f>SUM(AR52:AR64)+SUM(AS52:AS64)+SUM(AT52:AT64)+SUM(AU52:AU64)+SUM(AV52:AV64)</f>
        <v>751.31000000000006</v>
      </c>
    </row>
    <row r="62" spans="1:83" ht="28.5">
      <c r="A62" s="44"/>
      <c r="B62" s="44" t="s">
        <v>25</v>
      </c>
      <c r="C62" s="44" t="s">
        <v>395</v>
      </c>
      <c r="D62" s="45" t="s">
        <v>396</v>
      </c>
      <c r="E62" s="46">
        <f>Source!BZ24</f>
        <v>92</v>
      </c>
      <c r="F62" s="46"/>
      <c r="G62" s="46">
        <f>Source!AT24</f>
        <v>92</v>
      </c>
      <c r="H62" s="48"/>
      <c r="I62" s="47"/>
      <c r="J62" s="48"/>
      <c r="K62" s="47"/>
      <c r="L62" s="48">
        <f>SUM(AZ52:AZ64)</f>
        <v>691.21</v>
      </c>
    </row>
    <row r="63" spans="1:83" ht="28.5">
      <c r="A63" s="52"/>
      <c r="B63" s="52" t="s">
        <v>26</v>
      </c>
      <c r="C63" s="52" t="s">
        <v>397</v>
      </c>
      <c r="D63" s="53" t="s">
        <v>396</v>
      </c>
      <c r="E63" s="54">
        <f>Source!CA24</f>
        <v>46</v>
      </c>
      <c r="F63" s="54"/>
      <c r="G63" s="54">
        <f>Source!AU24</f>
        <v>46</v>
      </c>
      <c r="H63" s="55"/>
      <c r="I63" s="56"/>
      <c r="J63" s="55"/>
      <c r="K63" s="56"/>
      <c r="L63" s="55">
        <f>SUM(BA52:BA64)</f>
        <v>345.6</v>
      </c>
    </row>
    <row r="64" spans="1:83" ht="15">
      <c r="C64" s="118" t="s">
        <v>398</v>
      </c>
      <c r="D64" s="118"/>
      <c r="E64" s="118"/>
      <c r="F64" s="118"/>
      <c r="G64" s="118"/>
      <c r="H64" s="118"/>
      <c r="I64" s="119">
        <f>IF(E52&lt;&gt;0,K64/E52, 0)</f>
        <v>76499.333333333343</v>
      </c>
      <c r="J64" s="119"/>
      <c r="K64" s="119">
        <f>L54+L56+L62+L63+L57</f>
        <v>3442.4700000000003</v>
      </c>
      <c r="L64" s="119"/>
      <c r="AD64">
        <f>ROUND((Source!AT24/100)*((ROUND(SUMIF(SmtRes!AQ1:'SmtRes'!AQ3,"=1",SmtRes!AD1:'SmtRes'!AD3)*Source!I24, 2)+ROUND(SUMIF(SmtRes!AQ1:'SmtRes'!AQ3,"=1",SmtRes!AC1:'SmtRes'!AC3)*Source!I24, 2))), 2)</f>
        <v>35.159999999999997</v>
      </c>
      <c r="AE64">
        <f>ROUND((Source!AU24/100)*((ROUND(SUMIF(SmtRes!AQ1:'SmtRes'!AQ3,"=1",SmtRes!AD1:'SmtRes'!AD3)*Source!I24, 2)+ROUND(SUMIF(SmtRes!AQ1:'SmtRes'!AQ3,"=1",SmtRes!AC1:'SmtRes'!AC3)*Source!I24, 2))), 2)</f>
        <v>17.579999999999998</v>
      </c>
      <c r="AN64" s="57">
        <f>L54+L56+L62+L63+L57</f>
        <v>3442.4700000000003</v>
      </c>
      <c r="AO64" s="57">
        <f>L56</f>
        <v>1654.3500000000001</v>
      </c>
      <c r="AQ64" t="s">
        <v>399</v>
      </c>
      <c r="AR64" s="57">
        <f>L54</f>
        <v>93.47</v>
      </c>
      <c r="AT64" s="57">
        <f>L57</f>
        <v>657.84</v>
      </c>
      <c r="AV64" t="s">
        <v>399</v>
      </c>
      <c r="AW64">
        <f>0</f>
        <v>0</v>
      </c>
      <c r="AZ64">
        <f>Source!X24</f>
        <v>691.21</v>
      </c>
      <c r="BA64">
        <f>Source!Y24</f>
        <v>345.6</v>
      </c>
      <c r="CD64">
        <v>1</v>
      </c>
    </row>
    <row r="65" spans="1:101" ht="42.75">
      <c r="A65" s="42" t="s">
        <v>27</v>
      </c>
      <c r="B65" s="44" t="s">
        <v>400</v>
      </c>
      <c r="C65" s="44" t="str">
        <f>Source!G25</f>
        <v>Демонтаж - Укладка трубопроводов из железобетонных безнапорных раструбных труб диаметром: 1000 мм</v>
      </c>
      <c r="D65" s="45" t="str">
        <f>Source!H25</f>
        <v>100 м</v>
      </c>
      <c r="E65" s="46">
        <f>Source!K25</f>
        <v>0.1</v>
      </c>
      <c r="F65" s="46"/>
      <c r="G65" s="46">
        <f>Source!I25</f>
        <v>0.1</v>
      </c>
      <c r="H65" s="48"/>
      <c r="I65" s="47"/>
      <c r="J65" s="48"/>
      <c r="K65" s="47"/>
      <c r="L65" s="48"/>
    </row>
    <row r="66" spans="1:101" ht="38.25">
      <c r="B66" s="61" t="s">
        <v>341</v>
      </c>
      <c r="C66" s="120" t="s">
        <v>401</v>
      </c>
      <c r="D66" s="120"/>
      <c r="E66" s="120"/>
      <c r="F66" s="120"/>
      <c r="G66" s="120"/>
      <c r="H66" s="120"/>
      <c r="I66" s="120"/>
      <c r="J66" s="120"/>
      <c r="K66" s="120"/>
      <c r="L66" s="120"/>
      <c r="CW66" s="62" t="s">
        <v>401</v>
      </c>
    </row>
    <row r="67" spans="1:101">
      <c r="C67" s="49" t="str">
        <f>"Объем: "&amp;Source!I25&amp;"=10/"&amp;"100"</f>
        <v>Объем: 0,1=10/100</v>
      </c>
    </row>
    <row r="68" spans="1:101" ht="15">
      <c r="A68" s="43"/>
      <c r="B68" s="46">
        <v>1</v>
      </c>
      <c r="C68" s="43" t="s">
        <v>389</v>
      </c>
      <c r="D68" s="45" t="s">
        <v>258</v>
      </c>
      <c r="E68" s="50"/>
      <c r="F68" s="46"/>
      <c r="G68" s="46">
        <f>Source!U25</f>
        <v>15.007999999999999</v>
      </c>
      <c r="H68" s="46"/>
      <c r="I68" s="46"/>
      <c r="J68" s="46"/>
      <c r="K68" s="46"/>
      <c r="L68" s="51">
        <f>SUM(L69:L69)-SUMIF(CE69:CE69, 1, L69:L69)</f>
        <v>6495.61</v>
      </c>
    </row>
    <row r="69" spans="1:101" ht="14.25">
      <c r="A69" s="44"/>
      <c r="B69" s="44" t="s">
        <v>265</v>
      </c>
      <c r="C69" s="44" t="s">
        <v>266</v>
      </c>
      <c r="D69" s="45" t="s">
        <v>258</v>
      </c>
      <c r="E69" s="46">
        <v>187.6</v>
      </c>
      <c r="F69" s="46">
        <f>ROUND(0.8,7)</f>
        <v>0.8</v>
      </c>
      <c r="G69" s="46">
        <f>SmtRes!CX4</f>
        <v>15.007999999999999</v>
      </c>
      <c r="H69" s="48"/>
      <c r="I69" s="47"/>
      <c r="J69" s="48">
        <f>SmtRes!CZ4</f>
        <v>432.81</v>
      </c>
      <c r="K69" s="47"/>
      <c r="L69" s="48">
        <f>SmtRes!DI4</f>
        <v>6495.61</v>
      </c>
    </row>
    <row r="70" spans="1:101" ht="15">
      <c r="A70" s="43"/>
      <c r="B70" s="46">
        <v>2</v>
      </c>
      <c r="C70" s="43" t="s">
        <v>390</v>
      </c>
      <c r="D70" s="45"/>
      <c r="E70" s="50"/>
      <c r="F70" s="46"/>
      <c r="G70" s="46"/>
      <c r="H70" s="46"/>
      <c r="I70" s="46"/>
      <c r="J70" s="46"/>
      <c r="K70" s="46"/>
      <c r="L70" s="51">
        <f>SUM(L71:L75)-SUMIF(CE71:CE75, 1, L71:L75)</f>
        <v>4917.6000000000004</v>
      </c>
    </row>
    <row r="71" spans="1:101" ht="15">
      <c r="A71" s="43"/>
      <c r="B71" s="46"/>
      <c r="C71" s="43" t="s">
        <v>392</v>
      </c>
      <c r="D71" s="45" t="s">
        <v>258</v>
      </c>
      <c r="E71" s="50"/>
      <c r="F71" s="46"/>
      <c r="G71" s="46">
        <f>Source!V25</f>
        <v>1.0304</v>
      </c>
      <c r="H71" s="46"/>
      <c r="I71" s="46"/>
      <c r="J71" s="46"/>
      <c r="K71" s="46"/>
      <c r="L71" s="51">
        <f>SUMIF(CE72:CE75, 1, L72:L75)</f>
        <v>718.31000000000006</v>
      </c>
      <c r="CE71">
        <v>1</v>
      </c>
    </row>
    <row r="72" spans="1:101" ht="28.5">
      <c r="A72" s="44"/>
      <c r="B72" s="44" t="s">
        <v>267</v>
      </c>
      <c r="C72" s="44" t="s">
        <v>269</v>
      </c>
      <c r="D72" s="45" t="s">
        <v>66</v>
      </c>
      <c r="E72" s="46">
        <v>12.4</v>
      </c>
      <c r="F72" s="46">
        <f>ROUND(0.8,7)</f>
        <v>0.8</v>
      </c>
      <c r="G72" s="46">
        <f>SmtRes!CX6</f>
        <v>0.99199999999999999</v>
      </c>
      <c r="H72" s="48">
        <f>SmtRes!CZ6</f>
        <v>4403.5600000000004</v>
      </c>
      <c r="I72" s="47">
        <f>SmtRes!AJ6</f>
        <v>1.1200000000000001</v>
      </c>
      <c r="J72" s="48">
        <f>ROUND(H72*I72, 2)</f>
        <v>4931.99</v>
      </c>
      <c r="K72" s="47"/>
      <c r="L72" s="48">
        <f>SmtRes!DG6</f>
        <v>4892.53</v>
      </c>
    </row>
    <row r="73" spans="1:101" ht="28.5">
      <c r="A73" s="44"/>
      <c r="B73" s="44" t="s">
        <v>270</v>
      </c>
      <c r="C73" s="44" t="s">
        <v>402</v>
      </c>
      <c r="D73" s="45" t="s">
        <v>258</v>
      </c>
      <c r="E73" s="46">
        <f>SmtRes!DO6*SmtRes!AT6</f>
        <v>12.4</v>
      </c>
      <c r="F73" s="46">
        <f>ROUND(0.8,7)</f>
        <v>0.8</v>
      </c>
      <c r="G73" s="46">
        <f>ROUND(E73*F73*G65, 7)</f>
        <v>0.99199999999999999</v>
      </c>
      <c r="H73" s="48"/>
      <c r="I73" s="47"/>
      <c r="J73" s="48">
        <f>ROUND(SmtRes!AG6/SmtRes!DO6, 2)</f>
        <v>707.35</v>
      </c>
      <c r="K73" s="47"/>
      <c r="L73" s="48">
        <f>SmtRes!DH6</f>
        <v>701.69</v>
      </c>
      <c r="CE73">
        <v>1</v>
      </c>
    </row>
    <row r="74" spans="1:101" ht="28.5">
      <c r="A74" s="44"/>
      <c r="B74" s="44" t="s">
        <v>271</v>
      </c>
      <c r="C74" s="44" t="s">
        <v>273</v>
      </c>
      <c r="D74" s="45" t="s">
        <v>66</v>
      </c>
      <c r="E74" s="46">
        <v>0.48</v>
      </c>
      <c r="F74" s="46">
        <f>ROUND(0.8,7)</f>
        <v>0.8</v>
      </c>
      <c r="G74" s="46">
        <f>SmtRes!CX7</f>
        <v>3.8399999999999997E-2</v>
      </c>
      <c r="H74" s="48"/>
      <c r="I74" s="47"/>
      <c r="J74" s="48">
        <f>SmtRes!CZ7</f>
        <v>652.84</v>
      </c>
      <c r="K74" s="47"/>
      <c r="L74" s="48">
        <f>SmtRes!DG7</f>
        <v>25.07</v>
      </c>
    </row>
    <row r="75" spans="1:101" ht="28.5">
      <c r="A75" s="44"/>
      <c r="B75" s="44" t="s">
        <v>274</v>
      </c>
      <c r="C75" s="44" t="s">
        <v>403</v>
      </c>
      <c r="D75" s="45" t="s">
        <v>258</v>
      </c>
      <c r="E75" s="46">
        <f>SmtRes!DO7*SmtRes!AT7</f>
        <v>0.48</v>
      </c>
      <c r="F75" s="46">
        <f>ROUND(0.8,7)</f>
        <v>0.8</v>
      </c>
      <c r="G75" s="46">
        <f>ROUND(E75*F75*G65, 7)</f>
        <v>3.8399999999999997E-2</v>
      </c>
      <c r="H75" s="48"/>
      <c r="I75" s="47"/>
      <c r="J75" s="48">
        <f>ROUND(SmtRes!AG7/SmtRes!DO7, 2)</f>
        <v>432.81</v>
      </c>
      <c r="K75" s="47"/>
      <c r="L75" s="48">
        <f>SmtRes!DH7</f>
        <v>16.62</v>
      </c>
      <c r="CE75">
        <v>1</v>
      </c>
    </row>
    <row r="76" spans="1:101" ht="15" hidden="1">
      <c r="A76" s="43"/>
      <c r="B76" s="46">
        <v>4</v>
      </c>
      <c r="C76" s="43" t="s">
        <v>404</v>
      </c>
      <c r="D76" s="45"/>
      <c r="E76" s="50"/>
      <c r="F76" s="46"/>
      <c r="G76" s="46"/>
      <c r="H76" s="46"/>
      <c r="I76" s="46"/>
      <c r="J76" s="46"/>
      <c r="K76" s="46"/>
      <c r="L76" s="51">
        <f>SUM(L77:L81)-SUMIF(CE77:CE81, 1, L77:L81)</f>
        <v>0</v>
      </c>
    </row>
    <row r="77" spans="1:101" ht="42.75">
      <c r="A77" s="44"/>
      <c r="B77" s="44" t="s">
        <v>275</v>
      </c>
      <c r="C77" s="44" t="s">
        <v>277</v>
      </c>
      <c r="D77" s="45" t="s">
        <v>84</v>
      </c>
      <c r="E77" s="46">
        <v>0.114</v>
      </c>
      <c r="F77" s="46">
        <f t="shared" ref="F77:F82" si="0">ROUND(0,7)</f>
        <v>0</v>
      </c>
      <c r="G77" s="46">
        <f>SmtRes!CX8</f>
        <v>0</v>
      </c>
      <c r="H77" s="48">
        <f>SmtRes!CZ8</f>
        <v>21588.35</v>
      </c>
      <c r="I77" s="47">
        <f>SmtRes!AI8</f>
        <v>1.18</v>
      </c>
      <c r="J77" s="48">
        <f>ROUND(H77*I77, 2)</f>
        <v>25474.25</v>
      </c>
      <c r="K77" s="47"/>
      <c r="L77" s="48">
        <f>SmtRes!DF8</f>
        <v>0</v>
      </c>
    </row>
    <row r="78" spans="1:101" ht="14.25">
      <c r="A78" s="44"/>
      <c r="B78" s="44" t="s">
        <v>278</v>
      </c>
      <c r="C78" s="44" t="s">
        <v>280</v>
      </c>
      <c r="D78" s="45" t="s">
        <v>113</v>
      </c>
      <c r="E78" s="46">
        <v>78.5</v>
      </c>
      <c r="F78" s="46">
        <f t="shared" si="0"/>
        <v>0</v>
      </c>
      <c r="G78" s="46">
        <f>SmtRes!CX9</f>
        <v>0</v>
      </c>
      <c r="H78" s="48">
        <f>SmtRes!CZ9</f>
        <v>35.71</v>
      </c>
      <c r="I78" s="47">
        <f>SmtRes!AI9</f>
        <v>0.73</v>
      </c>
      <c r="J78" s="48">
        <f>ROUND(H78*I78, 2)</f>
        <v>26.07</v>
      </c>
      <c r="K78" s="47"/>
      <c r="L78" s="48">
        <f>SmtRes!DF9</f>
        <v>0</v>
      </c>
    </row>
    <row r="79" spans="1:101" ht="57">
      <c r="A79" s="44"/>
      <c r="B79" s="44" t="s">
        <v>281</v>
      </c>
      <c r="C79" s="44" t="s">
        <v>283</v>
      </c>
      <c r="D79" s="45" t="s">
        <v>284</v>
      </c>
      <c r="E79" s="46">
        <v>84</v>
      </c>
      <c r="F79" s="46">
        <f t="shared" si="0"/>
        <v>0</v>
      </c>
      <c r="G79" s="46">
        <f>SmtRes!CX10</f>
        <v>0</v>
      </c>
      <c r="H79" s="48">
        <f>SmtRes!CZ10</f>
        <v>152.78</v>
      </c>
      <c r="I79" s="47">
        <f>SmtRes!AI10</f>
        <v>1.36</v>
      </c>
      <c r="J79" s="48">
        <f>ROUND(H79*I79, 2)</f>
        <v>207.78</v>
      </c>
      <c r="K79" s="47"/>
      <c r="L79" s="48">
        <f>SmtRes!DF10</f>
        <v>0</v>
      </c>
    </row>
    <row r="80" spans="1:101" ht="28.5">
      <c r="A80" s="44"/>
      <c r="B80" s="44" t="s">
        <v>285</v>
      </c>
      <c r="C80" s="44" t="s">
        <v>287</v>
      </c>
      <c r="D80" s="45" t="s">
        <v>84</v>
      </c>
      <c r="E80" s="46">
        <v>0.2656</v>
      </c>
      <c r="F80" s="46">
        <f t="shared" si="0"/>
        <v>0</v>
      </c>
      <c r="G80" s="46">
        <f>SmtRes!CX11</f>
        <v>0</v>
      </c>
      <c r="H80" s="48">
        <f>SmtRes!CZ11</f>
        <v>4800.8500000000004</v>
      </c>
      <c r="I80" s="47">
        <f>SmtRes!AI11</f>
        <v>1.89</v>
      </c>
      <c r="J80" s="48">
        <f>ROUND(H80*I80, 2)</f>
        <v>9073.61</v>
      </c>
      <c r="K80" s="47"/>
      <c r="L80" s="48">
        <f>SmtRes!DF11</f>
        <v>0</v>
      </c>
    </row>
    <row r="81" spans="1:83" ht="28.5">
      <c r="A81" s="44"/>
      <c r="B81" s="44" t="s">
        <v>288</v>
      </c>
      <c r="C81" s="44" t="s">
        <v>290</v>
      </c>
      <c r="D81" s="45" t="s">
        <v>113</v>
      </c>
      <c r="E81" s="46">
        <v>0.66</v>
      </c>
      <c r="F81" s="46">
        <f t="shared" si="0"/>
        <v>0</v>
      </c>
      <c r="G81" s="46">
        <f>SmtRes!CX12</f>
        <v>0</v>
      </c>
      <c r="H81" s="48"/>
      <c r="I81" s="47"/>
      <c r="J81" s="48">
        <f>SmtRes!CZ12</f>
        <v>5769.31</v>
      </c>
      <c r="K81" s="47"/>
      <c r="L81" s="48">
        <f>SmtRes!DF12</f>
        <v>0</v>
      </c>
    </row>
    <row r="82" spans="1:83" ht="28.5">
      <c r="A82" s="44"/>
      <c r="B82" s="44" t="str">
        <f>EtalonRes!I13</f>
        <v>05.1.02.08</v>
      </c>
      <c r="C82" s="52" t="str">
        <f>EtalonRes!K13</f>
        <v>Трубы железобетонные безнапорные раструбные</v>
      </c>
      <c r="D82" s="53" t="str">
        <f>EtalonRes!O13</f>
        <v>м</v>
      </c>
      <c r="E82" s="54">
        <f>EtalonRes!X13</f>
        <v>99.7</v>
      </c>
      <c r="F82" s="54">
        <f t="shared" si="0"/>
        <v>0</v>
      </c>
      <c r="G82" s="54">
        <f>ROUND(EtalonRes!AG13*Source!I25, 7)</f>
        <v>0</v>
      </c>
      <c r="H82" s="55"/>
      <c r="I82" s="56"/>
      <c r="J82" s="55"/>
      <c r="K82" s="56"/>
      <c r="L82" s="55"/>
    </row>
    <row r="83" spans="1:83" ht="15">
      <c r="A83" s="44"/>
      <c r="B83" s="44"/>
      <c r="C83" s="59" t="s">
        <v>393</v>
      </c>
      <c r="D83" s="45"/>
      <c r="E83" s="46"/>
      <c r="F83" s="46"/>
      <c r="G83" s="46"/>
      <c r="H83" s="48"/>
      <c r="I83" s="47"/>
      <c r="J83" s="48"/>
      <c r="K83" s="47"/>
      <c r="L83" s="48">
        <f>L68+L70+L71+L76</f>
        <v>12131.519999999999</v>
      </c>
    </row>
    <row r="84" spans="1:83" ht="14.25">
      <c r="A84" s="44"/>
      <c r="B84" s="44"/>
      <c r="C84" s="44" t="s">
        <v>394</v>
      </c>
      <c r="D84" s="45"/>
      <c r="E84" s="46"/>
      <c r="F84" s="46"/>
      <c r="G84" s="46"/>
      <c r="H84" s="48"/>
      <c r="I84" s="47"/>
      <c r="J84" s="48"/>
      <c r="K84" s="47"/>
      <c r="L84" s="48">
        <f>SUM(AR65:AR87)+SUM(AS65:AS87)+SUM(AT65:AT87)+SUM(AU65:AU87)+SUM(AV65:AV87)</f>
        <v>7213.92</v>
      </c>
    </row>
    <row r="85" spans="1:83" ht="42.75">
      <c r="A85" s="44"/>
      <c r="B85" s="44" t="s">
        <v>38</v>
      </c>
      <c r="C85" s="44" t="s">
        <v>405</v>
      </c>
      <c r="D85" s="45" t="s">
        <v>396</v>
      </c>
      <c r="E85" s="46">
        <f>Source!BZ25</f>
        <v>117</v>
      </c>
      <c r="F85" s="46"/>
      <c r="G85" s="46">
        <f>Source!AT25</f>
        <v>117</v>
      </c>
      <c r="H85" s="48"/>
      <c r="I85" s="47"/>
      <c r="J85" s="48"/>
      <c r="K85" s="47"/>
      <c r="L85" s="48">
        <f>SUM(AZ65:AZ87)</f>
        <v>8440.2900000000009</v>
      </c>
    </row>
    <row r="86" spans="1:83" ht="42.75">
      <c r="A86" s="52"/>
      <c r="B86" s="52" t="s">
        <v>39</v>
      </c>
      <c r="C86" s="52" t="s">
        <v>406</v>
      </c>
      <c r="D86" s="53" t="s">
        <v>396</v>
      </c>
      <c r="E86" s="54">
        <f>Source!CA25</f>
        <v>74</v>
      </c>
      <c r="F86" s="54"/>
      <c r="G86" s="54">
        <f>Source!AU25</f>
        <v>74</v>
      </c>
      <c r="H86" s="55"/>
      <c r="I86" s="56"/>
      <c r="J86" s="55"/>
      <c r="K86" s="56"/>
      <c r="L86" s="55">
        <f>SUM(BA65:BA87)</f>
        <v>5338.3</v>
      </c>
    </row>
    <row r="87" spans="1:83" ht="15">
      <c r="C87" s="118" t="s">
        <v>398</v>
      </c>
      <c r="D87" s="118"/>
      <c r="E87" s="118"/>
      <c r="F87" s="118"/>
      <c r="G87" s="118"/>
      <c r="H87" s="118"/>
      <c r="I87" s="119">
        <f>IF(E65&lt;&gt;0,K87/E65, 0)</f>
        <v>259101.1</v>
      </c>
      <c r="J87" s="119"/>
      <c r="K87" s="119">
        <f>L68+L70+L76+L85+L86+L71</f>
        <v>25910.11</v>
      </c>
      <c r="L87" s="119"/>
      <c r="AD87">
        <f>ROUND((Source!AT25/100)*((ROUND(SUMIF(SmtRes!AQ4:'SmtRes'!AQ13,"=1",SmtRes!AD4:'SmtRes'!AD13)*Source!I25, 2)+ROUND(SUMIF(SmtRes!AQ4:'SmtRes'!AQ13,"=1",SmtRes!AC4:'SmtRes'!AC13)*Source!I25, 2))), 2)</f>
        <v>184.04</v>
      </c>
      <c r="AE87">
        <f>ROUND((Source!AU25/100)*((ROUND(SUMIF(SmtRes!AQ4:'SmtRes'!AQ13,"=1",SmtRes!AD4:'SmtRes'!AD13)*Source!I25, 2)+ROUND(SUMIF(SmtRes!AQ4:'SmtRes'!AQ13,"=1",SmtRes!AC4:'SmtRes'!AC13)*Source!I25, 2))), 2)</f>
        <v>116.4</v>
      </c>
      <c r="AN87" s="57">
        <f>L68+L70+L76+L85+L86+L71</f>
        <v>25910.11</v>
      </c>
      <c r="AO87" s="57">
        <f>L70</f>
        <v>4917.6000000000004</v>
      </c>
      <c r="AQ87" t="s">
        <v>399</v>
      </c>
      <c r="AR87" s="57">
        <f>L68</f>
        <v>6495.61</v>
      </c>
      <c r="AT87" s="57">
        <f>L71</f>
        <v>718.31000000000006</v>
      </c>
      <c r="AV87" t="s">
        <v>399</v>
      </c>
      <c r="AW87" s="57">
        <f>L76</f>
        <v>0</v>
      </c>
      <c r="AZ87">
        <f>Source!X25</f>
        <v>8440.2900000000009</v>
      </c>
      <c r="BA87">
        <f>Source!Y25</f>
        <v>5338.3</v>
      </c>
      <c r="CD87">
        <v>1</v>
      </c>
    </row>
    <row r="88" spans="1:83" ht="42.75">
      <c r="A88" s="42" t="s">
        <v>46</v>
      </c>
      <c r="B88" s="44" t="s">
        <v>407</v>
      </c>
      <c r="C88" s="44" t="str">
        <f>Source!G27</f>
        <v>Резка на бровке траншеи демонтируемых труб условным диаметром: 1000 мм</v>
      </c>
      <c r="D88" s="45" t="str">
        <f>Source!H27</f>
        <v>РЕЗ</v>
      </c>
      <c r="E88" s="46">
        <f>Source!K27</f>
        <v>1</v>
      </c>
      <c r="F88" s="46"/>
      <c r="G88" s="46">
        <f>Source!I27</f>
        <v>1</v>
      </c>
      <c r="H88" s="48"/>
      <c r="I88" s="47"/>
      <c r="J88" s="48"/>
      <c r="K88" s="47"/>
      <c r="L88" s="48"/>
    </row>
    <row r="89" spans="1:83" ht="15">
      <c r="A89" s="43"/>
      <c r="B89" s="46">
        <v>1</v>
      </c>
      <c r="C89" s="43" t="s">
        <v>389</v>
      </c>
      <c r="D89" s="45" t="s">
        <v>258</v>
      </c>
      <c r="E89" s="50"/>
      <c r="F89" s="46"/>
      <c r="G89" s="46">
        <f>Source!U27</f>
        <v>1.59</v>
      </c>
      <c r="H89" s="46"/>
      <c r="I89" s="46"/>
      <c r="J89" s="46"/>
      <c r="K89" s="46"/>
      <c r="L89" s="51">
        <f>SUM(L90:L90)-SUMIF(CE90:CE90, 1, L90:L90)</f>
        <v>760.07</v>
      </c>
    </row>
    <row r="90" spans="1:83" ht="14.25">
      <c r="A90" s="44"/>
      <c r="B90" s="44" t="s">
        <v>291</v>
      </c>
      <c r="C90" s="44" t="s">
        <v>292</v>
      </c>
      <c r="D90" s="45" t="s">
        <v>258</v>
      </c>
      <c r="E90" s="46">
        <v>1.59</v>
      </c>
      <c r="F90" s="46"/>
      <c r="G90" s="46">
        <f>SmtRes!CX14</f>
        <v>1.59</v>
      </c>
      <c r="H90" s="48"/>
      <c r="I90" s="47"/>
      <c r="J90" s="48">
        <f>SmtRes!CZ14</f>
        <v>478.03</v>
      </c>
      <c r="K90" s="47"/>
      <c r="L90" s="48">
        <f>SmtRes!DI14</f>
        <v>760.07</v>
      </c>
    </row>
    <row r="91" spans="1:83" ht="15">
      <c r="A91" s="43"/>
      <c r="B91" s="46">
        <v>2</v>
      </c>
      <c r="C91" s="43" t="s">
        <v>390</v>
      </c>
      <c r="D91" s="45"/>
      <c r="E91" s="50"/>
      <c r="F91" s="46"/>
      <c r="G91" s="46"/>
      <c r="H91" s="46"/>
      <c r="I91" s="46"/>
      <c r="J91" s="46"/>
      <c r="K91" s="46"/>
      <c r="L91" s="51">
        <f>SUM(L92:L95)-SUMIF(CE92:CE95, 1, L92:L95)</f>
        <v>3701.3400000000006</v>
      </c>
    </row>
    <row r="92" spans="1:83" ht="15">
      <c r="A92" s="43"/>
      <c r="B92" s="46"/>
      <c r="C92" s="43" t="s">
        <v>392</v>
      </c>
      <c r="D92" s="45" t="s">
        <v>258</v>
      </c>
      <c r="E92" s="50"/>
      <c r="F92" s="46"/>
      <c r="G92" s="46">
        <f>Source!V27</f>
        <v>0.75</v>
      </c>
      <c r="H92" s="46"/>
      <c r="I92" s="46"/>
      <c r="J92" s="46"/>
      <c r="K92" s="46"/>
      <c r="L92" s="51">
        <f>SUMIF(CE93:CE95, 1, L93:L95)</f>
        <v>530.51</v>
      </c>
      <c r="CE92">
        <v>1</v>
      </c>
    </row>
    <row r="93" spans="1:83" ht="28.5">
      <c r="A93" s="44"/>
      <c r="B93" s="44" t="s">
        <v>267</v>
      </c>
      <c r="C93" s="44" t="s">
        <v>269</v>
      </c>
      <c r="D93" s="45" t="s">
        <v>66</v>
      </c>
      <c r="E93" s="46">
        <v>0.75</v>
      </c>
      <c r="F93" s="46"/>
      <c r="G93" s="46">
        <f>SmtRes!CX16</f>
        <v>0.75</v>
      </c>
      <c r="H93" s="48">
        <f>SmtRes!CZ16</f>
        <v>4403.5600000000004</v>
      </c>
      <c r="I93" s="47">
        <f>SmtRes!AJ16</f>
        <v>1.1200000000000001</v>
      </c>
      <c r="J93" s="48">
        <f>ROUND(H93*I93, 2)</f>
        <v>4931.99</v>
      </c>
      <c r="K93" s="47"/>
      <c r="L93" s="48">
        <f>SmtRes!DG16</f>
        <v>3698.99</v>
      </c>
    </row>
    <row r="94" spans="1:83" ht="28.5">
      <c r="A94" s="44"/>
      <c r="B94" s="44" t="s">
        <v>270</v>
      </c>
      <c r="C94" s="44" t="s">
        <v>402</v>
      </c>
      <c r="D94" s="45" t="s">
        <v>258</v>
      </c>
      <c r="E94" s="46">
        <f>SmtRes!DO16*SmtRes!AT16</f>
        <v>0.75</v>
      </c>
      <c r="F94" s="46"/>
      <c r="G94" s="46">
        <f>ROUND(E94*G88, 7)</f>
        <v>0.75</v>
      </c>
      <c r="H94" s="48"/>
      <c r="I94" s="47"/>
      <c r="J94" s="48">
        <f>ROUND(SmtRes!AG16/SmtRes!DO16, 2)</f>
        <v>707.35</v>
      </c>
      <c r="K94" s="47"/>
      <c r="L94" s="48">
        <f>SmtRes!DH16</f>
        <v>530.51</v>
      </c>
      <c r="CE94">
        <v>1</v>
      </c>
    </row>
    <row r="95" spans="1:83" ht="14.25">
      <c r="A95" s="44"/>
      <c r="B95" s="44" t="s">
        <v>293</v>
      </c>
      <c r="C95" s="44" t="s">
        <v>295</v>
      </c>
      <c r="D95" s="45" t="s">
        <v>66</v>
      </c>
      <c r="E95" s="46">
        <v>0.44</v>
      </c>
      <c r="F95" s="46"/>
      <c r="G95" s="46">
        <f>SmtRes!CX17</f>
        <v>0.44</v>
      </c>
      <c r="H95" s="48">
        <f>SmtRes!CZ17</f>
        <v>4.3499999999999996</v>
      </c>
      <c r="I95" s="47">
        <f>SmtRes!AJ17</f>
        <v>1.23</v>
      </c>
      <c r="J95" s="48">
        <f>ROUND(H95*I95, 2)</f>
        <v>5.35</v>
      </c>
      <c r="K95" s="47"/>
      <c r="L95" s="48">
        <f>SmtRes!DG17</f>
        <v>2.35</v>
      </c>
    </row>
    <row r="96" spans="1:83" ht="15">
      <c r="A96" s="43"/>
      <c r="B96" s="46">
        <v>4</v>
      </c>
      <c r="C96" s="43" t="s">
        <v>404</v>
      </c>
      <c r="D96" s="45"/>
      <c r="E96" s="50"/>
      <c r="F96" s="46"/>
      <c r="G96" s="46"/>
      <c r="H96" s="46"/>
      <c r="I96" s="46"/>
      <c r="J96" s="46"/>
      <c r="K96" s="46"/>
      <c r="L96" s="51">
        <f>SUM(L97:L99)-SUMIF(CE97:CE99, 1, L97:L99)</f>
        <v>733.41</v>
      </c>
    </row>
    <row r="97" spans="1:83" ht="14.25">
      <c r="A97" s="44"/>
      <c r="B97" s="44" t="s">
        <v>296</v>
      </c>
      <c r="C97" s="44" t="s">
        <v>298</v>
      </c>
      <c r="D97" s="45" t="s">
        <v>113</v>
      </c>
      <c r="E97" s="46">
        <v>1.59</v>
      </c>
      <c r="F97" s="46"/>
      <c r="G97" s="46">
        <f>SmtRes!CX18</f>
        <v>1.59</v>
      </c>
      <c r="H97" s="48"/>
      <c r="I97" s="47"/>
      <c r="J97" s="48">
        <f>SmtRes!CZ18</f>
        <v>89</v>
      </c>
      <c r="K97" s="47"/>
      <c r="L97" s="48">
        <f>SmtRes!DF18</f>
        <v>141.51</v>
      </c>
    </row>
    <row r="98" spans="1:83" ht="14.25">
      <c r="A98" s="44"/>
      <c r="B98" s="44" t="s">
        <v>299</v>
      </c>
      <c r="C98" s="44" t="s">
        <v>301</v>
      </c>
      <c r="D98" s="45" t="s">
        <v>284</v>
      </c>
      <c r="E98" s="46">
        <v>4.0655999999999999</v>
      </c>
      <c r="F98" s="46"/>
      <c r="G98" s="46">
        <f>SmtRes!CX19</f>
        <v>4.0655999999999999</v>
      </c>
      <c r="H98" s="48">
        <f>SmtRes!CZ19</f>
        <v>41.38</v>
      </c>
      <c r="I98" s="47">
        <f>SmtRes!AI19</f>
        <v>1.38</v>
      </c>
      <c r="J98" s="48">
        <f>ROUND(H98*I98, 2)</f>
        <v>57.1</v>
      </c>
      <c r="K98" s="47"/>
      <c r="L98" s="48">
        <f>SmtRes!DF19</f>
        <v>232.15</v>
      </c>
    </row>
    <row r="99" spans="1:83" ht="57">
      <c r="A99" s="44"/>
      <c r="B99" s="44" t="s">
        <v>302</v>
      </c>
      <c r="C99" s="52" t="s">
        <v>304</v>
      </c>
      <c r="D99" s="53" t="s">
        <v>113</v>
      </c>
      <c r="E99" s="54">
        <v>2.7E-2</v>
      </c>
      <c r="F99" s="54"/>
      <c r="G99" s="54">
        <f>SmtRes!CX20</f>
        <v>2.7E-2</v>
      </c>
      <c r="H99" s="55">
        <f>SmtRes!CZ20</f>
        <v>16655</v>
      </c>
      <c r="I99" s="56">
        <f>SmtRes!AI20</f>
        <v>0.8</v>
      </c>
      <c r="J99" s="55">
        <f>ROUND(H99*I99, 2)</f>
        <v>13324</v>
      </c>
      <c r="K99" s="56"/>
      <c r="L99" s="55">
        <f>SmtRes!DF20</f>
        <v>359.75</v>
      </c>
    </row>
    <row r="100" spans="1:83" ht="15">
      <c r="A100" s="44"/>
      <c r="B100" s="44"/>
      <c r="C100" s="59" t="s">
        <v>393</v>
      </c>
      <c r="D100" s="45"/>
      <c r="E100" s="46"/>
      <c r="F100" s="46"/>
      <c r="G100" s="46"/>
      <c r="H100" s="48"/>
      <c r="I100" s="47"/>
      <c r="J100" s="48"/>
      <c r="K100" s="47"/>
      <c r="L100" s="48">
        <f>L89+L91+L92+L96</f>
        <v>5725.3300000000008</v>
      </c>
    </row>
    <row r="101" spans="1:83" ht="14.25">
      <c r="A101" s="44"/>
      <c r="B101" s="44"/>
      <c r="C101" s="44" t="s">
        <v>394</v>
      </c>
      <c r="D101" s="45"/>
      <c r="E101" s="46"/>
      <c r="F101" s="46"/>
      <c r="G101" s="46"/>
      <c r="H101" s="48"/>
      <c r="I101" s="47"/>
      <c r="J101" s="48"/>
      <c r="K101" s="47"/>
      <c r="L101" s="48">
        <f>SUM(AR88:AR104)+SUM(AS88:AS104)+SUM(AT88:AT104)+SUM(AU88:AU104)+SUM(AV88:AV104)</f>
        <v>1290.58</v>
      </c>
    </row>
    <row r="102" spans="1:83" ht="28.5">
      <c r="A102" s="44"/>
      <c r="B102" s="44" t="s">
        <v>54</v>
      </c>
      <c r="C102" s="44" t="s">
        <v>408</v>
      </c>
      <c r="D102" s="45" t="s">
        <v>396</v>
      </c>
      <c r="E102" s="46">
        <f>Source!BZ27</f>
        <v>111</v>
      </c>
      <c r="F102" s="46"/>
      <c r="G102" s="46">
        <f>Source!AT27</f>
        <v>111</v>
      </c>
      <c r="H102" s="48"/>
      <c r="I102" s="47"/>
      <c r="J102" s="48"/>
      <c r="K102" s="47"/>
      <c r="L102" s="48">
        <f>SUM(AZ88:AZ104)</f>
        <v>1432.54</v>
      </c>
    </row>
    <row r="103" spans="1:83" ht="28.5">
      <c r="A103" s="52"/>
      <c r="B103" s="52" t="s">
        <v>55</v>
      </c>
      <c r="C103" s="52" t="s">
        <v>409</v>
      </c>
      <c r="D103" s="53" t="s">
        <v>396</v>
      </c>
      <c r="E103" s="54">
        <f>Source!CA27</f>
        <v>60</v>
      </c>
      <c r="F103" s="54"/>
      <c r="G103" s="54">
        <f>Source!AU27</f>
        <v>60</v>
      </c>
      <c r="H103" s="55"/>
      <c r="I103" s="56"/>
      <c r="J103" s="55"/>
      <c r="K103" s="56"/>
      <c r="L103" s="55">
        <f>SUM(BA88:BA104)</f>
        <v>774.35</v>
      </c>
    </row>
    <row r="104" spans="1:83" ht="15">
      <c r="C104" s="118" t="s">
        <v>398</v>
      </c>
      <c r="D104" s="118"/>
      <c r="E104" s="118"/>
      <c r="F104" s="118"/>
      <c r="G104" s="118"/>
      <c r="H104" s="118"/>
      <c r="I104" s="119">
        <f>IF(E88&lt;&gt;0,K104/E88, 0)</f>
        <v>7932.2200000000012</v>
      </c>
      <c r="J104" s="119"/>
      <c r="K104" s="119">
        <f>L89+L91+L96+L102+L103+L92</f>
        <v>7932.2200000000012</v>
      </c>
      <c r="L104" s="119"/>
      <c r="AD104">
        <f>ROUND((Source!AT27/100)*((ROUND(SUMIF(SmtRes!AQ14:'SmtRes'!AQ20,"=1",SmtRes!AD14:'SmtRes'!AD20)*Source!I27, 2)+ROUND(SUMIF(SmtRes!AQ14:'SmtRes'!AQ20,"=1",SmtRes!AC14:'SmtRes'!AC20)*Source!I27, 2))), 2)</f>
        <v>1315.77</v>
      </c>
      <c r="AE104">
        <f>ROUND((Source!AU27/100)*((ROUND(SUMIF(SmtRes!AQ14:'SmtRes'!AQ20,"=1",SmtRes!AD14:'SmtRes'!AD20)*Source!I27, 2)+ROUND(SUMIF(SmtRes!AQ14:'SmtRes'!AQ20,"=1",SmtRes!AC14:'SmtRes'!AC20)*Source!I27, 2))), 2)</f>
        <v>711.23</v>
      </c>
      <c r="AN104" s="57">
        <f>L89+L91+L96+L102+L103+L92</f>
        <v>7932.2200000000012</v>
      </c>
      <c r="AO104" s="57">
        <f>L91</f>
        <v>3701.3400000000006</v>
      </c>
      <c r="AQ104" t="s">
        <v>399</v>
      </c>
      <c r="AR104" s="57">
        <f>L89</f>
        <v>760.07</v>
      </c>
      <c r="AT104" s="57">
        <f>L92</f>
        <v>530.51</v>
      </c>
      <c r="AV104" t="s">
        <v>399</v>
      </c>
      <c r="AW104" s="57">
        <f>L96</f>
        <v>733.41</v>
      </c>
      <c r="AZ104">
        <f>Source!X27</f>
        <v>1432.54</v>
      </c>
      <c r="BA104">
        <f>Source!Y27</f>
        <v>774.35</v>
      </c>
      <c r="CD104">
        <v>1</v>
      </c>
    </row>
    <row r="105" spans="1:83" ht="42.75">
      <c r="A105" s="42" t="s">
        <v>56</v>
      </c>
      <c r="B105" s="44" t="s">
        <v>400</v>
      </c>
      <c r="C105" s="44" t="str">
        <f>Source!G28</f>
        <v>Укладка трубопроводов из железобетонных безнапорных раструбных труб диаметром: 1000 мм</v>
      </c>
      <c r="D105" s="45" t="str">
        <f>Source!H28</f>
        <v>100 м</v>
      </c>
      <c r="E105" s="46">
        <f>Source!K28</f>
        <v>0.1</v>
      </c>
      <c r="F105" s="46"/>
      <c r="G105" s="46">
        <f>Source!I28</f>
        <v>0.1</v>
      </c>
      <c r="H105" s="48"/>
      <c r="I105" s="47"/>
      <c r="J105" s="48"/>
      <c r="K105" s="47"/>
      <c r="L105" s="48"/>
    </row>
    <row r="106" spans="1:83">
      <c r="C106" s="49" t="str">
        <f>"Объем: "&amp;Source!I28&amp;"=10/"&amp;"100"</f>
        <v>Объем: 0,1=10/100</v>
      </c>
    </row>
    <row r="107" spans="1:83" ht="15">
      <c r="A107" s="43"/>
      <c r="B107" s="46">
        <v>1</v>
      </c>
      <c r="C107" s="43" t="s">
        <v>389</v>
      </c>
      <c r="D107" s="45" t="s">
        <v>258</v>
      </c>
      <c r="E107" s="50"/>
      <c r="F107" s="46"/>
      <c r="G107" s="46">
        <f>Source!U28</f>
        <v>18.760000000000002</v>
      </c>
      <c r="H107" s="46"/>
      <c r="I107" s="46"/>
      <c r="J107" s="46"/>
      <c r="K107" s="46"/>
      <c r="L107" s="51">
        <f>SUM(L108:L108)-SUMIF(CE108:CE108, 1, L108:L108)</f>
        <v>8119.52</v>
      </c>
    </row>
    <row r="108" spans="1:83" ht="14.25">
      <c r="A108" s="44"/>
      <c r="B108" s="44" t="s">
        <v>265</v>
      </c>
      <c r="C108" s="44" t="s">
        <v>266</v>
      </c>
      <c r="D108" s="45" t="s">
        <v>258</v>
      </c>
      <c r="E108" s="46">
        <v>187.6</v>
      </c>
      <c r="F108" s="46"/>
      <c r="G108" s="46">
        <f>SmtRes!CX21</f>
        <v>18.760000000000002</v>
      </c>
      <c r="H108" s="48"/>
      <c r="I108" s="47"/>
      <c r="J108" s="48">
        <f>SmtRes!CZ21</f>
        <v>432.81</v>
      </c>
      <c r="K108" s="47"/>
      <c r="L108" s="48">
        <f>SmtRes!DI21</f>
        <v>8119.52</v>
      </c>
    </row>
    <row r="109" spans="1:83" ht="15">
      <c r="A109" s="43"/>
      <c r="B109" s="46">
        <v>2</v>
      </c>
      <c r="C109" s="43" t="s">
        <v>390</v>
      </c>
      <c r="D109" s="45"/>
      <c r="E109" s="50"/>
      <c r="F109" s="46"/>
      <c r="G109" s="46"/>
      <c r="H109" s="46"/>
      <c r="I109" s="46"/>
      <c r="J109" s="46"/>
      <c r="K109" s="46"/>
      <c r="L109" s="51">
        <f>SUM(L110:L114)-SUMIF(CE110:CE114, 1, L110:L114)</f>
        <v>6147.01</v>
      </c>
    </row>
    <row r="110" spans="1:83" ht="15">
      <c r="A110" s="43"/>
      <c r="B110" s="46"/>
      <c r="C110" s="43" t="s">
        <v>392</v>
      </c>
      <c r="D110" s="45" t="s">
        <v>258</v>
      </c>
      <c r="E110" s="50"/>
      <c r="F110" s="46"/>
      <c r="G110" s="46">
        <f>Source!V28</f>
        <v>1.288</v>
      </c>
      <c r="H110" s="46"/>
      <c r="I110" s="46"/>
      <c r="J110" s="46"/>
      <c r="K110" s="46"/>
      <c r="L110" s="51">
        <f>SUMIF(CE111:CE114, 1, L111:L114)</f>
        <v>897.88</v>
      </c>
      <c r="CE110">
        <v>1</v>
      </c>
    </row>
    <row r="111" spans="1:83" ht="28.5">
      <c r="A111" s="44"/>
      <c r="B111" s="44" t="s">
        <v>267</v>
      </c>
      <c r="C111" s="44" t="s">
        <v>269</v>
      </c>
      <c r="D111" s="45" t="s">
        <v>66</v>
      </c>
      <c r="E111" s="46">
        <v>12.4</v>
      </c>
      <c r="F111" s="46"/>
      <c r="G111" s="46">
        <f>SmtRes!CX23</f>
        <v>1.24</v>
      </c>
      <c r="H111" s="48">
        <f>SmtRes!CZ23</f>
        <v>4403.5600000000004</v>
      </c>
      <c r="I111" s="47">
        <f>SmtRes!AJ23</f>
        <v>1.1200000000000001</v>
      </c>
      <c r="J111" s="48">
        <f>ROUND(H111*I111, 2)</f>
        <v>4931.99</v>
      </c>
      <c r="K111" s="47"/>
      <c r="L111" s="48">
        <f>SmtRes!DG23</f>
        <v>6115.67</v>
      </c>
    </row>
    <row r="112" spans="1:83" ht="28.5">
      <c r="A112" s="44"/>
      <c r="B112" s="44" t="s">
        <v>270</v>
      </c>
      <c r="C112" s="44" t="s">
        <v>402</v>
      </c>
      <c r="D112" s="45" t="s">
        <v>258</v>
      </c>
      <c r="E112" s="46">
        <f>SmtRes!DO23*SmtRes!AT23</f>
        <v>12.4</v>
      </c>
      <c r="F112" s="46"/>
      <c r="G112" s="46">
        <f>ROUND(E112*G105, 7)</f>
        <v>1.24</v>
      </c>
      <c r="H112" s="48"/>
      <c r="I112" s="47"/>
      <c r="J112" s="48">
        <f>ROUND(SmtRes!AG23/SmtRes!DO23, 2)</f>
        <v>707.35</v>
      </c>
      <c r="K112" s="47"/>
      <c r="L112" s="48">
        <f>SmtRes!DH23</f>
        <v>877.11</v>
      </c>
      <c r="CE112">
        <v>1</v>
      </c>
    </row>
    <row r="113" spans="1:83" ht="28.5">
      <c r="A113" s="44"/>
      <c r="B113" s="44" t="s">
        <v>271</v>
      </c>
      <c r="C113" s="44" t="s">
        <v>273</v>
      </c>
      <c r="D113" s="45" t="s">
        <v>66</v>
      </c>
      <c r="E113" s="46">
        <v>0.48</v>
      </c>
      <c r="F113" s="46"/>
      <c r="G113" s="46">
        <f>SmtRes!CX24</f>
        <v>4.8000000000000001E-2</v>
      </c>
      <c r="H113" s="48"/>
      <c r="I113" s="47"/>
      <c r="J113" s="48">
        <f>SmtRes!CZ24</f>
        <v>652.84</v>
      </c>
      <c r="K113" s="47"/>
      <c r="L113" s="48">
        <f>SmtRes!DG24</f>
        <v>31.34</v>
      </c>
    </row>
    <row r="114" spans="1:83" ht="28.5">
      <c r="A114" s="44"/>
      <c r="B114" s="44" t="s">
        <v>274</v>
      </c>
      <c r="C114" s="44" t="s">
        <v>403</v>
      </c>
      <c r="D114" s="45" t="s">
        <v>258</v>
      </c>
      <c r="E114" s="46">
        <f>SmtRes!DO24*SmtRes!AT24</f>
        <v>0.48</v>
      </c>
      <c r="F114" s="46"/>
      <c r="G114" s="46">
        <f>ROUND(E114*G105, 7)</f>
        <v>4.8000000000000001E-2</v>
      </c>
      <c r="H114" s="48"/>
      <c r="I114" s="47"/>
      <c r="J114" s="48">
        <f>ROUND(SmtRes!AG24/SmtRes!DO24, 2)</f>
        <v>432.81</v>
      </c>
      <c r="K114" s="47"/>
      <c r="L114" s="48">
        <f>SmtRes!DH24</f>
        <v>20.77</v>
      </c>
      <c r="CE114">
        <v>1</v>
      </c>
    </row>
    <row r="115" spans="1:83" ht="15">
      <c r="A115" s="43"/>
      <c r="B115" s="46">
        <v>4</v>
      </c>
      <c r="C115" s="43" t="s">
        <v>404</v>
      </c>
      <c r="D115" s="45"/>
      <c r="E115" s="50"/>
      <c r="F115" s="46"/>
      <c r="G115" s="46"/>
      <c r="H115" s="46"/>
      <c r="I115" s="46"/>
      <c r="J115" s="46"/>
      <c r="K115" s="46"/>
      <c r="L115" s="51">
        <f>SUM(L116:L120)-SUMIF(CE116:CE120, 1, L116:L120)</f>
        <v>2862.18</v>
      </c>
    </row>
    <row r="116" spans="1:83" ht="42.75">
      <c r="A116" s="44"/>
      <c r="B116" s="44" t="s">
        <v>275</v>
      </c>
      <c r="C116" s="44" t="s">
        <v>277</v>
      </c>
      <c r="D116" s="45" t="s">
        <v>84</v>
      </c>
      <c r="E116" s="46">
        <v>0.114</v>
      </c>
      <c r="F116" s="46"/>
      <c r="G116" s="46">
        <f>SmtRes!CX25</f>
        <v>1.14E-2</v>
      </c>
      <c r="H116" s="48">
        <f>SmtRes!CZ25</f>
        <v>21588.35</v>
      </c>
      <c r="I116" s="47">
        <f>SmtRes!AI25</f>
        <v>1.18</v>
      </c>
      <c r="J116" s="48">
        <f>ROUND(H116*I116, 2)</f>
        <v>25474.25</v>
      </c>
      <c r="K116" s="47"/>
      <c r="L116" s="48">
        <f>SmtRes!DF25</f>
        <v>290.41000000000003</v>
      </c>
    </row>
    <row r="117" spans="1:83" ht="14.25">
      <c r="A117" s="44"/>
      <c r="B117" s="44" t="s">
        <v>278</v>
      </c>
      <c r="C117" s="44" t="s">
        <v>280</v>
      </c>
      <c r="D117" s="45" t="s">
        <v>113</v>
      </c>
      <c r="E117" s="46">
        <v>78.5</v>
      </c>
      <c r="F117" s="46"/>
      <c r="G117" s="46">
        <f>SmtRes!CX26</f>
        <v>7.85</v>
      </c>
      <c r="H117" s="48">
        <f>SmtRes!CZ26</f>
        <v>35.71</v>
      </c>
      <c r="I117" s="47">
        <f>SmtRes!AI26</f>
        <v>0.73</v>
      </c>
      <c r="J117" s="48">
        <f>ROUND(H117*I117, 2)</f>
        <v>26.07</v>
      </c>
      <c r="K117" s="47"/>
      <c r="L117" s="48">
        <f>SmtRes!DF26</f>
        <v>204.65</v>
      </c>
    </row>
    <row r="118" spans="1:83" ht="57">
      <c r="A118" s="44"/>
      <c r="B118" s="44" t="s">
        <v>281</v>
      </c>
      <c r="C118" s="44" t="s">
        <v>283</v>
      </c>
      <c r="D118" s="45" t="s">
        <v>284</v>
      </c>
      <c r="E118" s="46">
        <v>84</v>
      </c>
      <c r="F118" s="46"/>
      <c r="G118" s="46">
        <f>SmtRes!CX27</f>
        <v>8.4</v>
      </c>
      <c r="H118" s="48">
        <f>SmtRes!CZ27</f>
        <v>152.78</v>
      </c>
      <c r="I118" s="47">
        <f>SmtRes!AI27</f>
        <v>1.36</v>
      </c>
      <c r="J118" s="48">
        <f>ROUND(H118*I118, 2)</f>
        <v>207.78</v>
      </c>
      <c r="K118" s="47"/>
      <c r="L118" s="48">
        <f>SmtRes!DF27</f>
        <v>1745.35</v>
      </c>
    </row>
    <row r="119" spans="1:83" ht="28.5">
      <c r="A119" s="44"/>
      <c r="B119" s="44" t="s">
        <v>285</v>
      </c>
      <c r="C119" s="44" t="s">
        <v>287</v>
      </c>
      <c r="D119" s="45" t="s">
        <v>84</v>
      </c>
      <c r="E119" s="46">
        <v>0.2656</v>
      </c>
      <c r="F119" s="46"/>
      <c r="G119" s="46">
        <f>SmtRes!CX28</f>
        <v>2.656E-2</v>
      </c>
      <c r="H119" s="48">
        <f>SmtRes!CZ28</f>
        <v>4800.8500000000004</v>
      </c>
      <c r="I119" s="47">
        <f>SmtRes!AI28</f>
        <v>1.89</v>
      </c>
      <c r="J119" s="48">
        <f>ROUND(H119*I119, 2)</f>
        <v>9073.61</v>
      </c>
      <c r="K119" s="47"/>
      <c r="L119" s="48">
        <f>SmtRes!DF28</f>
        <v>241</v>
      </c>
    </row>
    <row r="120" spans="1:83" ht="28.5">
      <c r="A120" s="44"/>
      <c r="B120" s="44" t="s">
        <v>288</v>
      </c>
      <c r="C120" s="44" t="s">
        <v>290</v>
      </c>
      <c r="D120" s="45" t="s">
        <v>113</v>
      </c>
      <c r="E120" s="46">
        <v>0.66</v>
      </c>
      <c r="F120" s="46"/>
      <c r="G120" s="46">
        <f>SmtRes!CX29</f>
        <v>6.6000000000000003E-2</v>
      </c>
      <c r="H120" s="48"/>
      <c r="I120" s="47"/>
      <c r="J120" s="48">
        <f>SmtRes!CZ29</f>
        <v>5769.31</v>
      </c>
      <c r="K120" s="47"/>
      <c r="L120" s="48">
        <f>SmtRes!DF29</f>
        <v>380.77</v>
      </c>
    </row>
    <row r="121" spans="1:83" ht="28.5">
      <c r="A121" s="44"/>
      <c r="B121" s="44" t="str">
        <f>EtalonRes!I30</f>
        <v>05.1.02.08</v>
      </c>
      <c r="C121" s="52" t="str">
        <f>EtalonRes!K30</f>
        <v>Трубы железобетонные безнапорные раструбные</v>
      </c>
      <c r="D121" s="53" t="str">
        <f>EtalonRes!O30</f>
        <v>м</v>
      </c>
      <c r="E121" s="54">
        <f>EtalonRes!X30</f>
        <v>99.7</v>
      </c>
      <c r="F121" s="54"/>
      <c r="G121" s="54">
        <f>ROUND(EtalonRes!AG30*Source!I28, 7)</f>
        <v>9.9700000000000006</v>
      </c>
      <c r="H121" s="55"/>
      <c r="I121" s="56"/>
      <c r="J121" s="55"/>
      <c r="K121" s="56"/>
      <c r="L121" s="55"/>
    </row>
    <row r="122" spans="1:83" ht="15">
      <c r="A122" s="44"/>
      <c r="B122" s="44"/>
      <c r="C122" s="59" t="s">
        <v>393</v>
      </c>
      <c r="D122" s="45"/>
      <c r="E122" s="46"/>
      <c r="F122" s="46"/>
      <c r="G122" s="46"/>
      <c r="H122" s="48"/>
      <c r="I122" s="47"/>
      <c r="J122" s="48"/>
      <c r="K122" s="47"/>
      <c r="L122" s="48">
        <f>L107+L109+L110+L115</f>
        <v>18026.59</v>
      </c>
    </row>
    <row r="123" spans="1:83" ht="14.25">
      <c r="A123" s="44"/>
      <c r="B123" s="44"/>
      <c r="C123" s="44" t="s">
        <v>394</v>
      </c>
      <c r="D123" s="45"/>
      <c r="E123" s="46"/>
      <c r="F123" s="46"/>
      <c r="G123" s="46"/>
      <c r="H123" s="48"/>
      <c r="I123" s="47"/>
      <c r="J123" s="48"/>
      <c r="K123" s="47"/>
      <c r="L123" s="48">
        <f>SUM(AR105:AR126)+SUM(AS105:AS126)+SUM(AT105:AT126)+SUM(AU105:AU126)+SUM(AV105:AV126)</f>
        <v>9017.4</v>
      </c>
    </row>
    <row r="124" spans="1:83" ht="42.75">
      <c r="A124" s="44"/>
      <c r="B124" s="44" t="s">
        <v>38</v>
      </c>
      <c r="C124" s="44" t="s">
        <v>405</v>
      </c>
      <c r="D124" s="45" t="s">
        <v>396</v>
      </c>
      <c r="E124" s="46">
        <f>Source!BZ28</f>
        <v>117</v>
      </c>
      <c r="F124" s="46"/>
      <c r="G124" s="46">
        <f>Source!AT28</f>
        <v>117</v>
      </c>
      <c r="H124" s="48"/>
      <c r="I124" s="47"/>
      <c r="J124" s="48"/>
      <c r="K124" s="47"/>
      <c r="L124" s="48">
        <f>SUM(AZ105:AZ126)</f>
        <v>10550.36</v>
      </c>
    </row>
    <row r="125" spans="1:83" ht="42.75">
      <c r="A125" s="52"/>
      <c r="B125" s="52" t="s">
        <v>39</v>
      </c>
      <c r="C125" s="52" t="s">
        <v>406</v>
      </c>
      <c r="D125" s="53" t="s">
        <v>396</v>
      </c>
      <c r="E125" s="54">
        <f>Source!CA28</f>
        <v>74</v>
      </c>
      <c r="F125" s="54"/>
      <c r="G125" s="54">
        <f>Source!AU28</f>
        <v>74</v>
      </c>
      <c r="H125" s="55"/>
      <c r="I125" s="56"/>
      <c r="J125" s="55"/>
      <c r="K125" s="56"/>
      <c r="L125" s="55">
        <f>SUM(BA105:BA126)</f>
        <v>6672.88</v>
      </c>
    </row>
    <row r="126" spans="1:83" ht="15">
      <c r="C126" s="118" t="s">
        <v>398</v>
      </c>
      <c r="D126" s="118"/>
      <c r="E126" s="118"/>
      <c r="F126" s="118"/>
      <c r="G126" s="118"/>
      <c r="H126" s="118"/>
      <c r="I126" s="119">
        <f>IF(E105&lt;&gt;0,K126/E105, 0)</f>
        <v>352498.29999999993</v>
      </c>
      <c r="J126" s="119"/>
      <c r="K126" s="119">
        <f>L107+L109+L115+L124+L125+L110</f>
        <v>35249.829999999994</v>
      </c>
      <c r="L126" s="119"/>
      <c r="AD126">
        <f>ROUND((Source!AT28/100)*((ROUND(SUMIF(SmtRes!AQ21:'SmtRes'!AQ30,"=1",SmtRes!AD21:'SmtRes'!AD30)*Source!I28, 2)+ROUND(SUMIF(SmtRes!AQ21:'SmtRes'!AQ30,"=1",SmtRes!AC21:'SmtRes'!AC30)*Source!I28, 2))), 2)</f>
        <v>184.04</v>
      </c>
      <c r="AE126">
        <f>ROUND((Source!AU28/100)*((ROUND(SUMIF(SmtRes!AQ21:'SmtRes'!AQ30,"=1",SmtRes!AD21:'SmtRes'!AD30)*Source!I28, 2)+ROUND(SUMIF(SmtRes!AQ21:'SmtRes'!AQ30,"=1",SmtRes!AC21:'SmtRes'!AC30)*Source!I28, 2))), 2)</f>
        <v>116.4</v>
      </c>
      <c r="AN126" s="57">
        <f>L107+L109+L115+L124+L125+L110</f>
        <v>35249.829999999994</v>
      </c>
      <c r="AO126" s="57">
        <f>L109</f>
        <v>6147.01</v>
      </c>
      <c r="AQ126" t="s">
        <v>399</v>
      </c>
      <c r="AR126" s="57">
        <f>L107</f>
        <v>8119.52</v>
      </c>
      <c r="AT126" s="57">
        <f>L110</f>
        <v>897.88</v>
      </c>
      <c r="AV126" t="s">
        <v>399</v>
      </c>
      <c r="AW126" s="57">
        <f>L115</f>
        <v>2862.18</v>
      </c>
      <c r="AZ126">
        <f>Source!X28</f>
        <v>10550.36</v>
      </c>
      <c r="BA126">
        <f>Source!Y28</f>
        <v>6672.88</v>
      </c>
      <c r="CD126">
        <v>1</v>
      </c>
    </row>
    <row r="127" spans="1:83" s="90" customFormat="1" ht="57">
      <c r="A127" s="84" t="s">
        <v>59</v>
      </c>
      <c r="B127" s="85" t="s">
        <v>410</v>
      </c>
      <c r="C127" s="85" t="str">
        <f>Source!G30</f>
        <v>Засыпка траншей и котлованов с перемещением грунта до 5 м бульдозерами мощностью: 303 кВт (410 л.с.), группа грунтов 1</v>
      </c>
      <c r="D127" s="86" t="str">
        <f>Source!H30</f>
        <v>1000 м3</v>
      </c>
      <c r="E127" s="87">
        <f>Source!K30</f>
        <v>0.1</v>
      </c>
      <c r="F127" s="87"/>
      <c r="G127" s="87">
        <f>Source!I30</f>
        <v>0.1</v>
      </c>
      <c r="H127" s="88"/>
      <c r="I127" s="89"/>
      <c r="J127" s="88"/>
      <c r="K127" s="89"/>
      <c r="L127" s="88"/>
    </row>
    <row r="128" spans="1:83" s="90" customFormat="1">
      <c r="C128" s="91" t="str">
        <f>"Объем: "&amp;Source!I30&amp;"=100/"&amp;"1000"</f>
        <v>Объем: 0,1=100/1000</v>
      </c>
    </row>
    <row r="129" spans="1:83" s="90" customFormat="1" ht="15">
      <c r="A129" s="92"/>
      <c r="B129" s="87">
        <v>2</v>
      </c>
      <c r="C129" s="92" t="s">
        <v>390</v>
      </c>
      <c r="D129" s="86"/>
      <c r="E129" s="93"/>
      <c r="F129" s="87"/>
      <c r="G129" s="87"/>
      <c r="H129" s="87"/>
      <c r="I129" s="87"/>
      <c r="J129" s="87"/>
      <c r="K129" s="87"/>
      <c r="L129" s="94">
        <f>SUM(L130:L132)-SUMIF(CE130:CE132, 1, L130:L132)</f>
        <v>504.48999999999995</v>
      </c>
    </row>
    <row r="130" spans="1:83" s="90" customFormat="1" ht="15">
      <c r="A130" s="92"/>
      <c r="B130" s="87"/>
      <c r="C130" s="92" t="s">
        <v>392</v>
      </c>
      <c r="D130" s="86" t="s">
        <v>258</v>
      </c>
      <c r="E130" s="93"/>
      <c r="F130" s="87"/>
      <c r="G130" s="87">
        <f>Source!V30</f>
        <v>0.09</v>
      </c>
      <c r="H130" s="87"/>
      <c r="I130" s="87"/>
      <c r="J130" s="87"/>
      <c r="K130" s="87"/>
      <c r="L130" s="94">
        <f>SUMIF(CE131:CE132, 1, L131:L132)</f>
        <v>63.66</v>
      </c>
      <c r="CE130" s="90">
        <v>1</v>
      </c>
    </row>
    <row r="131" spans="1:83" s="90" customFormat="1" ht="28.5">
      <c r="A131" s="85"/>
      <c r="B131" s="85" t="s">
        <v>69</v>
      </c>
      <c r="C131" s="85" t="s">
        <v>70</v>
      </c>
      <c r="D131" s="86" t="s">
        <v>66</v>
      </c>
      <c r="E131" s="87">
        <v>0.9</v>
      </c>
      <c r="F131" s="87"/>
      <c r="G131" s="87">
        <f>SmtRes!CX32</f>
        <v>0.09</v>
      </c>
      <c r="H131" s="88"/>
      <c r="I131" s="89"/>
      <c r="J131" s="88">
        <f>SmtRes!CZ32</f>
        <v>5605.48</v>
      </c>
      <c r="K131" s="89"/>
      <c r="L131" s="88">
        <f>SmtRes!DG32</f>
        <v>504.49</v>
      </c>
    </row>
    <row r="132" spans="1:83" s="90" customFormat="1" ht="28.5">
      <c r="A132" s="85"/>
      <c r="B132" s="85" t="s">
        <v>270</v>
      </c>
      <c r="C132" s="95" t="s">
        <v>402</v>
      </c>
      <c r="D132" s="96" t="s">
        <v>258</v>
      </c>
      <c r="E132" s="97">
        <f>SmtRes!DO32*SmtRes!AT32</f>
        <v>0.9</v>
      </c>
      <c r="F132" s="97"/>
      <c r="G132" s="97">
        <f>ROUND(E132*G127, 7)</f>
        <v>0.09</v>
      </c>
      <c r="H132" s="98"/>
      <c r="I132" s="99"/>
      <c r="J132" s="98">
        <f>ROUND(SmtRes!AG32/SmtRes!DO32, 2)</f>
        <v>707.35</v>
      </c>
      <c r="K132" s="99"/>
      <c r="L132" s="98">
        <f>SmtRes!DH32</f>
        <v>63.66</v>
      </c>
      <c r="CE132" s="90">
        <v>1</v>
      </c>
    </row>
    <row r="133" spans="1:83" s="90" customFormat="1" ht="15">
      <c r="A133" s="85"/>
      <c r="B133" s="85"/>
      <c r="C133" s="100" t="s">
        <v>393</v>
      </c>
      <c r="D133" s="86"/>
      <c r="E133" s="87"/>
      <c r="F133" s="87"/>
      <c r="G133" s="87"/>
      <c r="H133" s="88"/>
      <c r="I133" s="89"/>
      <c r="J133" s="88"/>
      <c r="K133" s="89"/>
      <c r="L133" s="88">
        <f>L129+L130</f>
        <v>568.15</v>
      </c>
    </row>
    <row r="134" spans="1:83" s="90" customFormat="1" ht="42.75">
      <c r="A134" s="84" t="s">
        <v>411</v>
      </c>
      <c r="B134" s="85" t="str">
        <f>Source!F31</f>
        <v>91.01.05-104</v>
      </c>
      <c r="C134" s="85" t="str">
        <f>Source!G31</f>
        <v>Экскаваторы одноковшовые дизельные на пневмоколесном ходу, объем ковша 0,4 м3</v>
      </c>
      <c r="D134" s="86" t="str">
        <f>Source!H31</f>
        <v>маш.-ч</v>
      </c>
      <c r="E134" s="87">
        <f>SmtRes!AT33</f>
        <v>0.9</v>
      </c>
      <c r="F134" s="87"/>
      <c r="G134" s="87">
        <f>Source!I31</f>
        <v>0.09</v>
      </c>
      <c r="H134" s="88">
        <f>Source!AL31+Source!AO31+Source!AM31+Source!AN31</f>
        <v>1660.21</v>
      </c>
      <c r="I134" s="89">
        <f>IF(Source!BB31&lt;&gt; 0, Source!BB31, 1)</f>
        <v>1.25</v>
      </c>
      <c r="J134" s="88">
        <f>ROUND(H134*I134, 2)</f>
        <v>2075.2600000000002</v>
      </c>
      <c r="K134" s="89"/>
      <c r="L134" s="88">
        <f>Source!Q31</f>
        <v>130.82</v>
      </c>
      <c r="AD134" s="90">
        <f>ROUND((Source!AT31/100)*((ROUND(ROUND(Source!AO31,2)*Source!I31, 2)+ROUND(ROUND(Source!AN31,2)*Source!I31, 2))), 2)</f>
        <v>41.19</v>
      </c>
      <c r="AE134" s="90">
        <f>ROUND((Source!AU31/100)*((ROUND(ROUND(Source!AO31,2)*Source!I31, 2)+ROUND(ROUND(Source!AN31,2)*Source!I31, 2))), 2)</f>
        <v>20.59</v>
      </c>
      <c r="AN134" s="90">
        <f>L134</f>
        <v>130.82</v>
      </c>
      <c r="AO134" s="90">
        <f>L134</f>
        <v>130.82</v>
      </c>
      <c r="AT134" s="90">
        <f>Source!R31</f>
        <v>44.77</v>
      </c>
      <c r="AZ134" s="90">
        <f>Source!X31</f>
        <v>41.19</v>
      </c>
      <c r="BA134" s="90">
        <f>Source!Y31</f>
        <v>20.59</v>
      </c>
      <c r="CD134" s="90">
        <v>1</v>
      </c>
    </row>
    <row r="135" spans="1:83" s="90" customFormat="1" ht="28.5">
      <c r="A135" s="85"/>
      <c r="B135" s="85" t="s">
        <v>264</v>
      </c>
      <c r="C135" s="85" t="s">
        <v>391</v>
      </c>
      <c r="D135" s="86" t="s">
        <v>258</v>
      </c>
      <c r="E135" s="87">
        <f>SmtRes!DO33*SmtRes!AT33</f>
        <v>0.9</v>
      </c>
      <c r="F135" s="87"/>
      <c r="G135" s="87">
        <f>ROUND(E135*G127, 7)</f>
        <v>0.09</v>
      </c>
      <c r="H135" s="88"/>
      <c r="I135" s="89"/>
      <c r="J135" s="88">
        <f>ROUND(SmtRes!AG33/SmtRes!DO33, 2)</f>
        <v>497.4</v>
      </c>
      <c r="K135" s="89"/>
      <c r="L135" s="88">
        <f>SmtRes!DH33</f>
        <v>44.77</v>
      </c>
      <c r="CE135" s="90">
        <v>1</v>
      </c>
    </row>
    <row r="136" spans="1:83" s="90" customFormat="1" ht="14.25">
      <c r="A136" s="85"/>
      <c r="B136" s="85"/>
      <c r="C136" s="85" t="s">
        <v>394</v>
      </c>
      <c r="D136" s="86"/>
      <c r="E136" s="87"/>
      <c r="F136" s="87"/>
      <c r="G136" s="87"/>
      <c r="H136" s="88"/>
      <c r="I136" s="89"/>
      <c r="J136" s="88"/>
      <c r="K136" s="89"/>
      <c r="L136" s="88">
        <f>SUM(AR127:AR139)+SUM(AS127:AS139)+SUM(AT127:AT139)+SUM(AU127:AU139)+SUM(AV127:AV139)</f>
        <v>108.43</v>
      </c>
    </row>
    <row r="137" spans="1:83" s="90" customFormat="1" ht="28.5">
      <c r="A137" s="85"/>
      <c r="B137" s="85" t="s">
        <v>25</v>
      </c>
      <c r="C137" s="85" t="s">
        <v>395</v>
      </c>
      <c r="D137" s="86" t="s">
        <v>396</v>
      </c>
      <c r="E137" s="87">
        <f>Source!BZ30</f>
        <v>92</v>
      </c>
      <c r="F137" s="87"/>
      <c r="G137" s="87">
        <f>Source!AT30</f>
        <v>92</v>
      </c>
      <c r="H137" s="88"/>
      <c r="I137" s="89"/>
      <c r="J137" s="88"/>
      <c r="K137" s="89"/>
      <c r="L137" s="88">
        <f>SUM(AZ127:AZ139)</f>
        <v>99.759999999999991</v>
      </c>
    </row>
    <row r="138" spans="1:83" s="90" customFormat="1" ht="28.5">
      <c r="A138" s="95"/>
      <c r="B138" s="95" t="s">
        <v>26</v>
      </c>
      <c r="C138" s="95" t="s">
        <v>397</v>
      </c>
      <c r="D138" s="96" t="s">
        <v>396</v>
      </c>
      <c r="E138" s="97">
        <f>Source!CA30</f>
        <v>46</v>
      </c>
      <c r="F138" s="97"/>
      <c r="G138" s="97">
        <f>Source!AU30</f>
        <v>46</v>
      </c>
      <c r="H138" s="98"/>
      <c r="I138" s="99"/>
      <c r="J138" s="98"/>
      <c r="K138" s="99"/>
      <c r="L138" s="98">
        <f>SUM(BA127:BA139)</f>
        <v>49.870000000000005</v>
      </c>
    </row>
    <row r="139" spans="1:83" s="90" customFormat="1" ht="15">
      <c r="C139" s="115" t="s">
        <v>398</v>
      </c>
      <c r="D139" s="115"/>
      <c r="E139" s="115"/>
      <c r="F139" s="115"/>
      <c r="G139" s="115"/>
      <c r="H139" s="115"/>
      <c r="I139" s="116">
        <f>IF(E127&lt;&gt;0,K139/E127, 0)</f>
        <v>8933.6999999999989</v>
      </c>
      <c r="J139" s="116"/>
      <c r="K139" s="116">
        <f>L129+L137+L138+L130+SUM(L134:L135)</f>
        <v>893.37</v>
      </c>
      <c r="L139" s="116"/>
      <c r="AD139" s="90">
        <f>ROUND((Source!AT30/100)*((ROUND(SUMIF(SmtRes!AQ31:'SmtRes'!AQ33,"=1",SmtRes!AD31:'SmtRes'!AD33)*Source!I30, 2)+ROUND(SUMIF(SmtRes!AQ31:'SmtRes'!AQ33,"=1",SmtRes!AC31:'SmtRes'!AC33)*Source!I30, 2))), 2)</f>
        <v>65.08</v>
      </c>
      <c r="AE139" s="90">
        <f>ROUND((Source!AU30/100)*((ROUND(SUMIF(SmtRes!AQ31:'SmtRes'!AQ33,"=1",SmtRes!AD31:'SmtRes'!AD33)*Source!I30, 2)+ROUND(SUMIF(SmtRes!AQ31:'SmtRes'!AQ33,"=1",SmtRes!AC31:'SmtRes'!AC33)*Source!I30, 2))), 2)</f>
        <v>32.54</v>
      </c>
      <c r="AN139" s="101">
        <f>L129+L137+L138+L130</f>
        <v>717.78</v>
      </c>
      <c r="AO139" s="101">
        <f>L129</f>
        <v>504.48999999999995</v>
      </c>
      <c r="AQ139" s="90" t="s">
        <v>399</v>
      </c>
      <c r="AR139" s="90">
        <f>0</f>
        <v>0</v>
      </c>
      <c r="AT139" s="101">
        <f>L130</f>
        <v>63.66</v>
      </c>
      <c r="AV139" s="90" t="s">
        <v>399</v>
      </c>
      <c r="AW139" s="90">
        <f>0</f>
        <v>0</v>
      </c>
      <c r="AZ139" s="90">
        <f>Source!X30</f>
        <v>58.57</v>
      </c>
      <c r="BA139" s="90">
        <f>Source!Y30</f>
        <v>29.28</v>
      </c>
      <c r="CD139" s="90">
        <v>1</v>
      </c>
    </row>
    <row r="140" spans="1:83" s="90" customFormat="1" ht="28.5">
      <c r="A140" s="84" t="s">
        <v>68</v>
      </c>
      <c r="B140" s="85" t="str">
        <f>Source!F32</f>
        <v>91.01.01-046</v>
      </c>
      <c r="C140" s="85" t="str">
        <f>Source!G32</f>
        <v>Бульдозеры, мощность 303 кВт (410 л.с.)</v>
      </c>
      <c r="D140" s="86" t="str">
        <f>Source!H32</f>
        <v>маш.-ч</v>
      </c>
      <c r="E140" s="87">
        <f>Source!K32</f>
        <v>-0.09</v>
      </c>
      <c r="F140" s="87"/>
      <c r="G140" s="87">
        <f>Source!I32</f>
        <v>-0.09</v>
      </c>
      <c r="H140" s="88"/>
      <c r="I140" s="89"/>
      <c r="J140" s="88">
        <f>Source!AM32</f>
        <v>5605.48</v>
      </c>
      <c r="K140" s="89"/>
      <c r="L140" s="88">
        <f>Source!Q32</f>
        <v>-504.49</v>
      </c>
    </row>
    <row r="141" spans="1:83" s="90" customFormat="1">
      <c r="C141" s="91" t="str">
        <f>"Объем: "&amp;Source!I32&amp;"=-"&amp;"0,09"</f>
        <v>Объем: -0,09=-0,09</v>
      </c>
    </row>
    <row r="142" spans="1:83" s="90" customFormat="1" ht="14.25">
      <c r="A142" s="95"/>
      <c r="B142" s="95"/>
      <c r="C142" s="95" t="s">
        <v>394</v>
      </c>
      <c r="D142" s="96"/>
      <c r="E142" s="97"/>
      <c r="F142" s="97"/>
      <c r="G142" s="97"/>
      <c r="H142" s="98"/>
      <c r="I142" s="99"/>
      <c r="J142" s="98"/>
      <c r="K142" s="99"/>
      <c r="L142" s="98">
        <f>SUM(AR140:AR143)+SUM(AS140:AS143)+SUM(AT140:AT143)+SUM(AU140:AU143)+SUM(AV140:AV143)</f>
        <v>0</v>
      </c>
    </row>
    <row r="143" spans="1:83" s="90" customFormat="1" ht="15">
      <c r="C143" s="115" t="s">
        <v>398</v>
      </c>
      <c r="D143" s="115"/>
      <c r="E143" s="115"/>
      <c r="F143" s="115"/>
      <c r="G143" s="115"/>
      <c r="H143" s="115"/>
      <c r="I143" s="116">
        <f>IF(E140&lt;&gt;0,K143/E140, 0)</f>
        <v>5605.4444444444443</v>
      </c>
      <c r="J143" s="116"/>
      <c r="K143" s="116">
        <f>L140</f>
        <v>-504.49</v>
      </c>
      <c r="L143" s="116"/>
      <c r="AD143" s="90">
        <f>ROUND((Source!AT32/100)*((ROUND(ROUND(Source!AO32,2)*Source!I32, 2)+ROUND(ROUND(Source!AN32,2)*Source!I32, 2))), 2)</f>
        <v>0</v>
      </c>
      <c r="AE143" s="90">
        <f>ROUND((Source!AU32/100)*((ROUND(ROUND(Source!AO32,2)*Source!I32, 2)+ROUND(ROUND(Source!AN32,2)*Source!I32, 2))), 2)</f>
        <v>0</v>
      </c>
      <c r="AN143" s="101">
        <f>L140</f>
        <v>-504.49</v>
      </c>
      <c r="AO143" s="101">
        <f>L140</f>
        <v>-504.49</v>
      </c>
      <c r="AQ143" s="90" t="s">
        <v>399</v>
      </c>
      <c r="AR143" s="90">
        <f>0</f>
        <v>0</v>
      </c>
      <c r="AT143" s="90">
        <f>0</f>
        <v>0</v>
      </c>
      <c r="AV143" s="90" t="s">
        <v>399</v>
      </c>
      <c r="AW143" s="90">
        <f>0</f>
        <v>0</v>
      </c>
      <c r="AZ143" s="90">
        <f>Source!X32</f>
        <v>0</v>
      </c>
      <c r="BA143" s="90">
        <f>Source!Y32</f>
        <v>0</v>
      </c>
      <c r="CD143" s="90">
        <v>1</v>
      </c>
    </row>
    <row r="144" spans="1:83" ht="71.25">
      <c r="A144" s="42" t="s">
        <v>75</v>
      </c>
      <c r="B144" s="44" t="s">
        <v>412</v>
      </c>
      <c r="C144" s="44" t="str">
        <f>Source!G33</f>
        <v>Нанесение нормальной антикоррозионной изоляции из полимерных липких лент на стыки и фасонные части стальных трубопроводов диаметром: 1000 мм</v>
      </c>
      <c r="D144" s="45" t="str">
        <f>Source!H33</f>
        <v>км</v>
      </c>
      <c r="E144" s="46">
        <f>Source!K33</f>
        <v>1E-3</v>
      </c>
      <c r="F144" s="46"/>
      <c r="G144" s="46">
        <f>Source!I33</f>
        <v>1E-3</v>
      </c>
      <c r="H144" s="48"/>
      <c r="I144" s="47"/>
      <c r="J144" s="48"/>
      <c r="K144" s="47"/>
      <c r="L144" s="48"/>
    </row>
    <row r="145" spans="1:83" ht="15">
      <c r="A145" s="43"/>
      <c r="B145" s="46">
        <v>1</v>
      </c>
      <c r="C145" s="43" t="s">
        <v>389</v>
      </c>
      <c r="D145" s="45" t="s">
        <v>258</v>
      </c>
      <c r="E145" s="50"/>
      <c r="F145" s="46"/>
      <c r="G145" s="46">
        <f>Source!U33</f>
        <v>0.14000000000000001</v>
      </c>
      <c r="H145" s="46"/>
      <c r="I145" s="46"/>
      <c r="J145" s="46"/>
      <c r="K145" s="46"/>
      <c r="L145" s="51">
        <f>SUM(L146:L146)-SUMIF(CE146:CE146, 1, L146:L146)</f>
        <v>62.4</v>
      </c>
    </row>
    <row r="146" spans="1:83" ht="14.25">
      <c r="A146" s="44"/>
      <c r="B146" s="44" t="s">
        <v>306</v>
      </c>
      <c r="C146" s="44" t="s">
        <v>307</v>
      </c>
      <c r="D146" s="45" t="s">
        <v>258</v>
      </c>
      <c r="E146" s="46">
        <v>140</v>
      </c>
      <c r="F146" s="46"/>
      <c r="G146" s="46">
        <f>SmtRes!CX35</f>
        <v>0.14000000000000001</v>
      </c>
      <c r="H146" s="48"/>
      <c r="I146" s="47"/>
      <c r="J146" s="48">
        <f>SmtRes!CZ35</f>
        <v>445.73</v>
      </c>
      <c r="K146" s="47"/>
      <c r="L146" s="48">
        <f>SmtRes!DI35</f>
        <v>62.4</v>
      </c>
    </row>
    <row r="147" spans="1:83" ht="15">
      <c r="A147" s="43"/>
      <c r="B147" s="46">
        <v>2</v>
      </c>
      <c r="C147" s="43" t="s">
        <v>390</v>
      </c>
      <c r="D147" s="45"/>
      <c r="E147" s="50"/>
      <c r="F147" s="46"/>
      <c r="G147" s="46"/>
      <c r="H147" s="46"/>
      <c r="I147" s="46"/>
      <c r="J147" s="46"/>
      <c r="K147" s="46"/>
      <c r="L147" s="51">
        <f>SUM(L148:L154)-SUMIF(CE148:CE154, 1, L148:L154)</f>
        <v>62.05</v>
      </c>
    </row>
    <row r="148" spans="1:83" ht="15">
      <c r="A148" s="43"/>
      <c r="B148" s="46"/>
      <c r="C148" s="43" t="s">
        <v>392</v>
      </c>
      <c r="D148" s="45" t="s">
        <v>258</v>
      </c>
      <c r="E148" s="50"/>
      <c r="F148" s="46"/>
      <c r="G148" s="46">
        <f>Source!V33</f>
        <v>2.317E-2</v>
      </c>
      <c r="H148" s="46"/>
      <c r="I148" s="46"/>
      <c r="J148" s="46"/>
      <c r="K148" s="46"/>
      <c r="L148" s="51">
        <f>SUMIF(CE149:CE154, 1, L149:L154)</f>
        <v>13.379999999999999</v>
      </c>
      <c r="CE148">
        <v>1</v>
      </c>
    </row>
    <row r="149" spans="1:83" ht="28.5">
      <c r="A149" s="44"/>
      <c r="B149" s="44" t="s">
        <v>267</v>
      </c>
      <c r="C149" s="44" t="s">
        <v>269</v>
      </c>
      <c r="D149" s="45" t="s">
        <v>66</v>
      </c>
      <c r="E149" s="46">
        <v>12.18</v>
      </c>
      <c r="F149" s="46"/>
      <c r="G149" s="46">
        <f>SmtRes!CX37</f>
        <v>1.218E-2</v>
      </c>
      <c r="H149" s="48">
        <f>SmtRes!CZ37</f>
        <v>4403.5600000000004</v>
      </c>
      <c r="I149" s="47">
        <f>SmtRes!AJ37</f>
        <v>1.1200000000000001</v>
      </c>
      <c r="J149" s="48">
        <f>ROUND(H149*I149, 2)</f>
        <v>4931.99</v>
      </c>
      <c r="K149" s="47"/>
      <c r="L149" s="48">
        <f>SmtRes!DG37</f>
        <v>60.07</v>
      </c>
    </row>
    <row r="150" spans="1:83" ht="28.5">
      <c r="A150" s="44"/>
      <c r="B150" s="44" t="s">
        <v>270</v>
      </c>
      <c r="C150" s="44" t="s">
        <v>402</v>
      </c>
      <c r="D150" s="45" t="s">
        <v>258</v>
      </c>
      <c r="E150" s="46">
        <f>SmtRes!DO37*SmtRes!AT37</f>
        <v>12.18</v>
      </c>
      <c r="F150" s="46"/>
      <c r="G150" s="46">
        <f>ROUND(E150*G144, 7)</f>
        <v>1.218E-2</v>
      </c>
      <c r="H150" s="48"/>
      <c r="I150" s="47"/>
      <c r="J150" s="48">
        <f>ROUND(SmtRes!AG37/SmtRes!DO37, 2)</f>
        <v>707.35</v>
      </c>
      <c r="K150" s="47"/>
      <c r="L150" s="48">
        <f>SmtRes!DH37</f>
        <v>8.6199999999999992</v>
      </c>
      <c r="CE150">
        <v>1</v>
      </c>
    </row>
    <row r="151" spans="1:83" ht="28.5">
      <c r="A151" s="44"/>
      <c r="B151" s="44" t="s">
        <v>271</v>
      </c>
      <c r="C151" s="44" t="s">
        <v>273</v>
      </c>
      <c r="D151" s="45" t="s">
        <v>66</v>
      </c>
      <c r="E151" s="46">
        <v>1.06</v>
      </c>
      <c r="F151" s="46"/>
      <c r="G151" s="46">
        <f>SmtRes!CX38</f>
        <v>1.06E-3</v>
      </c>
      <c r="H151" s="48"/>
      <c r="I151" s="47"/>
      <c r="J151" s="48">
        <f>SmtRes!CZ38</f>
        <v>652.84</v>
      </c>
      <c r="K151" s="47"/>
      <c r="L151" s="48">
        <f>SmtRes!DG38</f>
        <v>0.69</v>
      </c>
    </row>
    <row r="152" spans="1:83" ht="28.5">
      <c r="A152" s="44"/>
      <c r="B152" s="44" t="s">
        <v>274</v>
      </c>
      <c r="C152" s="44" t="s">
        <v>403</v>
      </c>
      <c r="D152" s="45" t="s">
        <v>258</v>
      </c>
      <c r="E152" s="46">
        <f>SmtRes!DO38*SmtRes!AT38</f>
        <v>1.06</v>
      </c>
      <c r="F152" s="46"/>
      <c r="G152" s="46">
        <f>ROUND(E152*G144, 7)</f>
        <v>1.06E-3</v>
      </c>
      <c r="H152" s="48"/>
      <c r="I152" s="47"/>
      <c r="J152" s="48">
        <f>ROUND(SmtRes!AG38/SmtRes!DO38, 2)</f>
        <v>432.81</v>
      </c>
      <c r="K152" s="47"/>
      <c r="L152" s="48">
        <f>SmtRes!DH38</f>
        <v>0.46</v>
      </c>
      <c r="CE152">
        <v>1</v>
      </c>
    </row>
    <row r="153" spans="1:83" ht="28.5">
      <c r="A153" s="44"/>
      <c r="B153" s="44" t="s">
        <v>308</v>
      </c>
      <c r="C153" s="44" t="s">
        <v>310</v>
      </c>
      <c r="D153" s="45" t="s">
        <v>66</v>
      </c>
      <c r="E153" s="46">
        <v>9.93</v>
      </c>
      <c r="F153" s="46"/>
      <c r="G153" s="46">
        <f>SmtRes!CX39</f>
        <v>9.9299999999999996E-3</v>
      </c>
      <c r="H153" s="48"/>
      <c r="I153" s="47"/>
      <c r="J153" s="48">
        <f>SmtRes!CZ39</f>
        <v>130.38999999999999</v>
      </c>
      <c r="K153" s="47"/>
      <c r="L153" s="48">
        <f>SmtRes!DG39</f>
        <v>1.29</v>
      </c>
    </row>
    <row r="154" spans="1:83" ht="28.5">
      <c r="A154" s="44"/>
      <c r="B154" s="44" t="s">
        <v>274</v>
      </c>
      <c r="C154" s="44" t="s">
        <v>403</v>
      </c>
      <c r="D154" s="45" t="s">
        <v>258</v>
      </c>
      <c r="E154" s="46">
        <f>SmtRes!DO39*SmtRes!AT39</f>
        <v>9.93</v>
      </c>
      <c r="F154" s="46"/>
      <c r="G154" s="46">
        <f>ROUND(E154*G144, 7)</f>
        <v>9.9299999999999996E-3</v>
      </c>
      <c r="H154" s="48"/>
      <c r="I154" s="47"/>
      <c r="J154" s="48">
        <f>ROUND(SmtRes!AG39/SmtRes!DO39, 2)</f>
        <v>432.81</v>
      </c>
      <c r="K154" s="47"/>
      <c r="L154" s="48">
        <f>SmtRes!DH39</f>
        <v>4.3</v>
      </c>
      <c r="CE154">
        <v>1</v>
      </c>
    </row>
    <row r="155" spans="1:83" ht="15">
      <c r="A155" s="43"/>
      <c r="B155" s="46">
        <v>4</v>
      </c>
      <c r="C155" s="43" t="s">
        <v>404</v>
      </c>
      <c r="D155" s="45"/>
      <c r="E155" s="50"/>
      <c r="F155" s="46"/>
      <c r="G155" s="46"/>
      <c r="H155" s="46"/>
      <c r="I155" s="46"/>
      <c r="J155" s="46"/>
      <c r="K155" s="46"/>
      <c r="L155" s="51">
        <f>SUM(L156:L159)-SUMIF(CE156:CE159, 1, L156:L159)</f>
        <v>67.900000000000006</v>
      </c>
    </row>
    <row r="156" spans="1:83" ht="57">
      <c r="A156" s="44"/>
      <c r="B156" s="44" t="s">
        <v>311</v>
      </c>
      <c r="C156" s="44" t="s">
        <v>313</v>
      </c>
      <c r="D156" s="45" t="s">
        <v>89</v>
      </c>
      <c r="E156" s="46">
        <v>478</v>
      </c>
      <c r="F156" s="46"/>
      <c r="G156" s="46">
        <f>SmtRes!CX40</f>
        <v>0.47799999999999998</v>
      </c>
      <c r="H156" s="48">
        <f>SmtRes!CZ40</f>
        <v>62.74</v>
      </c>
      <c r="I156" s="47">
        <f>SmtRes!AI40</f>
        <v>1.97</v>
      </c>
      <c r="J156" s="48">
        <f>ROUND(H156*I156, 2)</f>
        <v>123.6</v>
      </c>
      <c r="K156" s="47"/>
      <c r="L156" s="48">
        <f>SmtRes!DF40</f>
        <v>59.08</v>
      </c>
    </row>
    <row r="157" spans="1:83" ht="14.25">
      <c r="A157" s="44"/>
      <c r="B157" s="44" t="s">
        <v>314</v>
      </c>
      <c r="C157" s="44" t="s">
        <v>316</v>
      </c>
      <c r="D157" s="45" t="s">
        <v>89</v>
      </c>
      <c r="E157" s="46">
        <v>0.8</v>
      </c>
      <c r="F157" s="46"/>
      <c r="G157" s="46">
        <f>SmtRes!CX41</f>
        <v>8.0000000000000004E-4</v>
      </c>
      <c r="H157" s="48">
        <f>SmtRes!CZ41</f>
        <v>108.68</v>
      </c>
      <c r="I157" s="47">
        <f>SmtRes!AI41</f>
        <v>1.61</v>
      </c>
      <c r="J157" s="48">
        <f>ROUND(H157*I157, 2)</f>
        <v>174.97</v>
      </c>
      <c r="K157" s="47"/>
      <c r="L157" s="48">
        <f>SmtRes!DF41</f>
        <v>0.14000000000000001</v>
      </c>
    </row>
    <row r="158" spans="1:83" ht="28.5">
      <c r="A158" s="44"/>
      <c r="B158" s="44" t="s">
        <v>317</v>
      </c>
      <c r="C158" s="44" t="s">
        <v>319</v>
      </c>
      <c r="D158" s="45" t="s">
        <v>320</v>
      </c>
      <c r="E158" s="46">
        <v>0.1</v>
      </c>
      <c r="F158" s="46"/>
      <c r="G158" s="46">
        <f>SmtRes!CX42</f>
        <v>1E-4</v>
      </c>
      <c r="H158" s="48">
        <f>SmtRes!CZ42</f>
        <v>592.04</v>
      </c>
      <c r="I158" s="47">
        <f>SmtRes!AI42</f>
        <v>1.61</v>
      </c>
      <c r="J158" s="48">
        <f>ROUND(H158*I158, 2)</f>
        <v>953.18</v>
      </c>
      <c r="K158" s="47"/>
      <c r="L158" s="48">
        <f>SmtRes!DF42</f>
        <v>0.1</v>
      </c>
    </row>
    <row r="159" spans="1:83" ht="28.5">
      <c r="A159" s="44"/>
      <c r="B159" s="44" t="s">
        <v>321</v>
      </c>
      <c r="C159" s="44" t="s">
        <v>323</v>
      </c>
      <c r="D159" s="45" t="s">
        <v>84</v>
      </c>
      <c r="E159" s="46">
        <v>1.2500000000000001E-2</v>
      </c>
      <c r="F159" s="46"/>
      <c r="G159" s="46">
        <f>SmtRes!CX44</f>
        <v>1.2500000000000001E-5</v>
      </c>
      <c r="H159" s="48">
        <f>SmtRes!CZ44</f>
        <v>442593.68</v>
      </c>
      <c r="I159" s="47">
        <f>SmtRes!AI44</f>
        <v>1.55</v>
      </c>
      <c r="J159" s="48">
        <f>ROUND(H159*I159, 2)</f>
        <v>686020.2</v>
      </c>
      <c r="K159" s="47"/>
      <c r="L159" s="48">
        <f>SmtRes!DF44</f>
        <v>8.58</v>
      </c>
    </row>
    <row r="160" spans="1:83" ht="14.25">
      <c r="A160" s="44"/>
      <c r="B160" s="44" t="str">
        <f>EtalonRes!I39</f>
        <v>01.2.03.02</v>
      </c>
      <c r="C160" s="44" t="str">
        <f>EtalonRes!K39</f>
        <v>Грунтовка битумная</v>
      </c>
      <c r="D160" s="45" t="str">
        <f>EtalonRes!O39</f>
        <v>т</v>
      </c>
      <c r="E160" s="46">
        <f>EtalonRes!X39</f>
        <v>0</v>
      </c>
      <c r="F160" s="46"/>
      <c r="G160" s="46">
        <f>ROUND(EtalonRes!AG39*Source!I33, 7)</f>
        <v>0</v>
      </c>
      <c r="H160" s="48"/>
      <c r="I160" s="47"/>
      <c r="J160" s="48"/>
      <c r="K160" s="47"/>
      <c r="L160" s="48"/>
    </row>
    <row r="161" spans="1:83" ht="28.5">
      <c r="A161" s="44"/>
      <c r="B161" s="44" t="str">
        <f>EtalonRes!I43</f>
        <v>12.1.02.15</v>
      </c>
      <c r="C161" s="52" t="str">
        <f>EtalonRes!K43</f>
        <v>Материалы гидроизоляционные рулонные</v>
      </c>
      <c r="D161" s="53" t="str">
        <f>EtalonRes!O43</f>
        <v>м2</v>
      </c>
      <c r="E161" s="54">
        <f>EtalonRes!X43</f>
        <v>850</v>
      </c>
      <c r="F161" s="54"/>
      <c r="G161" s="54">
        <f>ROUND(EtalonRes!AG43*Source!I33, 7)</f>
        <v>0.85</v>
      </c>
      <c r="H161" s="55"/>
      <c r="I161" s="56"/>
      <c r="J161" s="55"/>
      <c r="K161" s="56"/>
      <c r="L161" s="55"/>
    </row>
    <row r="162" spans="1:83" ht="15">
      <c r="A162" s="44"/>
      <c r="B162" s="44"/>
      <c r="C162" s="59" t="s">
        <v>393</v>
      </c>
      <c r="D162" s="45"/>
      <c r="E162" s="46"/>
      <c r="F162" s="46"/>
      <c r="G162" s="46"/>
      <c r="H162" s="48"/>
      <c r="I162" s="47"/>
      <c r="J162" s="48"/>
      <c r="K162" s="47"/>
      <c r="L162" s="48">
        <f>L145+L147+L148+L155</f>
        <v>205.73</v>
      </c>
    </row>
    <row r="163" spans="1:83" ht="85.5">
      <c r="A163" s="42" t="s">
        <v>413</v>
      </c>
      <c r="B163" s="44" t="str">
        <f>Source!F34</f>
        <v>14.4.01.15-1002</v>
      </c>
      <c r="C163" s="44" t="str">
        <f>Source!G34</f>
        <v>Грунтовка полимерная для повышения адгезии битумно-полимерных мастик и герметиков при герметизации деформационных швов асфальтобетонных и цементобетонных покрытий</v>
      </c>
      <c r="D163" s="45" t="str">
        <f>Source!H34</f>
        <v>т</v>
      </c>
      <c r="E163" s="46">
        <f>SmtRes!AT45</f>
        <v>1</v>
      </c>
      <c r="F163" s="46"/>
      <c r="G163" s="46">
        <f>Source!I34</f>
        <v>1E-3</v>
      </c>
      <c r="H163" s="48">
        <f>Source!AL34+Source!AO34+Source!AM34+Source!AN34</f>
        <v>411791.94</v>
      </c>
      <c r="I163" s="47">
        <f>IF(Source!BC34&lt;&gt; 0, Source!BC34, 1)</f>
        <v>1.27</v>
      </c>
      <c r="J163" s="48">
        <f>ROUND(H163*I163, 2)</f>
        <v>522975.76</v>
      </c>
      <c r="K163" s="47"/>
      <c r="L163" s="48">
        <f>Source!P34</f>
        <v>522.98</v>
      </c>
      <c r="AD163">
        <f>ROUND((Source!AT34/100)*((ROUND(ROUND(Source!AO34,2)*Source!I34, 2)+ROUND(ROUND(Source!AN34,2)*Source!I34, 2))), 2)</f>
        <v>0</v>
      </c>
      <c r="AE163">
        <f>ROUND((Source!AU34/100)*((ROUND(ROUND(Source!AO34,2)*Source!I34, 2)+ROUND(ROUND(Source!AN34,2)*Source!I34, 2))), 2)</f>
        <v>0</v>
      </c>
      <c r="AN163">
        <f>L163</f>
        <v>522.98</v>
      </c>
      <c r="AW163">
        <f>L163</f>
        <v>522.98</v>
      </c>
      <c r="AZ163">
        <f>Source!X34</f>
        <v>0</v>
      </c>
      <c r="BA163">
        <f>Source!Y34</f>
        <v>0</v>
      </c>
      <c r="CD163">
        <v>1</v>
      </c>
    </row>
    <row r="164" spans="1:83" ht="42.75">
      <c r="A164" s="42" t="s">
        <v>414</v>
      </c>
      <c r="B164" s="44" t="str">
        <f>Source!F35</f>
        <v>12.1.02.15-0041</v>
      </c>
      <c r="C164" s="44" t="str">
        <f>Source!G35</f>
        <v>Материал рулонный гидроизоляционный изол, резино-битумный, без полимерных добавок</v>
      </c>
      <c r="D164" s="45" t="str">
        <f>Source!H35</f>
        <v>м2</v>
      </c>
      <c r="E164" s="46">
        <f>SmtRes!AT43</f>
        <v>850</v>
      </c>
      <c r="F164" s="46"/>
      <c r="G164" s="46">
        <f>Source!I35</f>
        <v>0.85</v>
      </c>
      <c r="H164" s="48">
        <f>Source!AL35+Source!AO35+Source!AM35+Source!AN35</f>
        <v>126.14</v>
      </c>
      <c r="I164" s="47">
        <f>IF(Source!BC35&lt;&gt; 0, Source!BC35, 1)</f>
        <v>1.37</v>
      </c>
      <c r="J164" s="48">
        <f>ROUND(H164*I164, 2)</f>
        <v>172.81</v>
      </c>
      <c r="K164" s="47"/>
      <c r="L164" s="48">
        <f>Source!P35</f>
        <v>146.88999999999999</v>
      </c>
      <c r="AD164">
        <f>ROUND((Source!AT35/100)*((ROUND(ROUND(Source!AO35,2)*Source!I35, 2)+ROUND(ROUND(Source!AN35,2)*Source!I35, 2))), 2)</f>
        <v>0</v>
      </c>
      <c r="AE164">
        <f>ROUND((Source!AU35/100)*((ROUND(ROUND(Source!AO35,2)*Source!I35, 2)+ROUND(ROUND(Source!AN35,2)*Source!I35, 2))), 2)</f>
        <v>0</v>
      </c>
      <c r="AN164">
        <f>L164</f>
        <v>146.88999999999999</v>
      </c>
      <c r="AW164">
        <f>L164</f>
        <v>146.88999999999999</v>
      </c>
      <c r="AZ164">
        <f>Source!X35</f>
        <v>0</v>
      </c>
      <c r="BA164">
        <f>Source!Y35</f>
        <v>0</v>
      </c>
      <c r="CD164">
        <v>1</v>
      </c>
    </row>
    <row r="165" spans="1:83" ht="14.25">
      <c r="A165" s="44"/>
      <c r="B165" s="44"/>
      <c r="C165" s="44" t="s">
        <v>394</v>
      </c>
      <c r="D165" s="45"/>
      <c r="E165" s="46"/>
      <c r="F165" s="46"/>
      <c r="G165" s="46"/>
      <c r="H165" s="48"/>
      <c r="I165" s="47"/>
      <c r="J165" s="48"/>
      <c r="K165" s="47"/>
      <c r="L165" s="48">
        <f>SUM(AR144:AR168)+SUM(AS144:AS168)+SUM(AT144:AT168)+SUM(AU144:AU168)+SUM(AV144:AV168)</f>
        <v>75.78</v>
      </c>
    </row>
    <row r="166" spans="1:83" ht="42.75">
      <c r="A166" s="44"/>
      <c r="B166" s="44" t="s">
        <v>38</v>
      </c>
      <c r="C166" s="44" t="s">
        <v>405</v>
      </c>
      <c r="D166" s="45" t="s">
        <v>396</v>
      </c>
      <c r="E166" s="46">
        <f>Source!BZ33</f>
        <v>117</v>
      </c>
      <c r="F166" s="46"/>
      <c r="G166" s="46">
        <f>Source!AT33</f>
        <v>117</v>
      </c>
      <c r="H166" s="48"/>
      <c r="I166" s="47"/>
      <c r="J166" s="48"/>
      <c r="K166" s="47"/>
      <c r="L166" s="48">
        <f>SUM(AZ144:AZ168)</f>
        <v>88.66</v>
      </c>
    </row>
    <row r="167" spans="1:83" ht="42.75">
      <c r="A167" s="52"/>
      <c r="B167" s="52" t="s">
        <v>39</v>
      </c>
      <c r="C167" s="52" t="s">
        <v>406</v>
      </c>
      <c r="D167" s="53" t="s">
        <v>396</v>
      </c>
      <c r="E167" s="54">
        <f>Source!CA33</f>
        <v>74</v>
      </c>
      <c r="F167" s="54"/>
      <c r="G167" s="54">
        <f>Source!AU33</f>
        <v>74</v>
      </c>
      <c r="H167" s="55"/>
      <c r="I167" s="56"/>
      <c r="J167" s="55"/>
      <c r="K167" s="56"/>
      <c r="L167" s="55">
        <f>SUM(BA144:BA168)</f>
        <v>56.08</v>
      </c>
    </row>
    <row r="168" spans="1:83" ht="15">
      <c r="C168" s="118" t="s">
        <v>398</v>
      </c>
      <c r="D168" s="118"/>
      <c r="E168" s="118"/>
      <c r="F168" s="118"/>
      <c r="G168" s="118"/>
      <c r="H168" s="118"/>
      <c r="I168" s="119">
        <f>IF(E144&lt;&gt;0,K168/E144, 0)</f>
        <v>1020339.9999999999</v>
      </c>
      <c r="J168" s="119"/>
      <c r="K168" s="119">
        <f>L145+L147+L155+L166+L167+L148+SUM(L163:L164)</f>
        <v>1020.3399999999999</v>
      </c>
      <c r="L168" s="119"/>
      <c r="AD168">
        <f>ROUND((Source!AT33/100)*((ROUND(SUMIF(SmtRes!AQ35:'SmtRes'!AQ45,"=1",SmtRes!AD35:'SmtRes'!AD45)*Source!I33, 2)+ROUND(SUMIF(SmtRes!AQ35:'SmtRes'!AQ45,"=1",SmtRes!AC35:'SmtRes'!AC45)*Source!I33, 2))), 2)</f>
        <v>2.36</v>
      </c>
      <c r="AE168">
        <f>ROUND((Source!AU33/100)*((ROUND(SUMIF(SmtRes!AQ35:'SmtRes'!AQ45,"=1",SmtRes!AD35:'SmtRes'!AD45)*Source!I33, 2)+ROUND(SUMIF(SmtRes!AQ35:'SmtRes'!AQ45,"=1",SmtRes!AC35:'SmtRes'!AC45)*Source!I33, 2))), 2)</f>
        <v>1.49</v>
      </c>
      <c r="AN168" s="57">
        <f>L145+L147+L155+L166+L167+L148</f>
        <v>350.46999999999997</v>
      </c>
      <c r="AO168" s="57">
        <f>L147</f>
        <v>62.05</v>
      </c>
      <c r="AQ168" t="s">
        <v>399</v>
      </c>
      <c r="AR168" s="57">
        <f>L145</f>
        <v>62.4</v>
      </c>
      <c r="AT168" s="57">
        <f>L148</f>
        <v>13.379999999999999</v>
      </c>
      <c r="AV168" t="s">
        <v>399</v>
      </c>
      <c r="AW168" s="57">
        <f>L155</f>
        <v>67.900000000000006</v>
      </c>
      <c r="AZ168">
        <f>Source!X33</f>
        <v>88.66</v>
      </c>
      <c r="BA168">
        <f>Source!Y33</f>
        <v>56.08</v>
      </c>
      <c r="CD168">
        <v>1</v>
      </c>
    </row>
    <row r="169" spans="1:83" ht="28.5">
      <c r="A169" s="42" t="s">
        <v>91</v>
      </c>
      <c r="B169" s="44" t="s">
        <v>415</v>
      </c>
      <c r="C169" s="44" t="str">
        <f>Source!G36</f>
        <v>Уплотнение грунта пневматическими трамбовками, группа грунтов: 1-2</v>
      </c>
      <c r="D169" s="45" t="str">
        <f>Source!H36</f>
        <v>100 м3</v>
      </c>
      <c r="E169" s="46">
        <f>Source!K36</f>
        <v>0.45</v>
      </c>
      <c r="F169" s="46"/>
      <c r="G169" s="46">
        <f>Source!I36</f>
        <v>0.45</v>
      </c>
      <c r="H169" s="48"/>
      <c r="I169" s="47"/>
      <c r="J169" s="48"/>
      <c r="K169" s="47"/>
      <c r="L169" s="48"/>
    </row>
    <row r="170" spans="1:83">
      <c r="C170" s="49" t="str">
        <f>"Объем: "&amp;Source!I36&amp;"=45/"&amp;"100"</f>
        <v>Объем: 0,45=45/100</v>
      </c>
    </row>
    <row r="171" spans="1:83" ht="15">
      <c r="A171" s="43"/>
      <c r="B171" s="46">
        <v>1</v>
      </c>
      <c r="C171" s="43" t="s">
        <v>389</v>
      </c>
      <c r="D171" s="45" t="s">
        <v>258</v>
      </c>
      <c r="E171" s="50"/>
      <c r="F171" s="46"/>
      <c r="G171" s="46">
        <f>Source!U36</f>
        <v>5.6384999999999996</v>
      </c>
      <c r="H171" s="46"/>
      <c r="I171" s="46"/>
      <c r="J171" s="46"/>
      <c r="K171" s="46"/>
      <c r="L171" s="51">
        <f>SUM(L172:L172)-SUMIF(CE172:CE172, 1, L172:L172)</f>
        <v>2167.21</v>
      </c>
    </row>
    <row r="172" spans="1:83" ht="14.25">
      <c r="A172" s="44"/>
      <c r="B172" s="44" t="s">
        <v>324</v>
      </c>
      <c r="C172" s="44" t="s">
        <v>325</v>
      </c>
      <c r="D172" s="45" t="s">
        <v>258</v>
      </c>
      <c r="E172" s="46">
        <v>12.53</v>
      </c>
      <c r="F172" s="46"/>
      <c r="G172" s="46">
        <f>SmtRes!CX46</f>
        <v>5.6384999999999996</v>
      </c>
      <c r="H172" s="48"/>
      <c r="I172" s="47"/>
      <c r="J172" s="48">
        <f>SmtRes!CZ46</f>
        <v>384.36</v>
      </c>
      <c r="K172" s="47"/>
      <c r="L172" s="48">
        <f>SmtRes!DI46</f>
        <v>2167.21</v>
      </c>
    </row>
    <row r="173" spans="1:83" ht="15">
      <c r="A173" s="43"/>
      <c r="B173" s="46">
        <v>2</v>
      </c>
      <c r="C173" s="43" t="s">
        <v>390</v>
      </c>
      <c r="D173" s="45"/>
      <c r="E173" s="50"/>
      <c r="F173" s="46"/>
      <c r="G173" s="46"/>
      <c r="H173" s="46"/>
      <c r="I173" s="46"/>
      <c r="J173" s="46"/>
      <c r="K173" s="46"/>
      <c r="L173" s="51">
        <f>SUM(L174:L177)-SUMIF(CE174:CE177, 1, L174:L177)</f>
        <v>497.77</v>
      </c>
    </row>
    <row r="174" spans="1:83" ht="15">
      <c r="A174" s="43"/>
      <c r="B174" s="46"/>
      <c r="C174" s="43" t="s">
        <v>392</v>
      </c>
      <c r="D174" s="45" t="s">
        <v>258</v>
      </c>
      <c r="E174" s="50"/>
      <c r="F174" s="46"/>
      <c r="G174" s="46">
        <f>Source!V36</f>
        <v>1.179</v>
      </c>
      <c r="H174" s="46"/>
      <c r="I174" s="46"/>
      <c r="J174" s="46"/>
      <c r="K174" s="46"/>
      <c r="L174" s="51">
        <f>SUMIF(CE175:CE177, 1, L175:L177)</f>
        <v>510.28</v>
      </c>
      <c r="CE174">
        <v>1</v>
      </c>
    </row>
    <row r="175" spans="1:83" ht="42.75">
      <c r="A175" s="44"/>
      <c r="B175" s="44" t="s">
        <v>326</v>
      </c>
      <c r="C175" s="44" t="s">
        <v>328</v>
      </c>
      <c r="D175" s="45" t="s">
        <v>66</v>
      </c>
      <c r="E175" s="46">
        <v>10.5</v>
      </c>
      <c r="F175" s="46"/>
      <c r="G175" s="46">
        <f>SmtRes!CX48</f>
        <v>4.7249999999999996</v>
      </c>
      <c r="H175" s="48">
        <f>SmtRes!CZ48</f>
        <v>2.41</v>
      </c>
      <c r="I175" s="47">
        <f>SmtRes!AJ48</f>
        <v>1.1200000000000001</v>
      </c>
      <c r="J175" s="48">
        <f>ROUND(H175*I175, 2)</f>
        <v>2.7</v>
      </c>
      <c r="K175" s="47"/>
      <c r="L175" s="48">
        <f>SmtRes!DG48</f>
        <v>12.76</v>
      </c>
    </row>
    <row r="176" spans="1:83" ht="57">
      <c r="A176" s="44"/>
      <c r="B176" s="44" t="s">
        <v>329</v>
      </c>
      <c r="C176" s="44" t="s">
        <v>331</v>
      </c>
      <c r="D176" s="45" t="s">
        <v>66</v>
      </c>
      <c r="E176" s="46">
        <v>2.62</v>
      </c>
      <c r="F176" s="46"/>
      <c r="G176" s="46">
        <f>SmtRes!CX49</f>
        <v>1.179</v>
      </c>
      <c r="H176" s="48"/>
      <c r="I176" s="47"/>
      <c r="J176" s="48">
        <f>SmtRes!CZ49</f>
        <v>411.37</v>
      </c>
      <c r="K176" s="47"/>
      <c r="L176" s="48">
        <f>SmtRes!DG49</f>
        <v>485.01</v>
      </c>
    </row>
    <row r="177" spans="1:83" ht="28.5">
      <c r="A177" s="44"/>
      <c r="B177" s="44" t="s">
        <v>274</v>
      </c>
      <c r="C177" s="52" t="s">
        <v>403</v>
      </c>
      <c r="D177" s="53" t="s">
        <v>258</v>
      </c>
      <c r="E177" s="54">
        <f>SmtRes!DO49*SmtRes!AT49</f>
        <v>2.62</v>
      </c>
      <c r="F177" s="54"/>
      <c r="G177" s="54">
        <f>ROUND(E177*G169, 7)</f>
        <v>1.179</v>
      </c>
      <c r="H177" s="55"/>
      <c r="I177" s="56"/>
      <c r="J177" s="55">
        <f>ROUND(SmtRes!AG49/SmtRes!DO49, 2)</f>
        <v>432.81</v>
      </c>
      <c r="K177" s="56"/>
      <c r="L177" s="55">
        <f>SmtRes!DH49</f>
        <v>510.28</v>
      </c>
      <c r="CE177">
        <v>1</v>
      </c>
    </row>
    <row r="178" spans="1:83" ht="15">
      <c r="A178" s="44"/>
      <c r="B178" s="44"/>
      <c r="C178" s="59" t="s">
        <v>393</v>
      </c>
      <c r="D178" s="45"/>
      <c r="E178" s="46"/>
      <c r="F178" s="46"/>
      <c r="G178" s="46"/>
      <c r="H178" s="48"/>
      <c r="I178" s="47"/>
      <c r="J178" s="48"/>
      <c r="K178" s="47"/>
      <c r="L178" s="48">
        <f>L171+L173+L174</f>
        <v>3175.26</v>
      </c>
    </row>
    <row r="179" spans="1:83" ht="14.25">
      <c r="A179" s="44"/>
      <c r="B179" s="44"/>
      <c r="C179" s="44" t="s">
        <v>394</v>
      </c>
      <c r="D179" s="45"/>
      <c r="E179" s="46"/>
      <c r="F179" s="46"/>
      <c r="G179" s="46"/>
      <c r="H179" s="48"/>
      <c r="I179" s="47"/>
      <c r="J179" s="48"/>
      <c r="K179" s="47"/>
      <c r="L179" s="48">
        <f>SUM(AR169:AR182)+SUM(AS169:AS182)+SUM(AT169:AT182)+SUM(AU169:AU182)+SUM(AV169:AV182)</f>
        <v>2677.49</v>
      </c>
    </row>
    <row r="180" spans="1:83" ht="28.5">
      <c r="A180" s="44"/>
      <c r="B180" s="44" t="s">
        <v>25</v>
      </c>
      <c r="C180" s="44" t="s">
        <v>395</v>
      </c>
      <c r="D180" s="45" t="s">
        <v>396</v>
      </c>
      <c r="E180" s="46">
        <f>Source!BZ36</f>
        <v>92</v>
      </c>
      <c r="F180" s="46"/>
      <c r="G180" s="46">
        <f>Source!AT36</f>
        <v>92</v>
      </c>
      <c r="H180" s="48"/>
      <c r="I180" s="47"/>
      <c r="J180" s="48"/>
      <c r="K180" s="47"/>
      <c r="L180" s="48">
        <f>SUM(AZ169:AZ182)</f>
        <v>2463.29</v>
      </c>
    </row>
    <row r="181" spans="1:83" ht="28.5">
      <c r="A181" s="52"/>
      <c r="B181" s="52" t="s">
        <v>26</v>
      </c>
      <c r="C181" s="52" t="s">
        <v>397</v>
      </c>
      <c r="D181" s="53" t="s">
        <v>396</v>
      </c>
      <c r="E181" s="54">
        <f>Source!CA36</f>
        <v>46</v>
      </c>
      <c r="F181" s="54"/>
      <c r="G181" s="54">
        <f>Source!AU36</f>
        <v>46</v>
      </c>
      <c r="H181" s="55"/>
      <c r="I181" s="56"/>
      <c r="J181" s="55"/>
      <c r="K181" s="56"/>
      <c r="L181" s="55">
        <f>SUM(BA169:BA182)</f>
        <v>1231.6500000000001</v>
      </c>
    </row>
    <row r="182" spans="1:83" ht="15">
      <c r="C182" s="118" t="s">
        <v>398</v>
      </c>
      <c r="D182" s="118"/>
      <c r="E182" s="118"/>
      <c r="F182" s="118"/>
      <c r="G182" s="118"/>
      <c r="H182" s="118"/>
      <c r="I182" s="119">
        <f>IF(E169&lt;&gt;0,K182/E169, 0)</f>
        <v>15267.111111111109</v>
      </c>
      <c r="J182" s="119"/>
      <c r="K182" s="119">
        <f>L171+L173+L180+L181+L174</f>
        <v>6870.2</v>
      </c>
      <c r="L182" s="119"/>
      <c r="AD182">
        <f>ROUND((Source!AT36/100)*((ROUND(SUMIF(SmtRes!AQ46:'SmtRes'!AQ49,"=1",SmtRes!AD46:'SmtRes'!AD49)*Source!I36, 2)+ROUND(SUMIF(SmtRes!AQ46:'SmtRes'!AQ49,"=1",SmtRes!AC46:'SmtRes'!AC49)*Source!I36, 2))), 2)</f>
        <v>338.3</v>
      </c>
      <c r="AE182">
        <f>ROUND((Source!AU36/100)*((ROUND(SUMIF(SmtRes!AQ46:'SmtRes'!AQ49,"=1",SmtRes!AD46:'SmtRes'!AD49)*Source!I36, 2)+ROUND(SUMIF(SmtRes!AQ46:'SmtRes'!AQ49,"=1",SmtRes!AC46:'SmtRes'!AC49)*Source!I36, 2))), 2)</f>
        <v>169.15</v>
      </c>
      <c r="AN182" s="57">
        <f>L171+L173+L180+L181+L174</f>
        <v>6870.2</v>
      </c>
      <c r="AO182" s="57">
        <f>L173</f>
        <v>497.77</v>
      </c>
      <c r="AQ182" t="s">
        <v>399</v>
      </c>
      <c r="AR182" s="57">
        <f>L171</f>
        <v>2167.21</v>
      </c>
      <c r="AT182" s="57">
        <f>L174</f>
        <v>510.28</v>
      </c>
      <c r="AV182" t="s">
        <v>399</v>
      </c>
      <c r="AW182">
        <f>0</f>
        <v>0</v>
      </c>
      <c r="AZ182">
        <f>Source!X36</f>
        <v>2463.29</v>
      </c>
      <c r="BA182">
        <f>Source!Y36</f>
        <v>1231.6500000000001</v>
      </c>
      <c r="CD182">
        <v>1</v>
      </c>
    </row>
    <row r="183" spans="1:83" s="90" customFormat="1" ht="28.5">
      <c r="A183" s="84" t="s">
        <v>96</v>
      </c>
      <c r="B183" s="85" t="s">
        <v>416</v>
      </c>
      <c r="C183" s="85" t="str">
        <f>Source!G37</f>
        <v>Устройство обратной засыпки труб ливневой канализации</v>
      </c>
      <c r="D183" s="86" t="str">
        <f>Source!H37</f>
        <v>10 м3</v>
      </c>
      <c r="E183" s="87">
        <f>Source!K37</f>
        <v>4.5</v>
      </c>
      <c r="F183" s="87"/>
      <c r="G183" s="87">
        <f>Source!I37</f>
        <v>4.5</v>
      </c>
      <c r="H183" s="88"/>
      <c r="I183" s="89"/>
      <c r="J183" s="88"/>
      <c r="K183" s="89"/>
      <c r="L183" s="88"/>
    </row>
    <row r="184" spans="1:83" s="90" customFormat="1">
      <c r="C184" s="91" t="str">
        <f>"Объем: "&amp;Source!I37&amp;"=45/"&amp;"10"</f>
        <v>Объем: 4,5=45/10</v>
      </c>
    </row>
    <row r="185" spans="1:83" s="90" customFormat="1" ht="15">
      <c r="A185" s="92"/>
      <c r="B185" s="87">
        <v>1</v>
      </c>
      <c r="C185" s="92" t="s">
        <v>389</v>
      </c>
      <c r="D185" s="86" t="s">
        <v>258</v>
      </c>
      <c r="E185" s="93"/>
      <c r="F185" s="87"/>
      <c r="G185" s="87">
        <f>Source!U37</f>
        <v>8.3699999999999992</v>
      </c>
      <c r="H185" s="87"/>
      <c r="I185" s="87"/>
      <c r="J185" s="87"/>
      <c r="K185" s="87"/>
      <c r="L185" s="94">
        <f>SUM(L186:L186)-SUMIF(CE186:CE186, 1, L186:L186)</f>
        <v>3217.09</v>
      </c>
    </row>
    <row r="186" spans="1:83" s="90" customFormat="1" ht="14.25">
      <c r="A186" s="85"/>
      <c r="B186" s="85" t="s">
        <v>324</v>
      </c>
      <c r="C186" s="85" t="s">
        <v>325</v>
      </c>
      <c r="D186" s="86" t="s">
        <v>258</v>
      </c>
      <c r="E186" s="87">
        <v>1.86</v>
      </c>
      <c r="F186" s="87"/>
      <c r="G186" s="87">
        <f>SmtRes!CX50</f>
        <v>8.3699999999999992</v>
      </c>
      <c r="H186" s="88"/>
      <c r="I186" s="89"/>
      <c r="J186" s="88">
        <f>SmtRes!CZ50</f>
        <v>384.36</v>
      </c>
      <c r="K186" s="89"/>
      <c r="L186" s="88">
        <f>SmtRes!DI50</f>
        <v>3217.09</v>
      </c>
    </row>
    <row r="187" spans="1:83" s="90" customFormat="1" ht="15">
      <c r="A187" s="92"/>
      <c r="B187" s="87">
        <v>2</v>
      </c>
      <c r="C187" s="92" t="s">
        <v>390</v>
      </c>
      <c r="D187" s="86"/>
      <c r="E187" s="93"/>
      <c r="F187" s="87"/>
      <c r="G187" s="87"/>
      <c r="H187" s="87"/>
      <c r="I187" s="87"/>
      <c r="J187" s="87"/>
      <c r="K187" s="87"/>
      <c r="L187" s="94">
        <f>SUM(L188:L191)-SUMIF(CE188:CE191, 1, L188:L191)</f>
        <v>7134.51</v>
      </c>
    </row>
    <row r="188" spans="1:83" s="90" customFormat="1" ht="15">
      <c r="A188" s="92"/>
      <c r="B188" s="87"/>
      <c r="C188" s="92" t="s">
        <v>392</v>
      </c>
      <c r="D188" s="86" t="s">
        <v>258</v>
      </c>
      <c r="E188" s="93"/>
      <c r="F188" s="87"/>
      <c r="G188" s="87">
        <f>Source!V37</f>
        <v>3.42</v>
      </c>
      <c r="H188" s="87"/>
      <c r="I188" s="87"/>
      <c r="J188" s="87"/>
      <c r="K188" s="87"/>
      <c r="L188" s="94">
        <f>SUMIF(CE189:CE191, 1, L189:L191)</f>
        <v>2120.88</v>
      </c>
      <c r="CE188" s="90">
        <v>1</v>
      </c>
    </row>
    <row r="189" spans="1:83" s="90" customFormat="1" ht="42.75">
      <c r="A189" s="85"/>
      <c r="B189" s="85" t="s">
        <v>107</v>
      </c>
      <c r="C189" s="85" t="s">
        <v>108</v>
      </c>
      <c r="D189" s="86" t="s">
        <v>66</v>
      </c>
      <c r="E189" s="87">
        <v>0.76</v>
      </c>
      <c r="F189" s="87"/>
      <c r="G189" s="87">
        <f>SmtRes!CX52</f>
        <v>3.42</v>
      </c>
      <c r="H189" s="88">
        <f>SmtRes!CZ52</f>
        <v>1524.72</v>
      </c>
      <c r="I189" s="89">
        <f>SmtRes!AJ52</f>
        <v>1.32</v>
      </c>
      <c r="J189" s="88">
        <f>ROUND(H189*I189, 2)</f>
        <v>2012.63</v>
      </c>
      <c r="K189" s="89"/>
      <c r="L189" s="88">
        <f>SmtRes!DG52</f>
        <v>6883.19</v>
      </c>
    </row>
    <row r="190" spans="1:83" s="90" customFormat="1" ht="28.5">
      <c r="A190" s="85"/>
      <c r="B190" s="85" t="s">
        <v>332</v>
      </c>
      <c r="C190" s="85" t="s">
        <v>417</v>
      </c>
      <c r="D190" s="86" t="s">
        <v>258</v>
      </c>
      <c r="E190" s="87">
        <f>SmtRes!DO52*SmtRes!AT52</f>
        <v>0.76</v>
      </c>
      <c r="F190" s="87"/>
      <c r="G190" s="87">
        <f>ROUND(E190*G183, 7)</f>
        <v>3.42</v>
      </c>
      <c r="H190" s="88"/>
      <c r="I190" s="89"/>
      <c r="J190" s="88">
        <f>ROUND(SmtRes!AG52/SmtRes!DO52, 2)</f>
        <v>620.14</v>
      </c>
      <c r="K190" s="89"/>
      <c r="L190" s="88">
        <f>SmtRes!DH52</f>
        <v>2120.88</v>
      </c>
      <c r="CE190" s="90">
        <v>1</v>
      </c>
    </row>
    <row r="191" spans="1:83" s="90" customFormat="1" ht="42.75">
      <c r="A191" s="85"/>
      <c r="B191" s="85" t="s">
        <v>333</v>
      </c>
      <c r="C191" s="85" t="s">
        <v>335</v>
      </c>
      <c r="D191" s="86" t="s">
        <v>66</v>
      </c>
      <c r="E191" s="87">
        <v>1.05</v>
      </c>
      <c r="F191" s="87"/>
      <c r="G191" s="87">
        <f>SmtRes!CX54</f>
        <v>4.7249999999999996</v>
      </c>
      <c r="H191" s="88"/>
      <c r="I191" s="89"/>
      <c r="J191" s="88">
        <f>SmtRes!CZ54</f>
        <v>53.19</v>
      </c>
      <c r="K191" s="89"/>
      <c r="L191" s="88">
        <f>SmtRes!DG54</f>
        <v>251.32</v>
      </c>
    </row>
    <row r="192" spans="1:83" s="90" customFormat="1" ht="15">
      <c r="A192" s="92"/>
      <c r="B192" s="87">
        <v>4</v>
      </c>
      <c r="C192" s="92" t="s">
        <v>404</v>
      </c>
      <c r="D192" s="86"/>
      <c r="E192" s="93"/>
      <c r="F192" s="87"/>
      <c r="G192" s="87"/>
      <c r="H192" s="87"/>
      <c r="I192" s="87"/>
      <c r="J192" s="87"/>
      <c r="K192" s="87"/>
      <c r="L192" s="94">
        <f>SUM(L193:L193)-SUMIF(CE193:CE193, 1, L193:L193)</f>
        <v>43419.45</v>
      </c>
    </row>
    <row r="193" spans="1:83" s="90" customFormat="1" ht="28.5">
      <c r="A193" s="85"/>
      <c r="B193" s="85" t="s">
        <v>111</v>
      </c>
      <c r="C193" s="95" t="s">
        <v>112</v>
      </c>
      <c r="D193" s="96" t="s">
        <v>113</v>
      </c>
      <c r="E193" s="97">
        <v>12.74</v>
      </c>
      <c r="F193" s="97"/>
      <c r="G193" s="97">
        <f>SmtRes!CX55</f>
        <v>57.33</v>
      </c>
      <c r="H193" s="98"/>
      <c r="I193" s="99"/>
      <c r="J193" s="98">
        <f>SmtRes!CZ55</f>
        <v>757.36</v>
      </c>
      <c r="K193" s="99"/>
      <c r="L193" s="98">
        <f>SmtRes!DF55</f>
        <v>43419.45</v>
      </c>
    </row>
    <row r="194" spans="1:83" s="90" customFormat="1" ht="15">
      <c r="A194" s="85"/>
      <c r="B194" s="85"/>
      <c r="C194" s="100" t="s">
        <v>393</v>
      </c>
      <c r="D194" s="86"/>
      <c r="E194" s="87"/>
      <c r="F194" s="87"/>
      <c r="G194" s="87"/>
      <c r="H194" s="88"/>
      <c r="I194" s="89"/>
      <c r="J194" s="88"/>
      <c r="K194" s="89"/>
      <c r="L194" s="88">
        <f>L185+L187+L188+L192</f>
        <v>55891.929999999993</v>
      </c>
    </row>
    <row r="195" spans="1:83" s="90" customFormat="1" ht="42.75">
      <c r="A195" s="84" t="s">
        <v>418</v>
      </c>
      <c r="B195" s="85" t="str">
        <f>Source!F38</f>
        <v>91.01.05-104</v>
      </c>
      <c r="C195" s="85" t="str">
        <f>Source!G38</f>
        <v>Экскаваторы одноковшовые дизельные на пневмоколесном ходу, объем ковша 0,4 м3</v>
      </c>
      <c r="D195" s="86" t="str">
        <f>Source!H38</f>
        <v>маш.-ч</v>
      </c>
      <c r="E195" s="87">
        <f>SmtRes!AT53</f>
        <v>0.76</v>
      </c>
      <c r="F195" s="87"/>
      <c r="G195" s="87">
        <f>Source!I38</f>
        <v>3.42</v>
      </c>
      <c r="H195" s="88">
        <f>Source!AL38+Source!AO38+Source!AM38+Source!AN38</f>
        <v>1660.21</v>
      </c>
      <c r="I195" s="89">
        <f>IF(Source!BB38&lt;&gt; 0, Source!BB38, 1)</f>
        <v>1.25</v>
      </c>
      <c r="J195" s="88">
        <f>ROUND(H195*I195, 2)</f>
        <v>2075.2600000000002</v>
      </c>
      <c r="K195" s="89"/>
      <c r="L195" s="88">
        <f>Source!Q38</f>
        <v>4971</v>
      </c>
      <c r="AD195" s="90">
        <f>ROUND((Source!AT38/100)*((ROUND(ROUND(Source!AO38,2)*Source!I38, 2)+ROUND(ROUND(Source!AN38,2)*Source!I38, 2))), 2)</f>
        <v>2500.63</v>
      </c>
      <c r="AE195" s="90">
        <f>ROUND((Source!AU38/100)*((ROUND(ROUND(Source!AO38,2)*Source!I38, 2)+ROUND(ROUND(Source!AN38,2)*Source!I38, 2))), 2)</f>
        <v>2279.4899999999998</v>
      </c>
      <c r="AN195" s="90">
        <f>L195</f>
        <v>4971</v>
      </c>
      <c r="AO195" s="90">
        <f>L195</f>
        <v>4971</v>
      </c>
      <c r="AT195" s="90">
        <f>Source!R38</f>
        <v>1701.11</v>
      </c>
      <c r="AZ195" s="90">
        <f>Source!X38</f>
        <v>2500.63</v>
      </c>
      <c r="BA195" s="90">
        <f>Source!Y38</f>
        <v>2279.4899999999998</v>
      </c>
      <c r="CD195" s="90">
        <v>1</v>
      </c>
    </row>
    <row r="196" spans="1:83" s="90" customFormat="1" ht="28.5">
      <c r="A196" s="85"/>
      <c r="B196" s="85" t="s">
        <v>264</v>
      </c>
      <c r="C196" s="85" t="s">
        <v>391</v>
      </c>
      <c r="D196" s="86" t="s">
        <v>258</v>
      </c>
      <c r="E196" s="87">
        <f>SmtRes!DO53*SmtRes!AT53</f>
        <v>0.76</v>
      </c>
      <c r="F196" s="87"/>
      <c r="G196" s="87">
        <f>ROUND(E196*G183, 7)</f>
        <v>3.42</v>
      </c>
      <c r="H196" s="88"/>
      <c r="I196" s="89"/>
      <c r="J196" s="88">
        <f>ROUND(SmtRes!AG53/SmtRes!DO53, 2)</f>
        <v>497.4</v>
      </c>
      <c r="K196" s="89"/>
      <c r="L196" s="88">
        <f>SmtRes!DH53</f>
        <v>1701.11</v>
      </c>
      <c r="CE196" s="90">
        <v>1</v>
      </c>
    </row>
    <row r="197" spans="1:83" s="90" customFormat="1" ht="14.25">
      <c r="A197" s="85"/>
      <c r="B197" s="85"/>
      <c r="C197" s="85" t="s">
        <v>394</v>
      </c>
      <c r="D197" s="86"/>
      <c r="E197" s="87"/>
      <c r="F197" s="87"/>
      <c r="G197" s="87"/>
      <c r="H197" s="88"/>
      <c r="I197" s="89"/>
      <c r="J197" s="88"/>
      <c r="K197" s="89"/>
      <c r="L197" s="88">
        <f>SUM(AR183:AR200)+SUM(AS183:AS200)+SUM(AT183:AT200)+SUM(AU183:AU200)+SUM(AV183:AV200)</f>
        <v>7039.08</v>
      </c>
    </row>
    <row r="198" spans="1:83" s="90" customFormat="1" ht="14.25">
      <c r="A198" s="85"/>
      <c r="B198" s="85" t="s">
        <v>103</v>
      </c>
      <c r="C198" s="85" t="s">
        <v>419</v>
      </c>
      <c r="D198" s="86" t="s">
        <v>396</v>
      </c>
      <c r="E198" s="87">
        <f>Source!BZ37</f>
        <v>147</v>
      </c>
      <c r="F198" s="87"/>
      <c r="G198" s="87">
        <f>Source!AT37</f>
        <v>147</v>
      </c>
      <c r="H198" s="88"/>
      <c r="I198" s="89"/>
      <c r="J198" s="88"/>
      <c r="K198" s="89"/>
      <c r="L198" s="88">
        <f>SUM(AZ183:AZ200)</f>
        <v>10347.450000000001</v>
      </c>
    </row>
    <row r="199" spans="1:83" s="90" customFormat="1" ht="14.25">
      <c r="A199" s="95"/>
      <c r="B199" s="95" t="s">
        <v>104</v>
      </c>
      <c r="C199" s="95" t="s">
        <v>420</v>
      </c>
      <c r="D199" s="96" t="s">
        <v>396</v>
      </c>
      <c r="E199" s="97">
        <f>Source!CA37</f>
        <v>134</v>
      </c>
      <c r="F199" s="97"/>
      <c r="G199" s="97">
        <f>Source!AU37</f>
        <v>134</v>
      </c>
      <c r="H199" s="98"/>
      <c r="I199" s="99"/>
      <c r="J199" s="98"/>
      <c r="K199" s="99"/>
      <c r="L199" s="98">
        <f>SUM(BA183:BA200)</f>
        <v>9432.369999999999</v>
      </c>
    </row>
    <row r="200" spans="1:83" s="90" customFormat="1" ht="15">
      <c r="C200" s="115" t="s">
        <v>398</v>
      </c>
      <c r="D200" s="115"/>
      <c r="E200" s="115"/>
      <c r="F200" s="115"/>
      <c r="G200" s="115"/>
      <c r="H200" s="115"/>
      <c r="I200" s="116">
        <f>IF(E183&lt;&gt;0,K200/E183, 0)</f>
        <v>18298.635555555556</v>
      </c>
      <c r="J200" s="116"/>
      <c r="K200" s="116">
        <f>L185+L187+L192+L198+L199+L188+SUM(L195:L196)</f>
        <v>82343.86</v>
      </c>
      <c r="L200" s="116"/>
      <c r="AD200" s="90">
        <f>ROUND((Source!AT37/100)*((ROUND(SUMIF(SmtRes!AQ50:'SmtRes'!AQ55,"=1",SmtRes!AD50:'SmtRes'!AD55)*Source!I37, 2)+ROUND(SUMIF(SmtRes!AQ50:'SmtRes'!AQ55,"=1",SmtRes!AC50:'SmtRes'!AC55)*Source!I37, 2))), 2)</f>
        <v>6644.77</v>
      </c>
      <c r="AE200" s="90">
        <f>ROUND((Source!AU37/100)*((ROUND(SUMIF(SmtRes!AQ50:'SmtRes'!AQ55,"=1",SmtRes!AD50:'SmtRes'!AD55)*Source!I37, 2)+ROUND(SUMIF(SmtRes!AQ50:'SmtRes'!AQ55,"=1",SmtRes!AC50:'SmtRes'!AC55)*Source!I37, 2))), 2)</f>
        <v>6057.14</v>
      </c>
      <c r="AN200" s="101">
        <f>L185+L187+L192+L198+L199+L188</f>
        <v>75671.75</v>
      </c>
      <c r="AO200" s="101">
        <f>L187</f>
        <v>7134.51</v>
      </c>
      <c r="AQ200" s="90" t="s">
        <v>399</v>
      </c>
      <c r="AR200" s="101">
        <f>L185</f>
        <v>3217.09</v>
      </c>
      <c r="AT200" s="101">
        <f>L188</f>
        <v>2120.88</v>
      </c>
      <c r="AV200" s="90" t="s">
        <v>399</v>
      </c>
      <c r="AW200" s="101">
        <f>L192</f>
        <v>43419.45</v>
      </c>
      <c r="AZ200" s="90">
        <f>Source!X37</f>
        <v>7846.82</v>
      </c>
      <c r="BA200" s="90">
        <f>Source!Y37</f>
        <v>7152.88</v>
      </c>
      <c r="CD200" s="90">
        <v>1</v>
      </c>
    </row>
    <row r="201" spans="1:83" s="90" customFormat="1" ht="42.75">
      <c r="A201" s="84" t="s">
        <v>106</v>
      </c>
      <c r="B201" s="85" t="str">
        <f>Source!F39</f>
        <v>91.01.05-089</v>
      </c>
      <c r="C201" s="85" t="str">
        <f>Source!G39</f>
        <v>Экскаваторы одноковшовые дизельные на гусеничном ходу, объем ковша 1,25 м3</v>
      </c>
      <c r="D201" s="86" t="str">
        <f>Source!H39</f>
        <v>маш.-ч</v>
      </c>
      <c r="E201" s="87">
        <f>Source!K39</f>
        <v>-3.42</v>
      </c>
      <c r="F201" s="87"/>
      <c r="G201" s="87">
        <f>Source!I39</f>
        <v>-3.42</v>
      </c>
      <c r="H201" s="88">
        <f>Source!AM39</f>
        <v>1524.72</v>
      </c>
      <c r="I201" s="89">
        <f>IF(Source!BB39&lt;&gt; 0, Source!BB39, 1)</f>
        <v>1.32</v>
      </c>
      <c r="J201" s="88">
        <f>ROUND(H201*I201, 2)</f>
        <v>2012.63</v>
      </c>
      <c r="K201" s="89"/>
      <c r="L201" s="88">
        <f>Source!Q39</f>
        <v>-6883.19</v>
      </c>
    </row>
    <row r="202" spans="1:83" s="90" customFormat="1">
      <c r="C202" s="91" t="str">
        <f>"Объем: "&amp;Source!I39&amp;"=-"&amp;"3,42"</f>
        <v>Объем: -3,42=-3,42</v>
      </c>
    </row>
    <row r="203" spans="1:83" s="90" customFormat="1" ht="14.25">
      <c r="A203" s="95"/>
      <c r="B203" s="95"/>
      <c r="C203" s="95" t="s">
        <v>394</v>
      </c>
      <c r="D203" s="96"/>
      <c r="E203" s="97"/>
      <c r="F203" s="97"/>
      <c r="G203" s="97"/>
      <c r="H203" s="98"/>
      <c r="I203" s="99"/>
      <c r="J203" s="98"/>
      <c r="K203" s="99"/>
      <c r="L203" s="98">
        <f>SUM(AR201:AR204)+SUM(AS201:AS204)+SUM(AT201:AT204)+SUM(AU201:AU204)+SUM(AV201:AV204)</f>
        <v>0</v>
      </c>
    </row>
    <row r="204" spans="1:83" s="90" customFormat="1" ht="15">
      <c r="C204" s="115" t="s">
        <v>398</v>
      </c>
      <c r="D204" s="115"/>
      <c r="E204" s="115"/>
      <c r="F204" s="115"/>
      <c r="G204" s="115"/>
      <c r="H204" s="115"/>
      <c r="I204" s="116">
        <f>IF(E201&lt;&gt;0,K204/E201, 0)</f>
        <v>2012.6286549707602</v>
      </c>
      <c r="J204" s="116"/>
      <c r="K204" s="116">
        <f>L201</f>
        <v>-6883.19</v>
      </c>
      <c r="L204" s="116"/>
      <c r="AD204" s="90">
        <f>ROUND((Source!AT39/100)*((ROUND(ROUND(Source!AO39,2)*Source!I39, 2)+ROUND(ROUND(Source!AN39,2)*Source!I39, 2))), 2)</f>
        <v>0</v>
      </c>
      <c r="AE204" s="90">
        <f>ROUND((Source!AU39/100)*((ROUND(ROUND(Source!AO39,2)*Source!I39, 2)+ROUND(ROUND(Source!AN39,2)*Source!I39, 2))), 2)</f>
        <v>0</v>
      </c>
      <c r="AN204" s="101">
        <f>L201</f>
        <v>-6883.19</v>
      </c>
      <c r="AO204" s="101">
        <f>L201</f>
        <v>-6883.19</v>
      </c>
      <c r="AQ204" s="90" t="s">
        <v>399</v>
      </c>
      <c r="AR204" s="90">
        <f>0</f>
        <v>0</v>
      </c>
      <c r="AT204" s="90">
        <f>0</f>
        <v>0</v>
      </c>
      <c r="AV204" s="90" t="s">
        <v>399</v>
      </c>
      <c r="AW204" s="90">
        <f>0</f>
        <v>0</v>
      </c>
      <c r="AZ204" s="90">
        <f>Source!X39</f>
        <v>0</v>
      </c>
      <c r="BA204" s="90">
        <f>Source!Y39</f>
        <v>0</v>
      </c>
      <c r="CD204" s="90">
        <v>1</v>
      </c>
    </row>
    <row r="205" spans="1:83" s="90" customFormat="1" ht="28.5">
      <c r="A205" s="84" t="s">
        <v>110</v>
      </c>
      <c r="B205" s="85" t="str">
        <f>Source!F40</f>
        <v>02.3.01.02-1104</v>
      </c>
      <c r="C205" s="85" t="str">
        <f>Source!G40</f>
        <v>Песок природный для строительных работ I класс, средний</v>
      </c>
      <c r="D205" s="86" t="str">
        <f>Source!H40</f>
        <v>м3</v>
      </c>
      <c r="E205" s="87">
        <f>Source!K40</f>
        <v>-57.33</v>
      </c>
      <c r="F205" s="87"/>
      <c r="G205" s="87">
        <f>Source!I40</f>
        <v>-57.33</v>
      </c>
      <c r="H205" s="88"/>
      <c r="I205" s="89"/>
      <c r="J205" s="88">
        <f>Source!AL40</f>
        <v>757.36</v>
      </c>
      <c r="K205" s="89"/>
      <c r="L205" s="88">
        <f>Source!P40</f>
        <v>-43419.45</v>
      </c>
    </row>
    <row r="206" spans="1:83" s="90" customFormat="1">
      <c r="A206" s="102"/>
      <c r="B206" s="102"/>
      <c r="C206" s="103" t="str">
        <f>"Объем: "&amp;Source!I40&amp;"=-"&amp;"57,33"</f>
        <v>Объем: -57,33=-57,33</v>
      </c>
      <c r="D206" s="102"/>
      <c r="E206" s="102"/>
      <c r="F206" s="102"/>
      <c r="G206" s="102"/>
      <c r="H206" s="102"/>
      <c r="I206" s="102"/>
      <c r="J206" s="102"/>
      <c r="K206" s="102"/>
      <c r="L206" s="102"/>
    </row>
    <row r="207" spans="1:83" s="90" customFormat="1" ht="15">
      <c r="C207" s="115" t="s">
        <v>398</v>
      </c>
      <c r="D207" s="115"/>
      <c r="E207" s="115"/>
      <c r="F207" s="115"/>
      <c r="G207" s="115"/>
      <c r="H207" s="115"/>
      <c r="I207" s="116">
        <f>IF(E205&lt;&gt;0,K207/E205, 0)</f>
        <v>757.36002093144953</v>
      </c>
      <c r="J207" s="116"/>
      <c r="K207" s="116">
        <f>L205</f>
        <v>-43419.45</v>
      </c>
      <c r="L207" s="116"/>
      <c r="AD207" s="90">
        <f>ROUND((Source!AT40/100)*((ROUND(ROUND(Source!AO40,2)*Source!I40, 2)+ROUND(ROUND(Source!AN40,2)*Source!I40, 2))), 2)</f>
        <v>0</v>
      </c>
      <c r="AE207" s="90">
        <f>ROUND((Source!AU40/100)*((ROUND(ROUND(Source!AO40,2)*Source!I40, 2)+ROUND(ROUND(Source!AN40,2)*Source!I40, 2))), 2)</f>
        <v>0</v>
      </c>
      <c r="AN207" s="101">
        <f>L205</f>
        <v>-43419.45</v>
      </c>
      <c r="AO207" s="90">
        <f>0</f>
        <v>0</v>
      </c>
      <c r="AQ207" s="90" t="s">
        <v>399</v>
      </c>
      <c r="AR207" s="90">
        <f>0</f>
        <v>0</v>
      </c>
      <c r="AT207" s="90">
        <f>0</f>
        <v>0</v>
      </c>
      <c r="AV207" s="90" t="s">
        <v>399</v>
      </c>
      <c r="AW207" s="101">
        <f>L205</f>
        <v>-43419.45</v>
      </c>
      <c r="AZ207" s="90">
        <f>Source!X40</f>
        <v>0</v>
      </c>
      <c r="BA207" s="90">
        <f>Source!Y40</f>
        <v>0</v>
      </c>
      <c r="CD207" s="90">
        <v>1</v>
      </c>
    </row>
    <row r="209" spans="1:12" ht="15">
      <c r="A209" s="67"/>
      <c r="B209" s="68"/>
      <c r="C209" s="117" t="s">
        <v>421</v>
      </c>
      <c r="D209" s="117"/>
      <c r="E209" s="117"/>
      <c r="F209" s="117"/>
      <c r="G209" s="117"/>
      <c r="H209" s="117"/>
      <c r="I209" s="69"/>
      <c r="J209" s="67"/>
      <c r="K209" s="70"/>
      <c r="L209" s="69"/>
    </row>
    <row r="211" spans="1:12" ht="15">
      <c r="A211" s="64"/>
      <c r="B211" s="65"/>
      <c r="C211" s="114" t="s">
        <v>422</v>
      </c>
      <c r="D211" s="114"/>
      <c r="E211" s="114"/>
      <c r="F211" s="114"/>
      <c r="G211" s="114"/>
      <c r="H211" s="114"/>
      <c r="I211" s="51"/>
      <c r="J211" s="64"/>
      <c r="K211" s="66"/>
      <c r="L211" s="51">
        <f>L213+L228+L229</f>
        <v>112855.27</v>
      </c>
    </row>
    <row r="212" spans="1:12" ht="14.25">
      <c r="A212" s="60"/>
      <c r="B212" s="63"/>
      <c r="C212" s="113" t="s">
        <v>423</v>
      </c>
      <c r="D212" s="111"/>
      <c r="E212" s="111"/>
      <c r="F212" s="111"/>
      <c r="G212" s="111"/>
      <c r="H212" s="111"/>
      <c r="I212" s="48"/>
      <c r="J212" s="60"/>
      <c r="K212" s="46"/>
      <c r="L212" s="48"/>
    </row>
    <row r="213" spans="1:12" ht="14.25">
      <c r="A213" s="60"/>
      <c r="B213" s="63"/>
      <c r="C213" s="111" t="s">
        <v>424</v>
      </c>
      <c r="D213" s="111"/>
      <c r="E213" s="111"/>
      <c r="F213" s="111"/>
      <c r="G213" s="111"/>
      <c r="H213" s="111"/>
      <c r="I213" s="48"/>
      <c r="J213" s="60"/>
      <c r="K213" s="46"/>
      <c r="L213" s="48">
        <f>L215+L216+L222+L226</f>
        <v>54840.61</v>
      </c>
    </row>
    <row r="214" spans="1:12" ht="14.25">
      <c r="A214" s="60"/>
      <c r="B214" s="63"/>
      <c r="C214" s="113" t="s">
        <v>423</v>
      </c>
      <c r="D214" s="111"/>
      <c r="E214" s="111"/>
      <c r="F214" s="111"/>
      <c r="G214" s="111"/>
      <c r="H214" s="111"/>
      <c r="I214" s="48"/>
      <c r="J214" s="60"/>
      <c r="K214" s="46"/>
      <c r="L214" s="48"/>
    </row>
    <row r="215" spans="1:12" ht="14.25">
      <c r="A215" s="60"/>
      <c r="B215" s="63"/>
      <c r="C215" s="111" t="s">
        <v>425</v>
      </c>
      <c r="D215" s="111"/>
      <c r="E215" s="111"/>
      <c r="F215" s="111"/>
      <c r="G215" s="111"/>
      <c r="H215" s="111"/>
      <c r="I215" s="48"/>
      <c r="J215" s="60"/>
      <c r="K215" s="46"/>
      <c r="L215" s="48">
        <f>SUMIF(CD52:CD207, 1, AR52:AR207)</f>
        <v>20915.37</v>
      </c>
    </row>
    <row r="216" spans="1:12" ht="14.25" hidden="1">
      <c r="A216" s="60"/>
      <c r="B216" s="63"/>
      <c r="C216" s="111" t="s">
        <v>426</v>
      </c>
      <c r="D216" s="111"/>
      <c r="E216" s="111"/>
      <c r="F216" s="111"/>
      <c r="G216" s="111"/>
      <c r="H216" s="111"/>
      <c r="I216" s="48"/>
      <c r="J216" s="60"/>
      <c r="K216" s="46"/>
      <c r="L216" s="48">
        <f>L218+L221+L220</f>
        <v>29591.880000000005</v>
      </c>
    </row>
    <row r="217" spans="1:12" ht="14.25" hidden="1">
      <c r="A217" s="60"/>
      <c r="B217" s="63"/>
      <c r="C217" s="113" t="s">
        <v>427</v>
      </c>
      <c r="D217" s="111"/>
      <c r="E217" s="111"/>
      <c r="F217" s="111"/>
      <c r="G217" s="111"/>
      <c r="H217" s="111"/>
      <c r="I217" s="48"/>
      <c r="J217" s="60"/>
      <c r="K217" s="46"/>
      <c r="L217" s="48"/>
    </row>
    <row r="218" spans="1:12" ht="14.25">
      <c r="A218" s="60"/>
      <c r="B218" s="63"/>
      <c r="C218" s="111" t="s">
        <v>426</v>
      </c>
      <c r="D218" s="111"/>
      <c r="E218" s="111"/>
      <c r="F218" s="111"/>
      <c r="G218" s="111"/>
      <c r="H218" s="111"/>
      <c r="I218" s="48"/>
      <c r="J218" s="60"/>
      <c r="K218" s="46"/>
      <c r="L218" s="48">
        <f>SUMIF(CD52:CD207, 1, AO52:AO207)</f>
        <v>22333.260000000006</v>
      </c>
    </row>
    <row r="219" spans="1:12" ht="14.25" hidden="1">
      <c r="A219" s="60"/>
      <c r="B219" s="63"/>
      <c r="C219" s="113" t="s">
        <v>428</v>
      </c>
      <c r="D219" s="111"/>
      <c r="E219" s="111"/>
      <c r="F219" s="111"/>
      <c r="G219" s="111"/>
      <c r="H219" s="111"/>
      <c r="I219" s="48"/>
      <c r="J219" s="60"/>
      <c r="K219" s="46"/>
      <c r="L219" s="48"/>
    </row>
    <row r="220" spans="1:12" ht="14.25">
      <c r="A220" s="60"/>
      <c r="B220" s="63"/>
      <c r="C220" s="111" t="s">
        <v>437</v>
      </c>
      <c r="D220" s="111"/>
      <c r="E220" s="111"/>
      <c r="F220" s="111"/>
      <c r="G220" s="111"/>
      <c r="H220" s="111"/>
      <c r="I220" s="48"/>
      <c r="J220" s="60"/>
      <c r="K220" s="46"/>
      <c r="L220" s="48">
        <f>SUMIF(CD52:CD207, 1, AT52:AT207)</f>
        <v>7258.62</v>
      </c>
    </row>
    <row r="221" spans="1:12" ht="14.25" hidden="1">
      <c r="A221" s="60"/>
      <c r="B221" s="63"/>
      <c r="C221" s="111" t="s">
        <v>429</v>
      </c>
      <c r="D221" s="111"/>
      <c r="E221" s="111"/>
      <c r="F221" s="111"/>
      <c r="G221" s="111"/>
      <c r="H221" s="111"/>
      <c r="I221" s="48"/>
      <c r="J221" s="60"/>
      <c r="K221" s="46"/>
      <c r="L221" s="48">
        <f>SUMIF(CD52:CD207, 1, AV52:AV207)</f>
        <v>0</v>
      </c>
    </row>
    <row r="222" spans="1:12" ht="14.25">
      <c r="A222" s="60"/>
      <c r="B222" s="63"/>
      <c r="C222" s="111" t="s">
        <v>430</v>
      </c>
      <c r="D222" s="111"/>
      <c r="E222" s="111"/>
      <c r="F222" s="111"/>
      <c r="G222" s="111"/>
      <c r="H222" s="111"/>
      <c r="I222" s="48"/>
      <c r="J222" s="60"/>
      <c r="K222" s="46"/>
      <c r="L222" s="48">
        <f>L224+L225</f>
        <v>4333.3600000000006</v>
      </c>
    </row>
    <row r="223" spans="1:12" ht="14.25">
      <c r="A223" s="60"/>
      <c r="B223" s="63"/>
      <c r="C223" s="113" t="s">
        <v>427</v>
      </c>
      <c r="D223" s="111"/>
      <c r="E223" s="111"/>
      <c r="F223" s="111"/>
      <c r="G223" s="111"/>
      <c r="H223" s="111"/>
      <c r="I223" s="48"/>
      <c r="J223" s="60"/>
      <c r="K223" s="46"/>
      <c r="L223" s="48"/>
    </row>
    <row r="224" spans="1:12" ht="14.25">
      <c r="A224" s="60"/>
      <c r="B224" s="63"/>
      <c r="C224" s="111" t="s">
        <v>431</v>
      </c>
      <c r="D224" s="111"/>
      <c r="E224" s="111"/>
      <c r="F224" s="111"/>
      <c r="G224" s="111"/>
      <c r="H224" s="111"/>
      <c r="I224" s="48"/>
      <c r="J224" s="60"/>
      <c r="K224" s="46"/>
      <c r="L224" s="48">
        <f>SUMIF(CD52:CD207, 1, AW52:AW207)-SUMIF(CD52:CD207, 1, BK52:BK207)</f>
        <v>4333.3600000000006</v>
      </c>
    </row>
    <row r="225" spans="1:12" ht="14.25" hidden="1">
      <c r="A225" s="60"/>
      <c r="B225" s="63"/>
      <c r="C225" s="111" t="s">
        <v>432</v>
      </c>
      <c r="D225" s="111"/>
      <c r="E225" s="111"/>
      <c r="F225" s="111"/>
      <c r="G225" s="111"/>
      <c r="H225" s="111"/>
      <c r="I225" s="48"/>
      <c r="J225" s="60"/>
      <c r="K225" s="46"/>
      <c r="L225" s="48">
        <f>SUMIF(CD52:CD207, 1, BC52:BC207)</f>
        <v>0</v>
      </c>
    </row>
    <row r="226" spans="1:12" ht="14.25" hidden="1">
      <c r="A226" s="60"/>
      <c r="B226" s="63"/>
      <c r="C226" s="111" t="s">
        <v>433</v>
      </c>
      <c r="D226" s="111"/>
      <c r="E226" s="111"/>
      <c r="F226" s="111"/>
      <c r="G226" s="111"/>
      <c r="H226" s="111"/>
      <c r="I226" s="48"/>
      <c r="J226" s="60"/>
      <c r="K226" s="46"/>
      <c r="L226" s="48">
        <f>SUMIF(CD52:CD207, 1, BB52:BB207)</f>
        <v>0</v>
      </c>
    </row>
    <row r="227" spans="1:12" ht="14.25">
      <c r="A227" s="60"/>
      <c r="B227" s="63"/>
      <c r="C227" s="111" t="s">
        <v>434</v>
      </c>
      <c r="D227" s="111"/>
      <c r="E227" s="111"/>
      <c r="F227" s="111"/>
      <c r="G227" s="111"/>
      <c r="H227" s="111"/>
      <c r="I227" s="48"/>
      <c r="J227" s="60"/>
      <c r="K227" s="46"/>
      <c r="L227" s="48">
        <f>SUMIF(CD52:CD207, 1, AR52:AR207)+SUMIF(CD52:CD207, 1, AT52:AT207)+SUMIF(CD52:CD207, 1, AV52:AV207)</f>
        <v>28173.989999999998</v>
      </c>
    </row>
    <row r="228" spans="1:12" ht="14.25">
      <c r="A228" s="60"/>
      <c r="B228" s="63"/>
      <c r="C228" s="111" t="s">
        <v>435</v>
      </c>
      <c r="D228" s="111"/>
      <c r="E228" s="111"/>
      <c r="F228" s="111"/>
      <c r="G228" s="111"/>
      <c r="H228" s="111"/>
      <c r="I228" s="48"/>
      <c r="J228" s="60"/>
      <c r="K228" s="46"/>
      <c r="L228" s="48">
        <f>SUMIF(CD52:CD207, 1, AZ52:AZ207)</f>
        <v>34113.56</v>
      </c>
    </row>
    <row r="229" spans="1:12" ht="14.25">
      <c r="A229" s="60"/>
      <c r="B229" s="63"/>
      <c r="C229" s="111" t="s">
        <v>436</v>
      </c>
      <c r="D229" s="111"/>
      <c r="E229" s="111"/>
      <c r="F229" s="111"/>
      <c r="G229" s="111"/>
      <c r="H229" s="111"/>
      <c r="I229" s="48"/>
      <c r="J229" s="60"/>
      <c r="K229" s="46"/>
      <c r="L229" s="48">
        <f>SUMIF(CD52:CD207, 1, BA52:BA207)</f>
        <v>23901.100000000002</v>
      </c>
    </row>
    <row r="230" spans="1:12" hidden="1"/>
    <row r="231" spans="1:12" ht="15" hidden="1">
      <c r="A231" s="64"/>
      <c r="B231" s="65"/>
      <c r="C231" s="114" t="s">
        <v>438</v>
      </c>
      <c r="D231" s="114"/>
      <c r="E231" s="114"/>
      <c r="F231" s="114"/>
      <c r="G231" s="114"/>
      <c r="H231" s="114"/>
      <c r="I231" s="51"/>
      <c r="J231" s="64"/>
      <c r="K231" s="66"/>
      <c r="L231" s="51">
        <f>L233+L248+L249</f>
        <v>0</v>
      </c>
    </row>
    <row r="232" spans="1:12" ht="14.25" hidden="1">
      <c r="A232" s="60"/>
      <c r="B232" s="63"/>
      <c r="C232" s="113" t="s">
        <v>423</v>
      </c>
      <c r="D232" s="111"/>
      <c r="E232" s="111"/>
      <c r="F232" s="111"/>
      <c r="G232" s="111"/>
      <c r="H232" s="111"/>
      <c r="I232" s="48"/>
      <c r="J232" s="60"/>
      <c r="K232" s="46"/>
      <c r="L232" s="48"/>
    </row>
    <row r="233" spans="1:12" ht="14.25" hidden="1">
      <c r="A233" s="60"/>
      <c r="B233" s="63"/>
      <c r="C233" s="111" t="s">
        <v>424</v>
      </c>
      <c r="D233" s="111"/>
      <c r="E233" s="111"/>
      <c r="F233" s="111"/>
      <c r="G233" s="111"/>
      <c r="H233" s="111"/>
      <c r="I233" s="48"/>
      <c r="J233" s="60"/>
      <c r="K233" s="46"/>
      <c r="L233" s="48">
        <f>L235+L236+L242+L246</f>
        <v>0</v>
      </c>
    </row>
    <row r="234" spans="1:12" ht="14.25" hidden="1">
      <c r="A234" s="60"/>
      <c r="B234" s="63"/>
      <c r="C234" s="113" t="s">
        <v>423</v>
      </c>
      <c r="D234" s="111"/>
      <c r="E234" s="111"/>
      <c r="F234" s="111"/>
      <c r="G234" s="111"/>
      <c r="H234" s="111"/>
      <c r="I234" s="48"/>
      <c r="J234" s="60"/>
      <c r="K234" s="46"/>
      <c r="L234" s="48"/>
    </row>
    <row r="235" spans="1:12" ht="14.25" hidden="1">
      <c r="A235" s="60"/>
      <c r="B235" s="63"/>
      <c r="C235" s="111" t="s">
        <v>425</v>
      </c>
      <c r="D235" s="111"/>
      <c r="E235" s="111"/>
      <c r="F235" s="111"/>
      <c r="G235" s="111"/>
      <c r="H235" s="111"/>
      <c r="I235" s="48"/>
      <c r="J235" s="60"/>
      <c r="K235" s="46"/>
      <c r="L235" s="48">
        <f>SUMIF(CD52:CD229, 2, AR52:AR229)</f>
        <v>0</v>
      </c>
    </row>
    <row r="236" spans="1:12" ht="14.25" hidden="1">
      <c r="A236" s="60"/>
      <c r="B236" s="63"/>
      <c r="C236" s="111" t="s">
        <v>426</v>
      </c>
      <c r="D236" s="111"/>
      <c r="E236" s="111"/>
      <c r="F236" s="111"/>
      <c r="G236" s="111"/>
      <c r="H236" s="111"/>
      <c r="I236" s="48"/>
      <c r="J236" s="60"/>
      <c r="K236" s="46"/>
      <c r="L236" s="48">
        <f>L238+L241+L240</f>
        <v>0</v>
      </c>
    </row>
    <row r="237" spans="1:12" ht="14.25" hidden="1">
      <c r="A237" s="60"/>
      <c r="B237" s="63"/>
      <c r="C237" s="113" t="s">
        <v>427</v>
      </c>
      <c r="D237" s="111"/>
      <c r="E237" s="111"/>
      <c r="F237" s="111"/>
      <c r="G237" s="111"/>
      <c r="H237" s="111"/>
      <c r="I237" s="48"/>
      <c r="J237" s="60"/>
      <c r="K237" s="46"/>
      <c r="L237" s="48"/>
    </row>
    <row r="238" spans="1:12" ht="14.25" hidden="1">
      <c r="A238" s="60"/>
      <c r="B238" s="63"/>
      <c r="C238" s="111" t="s">
        <v>426</v>
      </c>
      <c r="D238" s="111"/>
      <c r="E238" s="111"/>
      <c r="F238" s="111"/>
      <c r="G238" s="111"/>
      <c r="H238" s="111"/>
      <c r="I238" s="48"/>
      <c r="J238" s="60"/>
      <c r="K238" s="46"/>
      <c r="L238" s="48">
        <f>SUMIF(CD52:CD229, 2, AO52:AO229)</f>
        <v>0</v>
      </c>
    </row>
    <row r="239" spans="1:12" ht="14.25" hidden="1">
      <c r="A239" s="60"/>
      <c r="B239" s="63"/>
      <c r="C239" s="113" t="s">
        <v>428</v>
      </c>
      <c r="D239" s="111"/>
      <c r="E239" s="111"/>
      <c r="F239" s="111"/>
      <c r="G239" s="111"/>
      <c r="H239" s="111"/>
      <c r="I239" s="48"/>
      <c r="J239" s="60"/>
      <c r="K239" s="46"/>
      <c r="L239" s="48"/>
    </row>
    <row r="240" spans="1:12" ht="14.25" hidden="1">
      <c r="A240" s="60"/>
      <c r="B240" s="63"/>
      <c r="C240" s="111" t="s">
        <v>437</v>
      </c>
      <c r="D240" s="111"/>
      <c r="E240" s="111"/>
      <c r="F240" s="111"/>
      <c r="G240" s="111"/>
      <c r="H240" s="111"/>
      <c r="I240" s="48"/>
      <c r="J240" s="60"/>
      <c r="K240" s="46"/>
      <c r="L240" s="48">
        <f>SUMIF(CD52:CD229, 2, AT52:AT229)</f>
        <v>0</v>
      </c>
    </row>
    <row r="241" spans="1:12" ht="14.25" hidden="1">
      <c r="A241" s="60"/>
      <c r="B241" s="63"/>
      <c r="C241" s="111" t="s">
        <v>429</v>
      </c>
      <c r="D241" s="111"/>
      <c r="E241" s="111"/>
      <c r="F241" s="111"/>
      <c r="G241" s="111"/>
      <c r="H241" s="111"/>
      <c r="I241" s="48"/>
      <c r="J241" s="60"/>
      <c r="K241" s="46"/>
      <c r="L241" s="48">
        <f>SUMIF(CD52:CD229, 2, AV52:AV229)</f>
        <v>0</v>
      </c>
    </row>
    <row r="242" spans="1:12" ht="14.25" hidden="1">
      <c r="A242" s="60"/>
      <c r="B242" s="63"/>
      <c r="C242" s="111" t="s">
        <v>430</v>
      </c>
      <c r="D242" s="111"/>
      <c r="E242" s="111"/>
      <c r="F242" s="111"/>
      <c r="G242" s="111"/>
      <c r="H242" s="111"/>
      <c r="I242" s="48"/>
      <c r="J242" s="60"/>
      <c r="K242" s="46"/>
      <c r="L242" s="48">
        <f>L244+L245</f>
        <v>0</v>
      </c>
    </row>
    <row r="243" spans="1:12" ht="14.25" hidden="1">
      <c r="A243" s="60"/>
      <c r="B243" s="63"/>
      <c r="C243" s="113" t="s">
        <v>427</v>
      </c>
      <c r="D243" s="111"/>
      <c r="E243" s="111"/>
      <c r="F243" s="111"/>
      <c r="G243" s="111"/>
      <c r="H243" s="111"/>
      <c r="I243" s="48"/>
      <c r="J243" s="60"/>
      <c r="K243" s="46"/>
      <c r="L243" s="48"/>
    </row>
    <row r="244" spans="1:12" ht="14.25" hidden="1">
      <c r="A244" s="60"/>
      <c r="B244" s="63"/>
      <c r="C244" s="111" t="s">
        <v>431</v>
      </c>
      <c r="D244" s="111"/>
      <c r="E244" s="111"/>
      <c r="F244" s="111"/>
      <c r="G244" s="111"/>
      <c r="H244" s="111"/>
      <c r="I244" s="48"/>
      <c r="J244" s="60"/>
      <c r="K244" s="46"/>
      <c r="L244" s="48">
        <f>SUMIF(CD52:CD229, 2, AW52:AW229)-SUMIF(CD52:CD229, 2, BK52:BK229)</f>
        <v>0</v>
      </c>
    </row>
    <row r="245" spans="1:12" ht="14.25" hidden="1">
      <c r="A245" s="60"/>
      <c r="B245" s="63"/>
      <c r="C245" s="111" t="s">
        <v>432</v>
      </c>
      <c r="D245" s="111"/>
      <c r="E245" s="111"/>
      <c r="F245" s="111"/>
      <c r="G245" s="111"/>
      <c r="H245" s="111"/>
      <c r="I245" s="48"/>
      <c r="J245" s="60"/>
      <c r="K245" s="46"/>
      <c r="L245" s="48">
        <f>SUMIF(CD52:CD229, 2, BC52:BC229)</f>
        <v>0</v>
      </c>
    </row>
    <row r="246" spans="1:12" ht="14.25" hidden="1">
      <c r="A246" s="60"/>
      <c r="B246" s="63"/>
      <c r="C246" s="111" t="s">
        <v>433</v>
      </c>
      <c r="D246" s="111"/>
      <c r="E246" s="111"/>
      <c r="F246" s="111"/>
      <c r="G246" s="111"/>
      <c r="H246" s="111"/>
      <c r="I246" s="48"/>
      <c r="J246" s="60"/>
      <c r="K246" s="46"/>
      <c r="L246" s="48">
        <f>SUMIF(CD52:CD229, 2, BB52:BB229)</f>
        <v>0</v>
      </c>
    </row>
    <row r="247" spans="1:12" ht="14.25" hidden="1">
      <c r="A247" s="60"/>
      <c r="B247" s="63"/>
      <c r="C247" s="111" t="s">
        <v>434</v>
      </c>
      <c r="D247" s="111"/>
      <c r="E247" s="111"/>
      <c r="F247" s="111"/>
      <c r="G247" s="111"/>
      <c r="H247" s="111"/>
      <c r="I247" s="48"/>
      <c r="J247" s="60"/>
      <c r="K247" s="46"/>
      <c r="L247" s="48">
        <f>SUMIF(CD52:CD229, 2, AR52:AR229)+SUMIF(CD52:CD229, 2, AT52:AT229)+SUMIF(CD52:CD229, 2, AV52:AV229)</f>
        <v>0</v>
      </c>
    </row>
    <row r="248" spans="1:12" ht="14.25" hidden="1">
      <c r="A248" s="60"/>
      <c r="B248" s="63"/>
      <c r="C248" s="111" t="s">
        <v>435</v>
      </c>
      <c r="D248" s="111"/>
      <c r="E248" s="111"/>
      <c r="F248" s="111"/>
      <c r="G248" s="111"/>
      <c r="H248" s="111"/>
      <c r="I248" s="48"/>
      <c r="J248" s="60"/>
      <c r="K248" s="46"/>
      <c r="L248" s="48">
        <f>SUMIF(CD52:CD229, 2, AZ52:AZ229)</f>
        <v>0</v>
      </c>
    </row>
    <row r="249" spans="1:12" ht="14.25" hidden="1">
      <c r="A249" s="60"/>
      <c r="B249" s="63"/>
      <c r="C249" s="111" t="s">
        <v>436</v>
      </c>
      <c r="D249" s="111"/>
      <c r="E249" s="111"/>
      <c r="F249" s="111"/>
      <c r="G249" s="111"/>
      <c r="H249" s="111"/>
      <c r="I249" s="48"/>
      <c r="J249" s="60"/>
      <c r="K249" s="46"/>
      <c r="L249" s="48">
        <f>SUMIF(CD52:CD229, 2, BA52:BA229)</f>
        <v>0</v>
      </c>
    </row>
    <row r="250" spans="1:12" hidden="1"/>
    <row r="251" spans="1:12" ht="15" hidden="1">
      <c r="A251" s="64"/>
      <c r="B251" s="65"/>
      <c r="C251" s="114" t="s">
        <v>439</v>
      </c>
      <c r="D251" s="114"/>
      <c r="E251" s="114"/>
      <c r="F251" s="114"/>
      <c r="G251" s="114"/>
      <c r="H251" s="114"/>
      <c r="I251" s="51"/>
      <c r="J251" s="64"/>
      <c r="K251" s="66"/>
      <c r="L251" s="51">
        <f>L253+L254</f>
        <v>0</v>
      </c>
    </row>
    <row r="252" spans="1:12" ht="14.25" hidden="1">
      <c r="A252" s="60"/>
      <c r="B252" s="63"/>
      <c r="C252" s="113" t="s">
        <v>423</v>
      </c>
      <c r="D252" s="111"/>
      <c r="E252" s="111"/>
      <c r="F252" s="111"/>
      <c r="G252" s="111"/>
      <c r="H252" s="111"/>
      <c r="I252" s="48"/>
      <c r="J252" s="60"/>
      <c r="K252" s="46"/>
      <c r="L252" s="48"/>
    </row>
    <row r="253" spans="1:12" ht="14.25" hidden="1">
      <c r="A253" s="60"/>
      <c r="B253" s="63"/>
      <c r="C253" s="111" t="s">
        <v>440</v>
      </c>
      <c r="D253" s="111"/>
      <c r="E253" s="111"/>
      <c r="F253" s="111"/>
      <c r="G253" s="111"/>
      <c r="H253" s="111"/>
      <c r="I253" s="48"/>
      <c r="J253" s="60"/>
      <c r="K253" s="46"/>
      <c r="L253" s="48">
        <f>SUMIF(CD52:CD249, 3, BK52:BK249)</f>
        <v>0</v>
      </c>
    </row>
    <row r="254" spans="1:12" ht="14.25" hidden="1">
      <c r="A254" s="60"/>
      <c r="B254" s="63"/>
      <c r="C254" s="111" t="s">
        <v>441</v>
      </c>
      <c r="D254" s="111"/>
      <c r="E254" s="111"/>
      <c r="F254" s="111"/>
      <c r="G254" s="111"/>
      <c r="H254" s="111"/>
      <c r="I254" s="48"/>
      <c r="J254" s="60"/>
      <c r="K254" s="46"/>
      <c r="L254" s="48">
        <f>SUMIF(CD52:CD249, 3, BD52:BD249)</f>
        <v>0</v>
      </c>
    </row>
    <row r="255" spans="1:12" hidden="1"/>
    <row r="256" spans="1:12" ht="15" hidden="1">
      <c r="A256" s="64"/>
      <c r="B256" s="65"/>
      <c r="C256" s="114" t="s">
        <v>442</v>
      </c>
      <c r="D256" s="114"/>
      <c r="E256" s="114"/>
      <c r="F256" s="114"/>
      <c r="G256" s="114"/>
      <c r="H256" s="114"/>
      <c r="I256" s="51"/>
      <c r="J256" s="64"/>
      <c r="K256" s="66"/>
      <c r="L256" s="51">
        <f>L264+L279+L280+L258+L259+L260+L261</f>
        <v>0</v>
      </c>
    </row>
    <row r="257" spans="1:12" ht="14.25" hidden="1">
      <c r="A257" s="60"/>
      <c r="B257" s="63"/>
      <c r="C257" s="113" t="s">
        <v>423</v>
      </c>
      <c r="D257" s="111"/>
      <c r="E257" s="111"/>
      <c r="F257" s="111"/>
      <c r="G257" s="111"/>
      <c r="H257" s="111"/>
      <c r="I257" s="48"/>
      <c r="J257" s="60"/>
      <c r="K257" s="46"/>
      <c r="L257" s="48"/>
    </row>
    <row r="258" spans="1:12" ht="14.25" hidden="1">
      <c r="A258" s="60"/>
      <c r="B258" s="63"/>
      <c r="C258" s="111" t="s">
        <v>443</v>
      </c>
      <c r="D258" s="111"/>
      <c r="E258" s="111"/>
      <c r="F258" s="111"/>
      <c r="G258" s="111"/>
      <c r="H258" s="111"/>
      <c r="I258" s="48"/>
      <c r="J258" s="60"/>
      <c r="K258" s="46"/>
      <c r="L258" s="48"/>
    </row>
    <row r="259" spans="1:12" ht="14.25" hidden="1">
      <c r="A259" s="60"/>
      <c r="B259" s="63"/>
      <c r="C259" s="111" t="s">
        <v>443</v>
      </c>
      <c r="D259" s="111"/>
      <c r="E259" s="111"/>
      <c r="F259" s="111"/>
      <c r="G259" s="111"/>
      <c r="H259" s="111"/>
      <c r="I259" s="48"/>
      <c r="J259" s="60"/>
      <c r="K259" s="46"/>
      <c r="L259" s="48">
        <f>SUM(BQ52:BQ254)</f>
        <v>0</v>
      </c>
    </row>
    <row r="260" spans="1:12" ht="14.25" hidden="1">
      <c r="A260" s="60"/>
      <c r="B260" s="63"/>
      <c r="C260" s="111" t="s">
        <v>444</v>
      </c>
      <c r="D260" s="111"/>
      <c r="E260" s="111"/>
      <c r="F260" s="111"/>
      <c r="G260" s="111"/>
      <c r="H260" s="111"/>
      <c r="I260" s="48"/>
      <c r="J260" s="60"/>
      <c r="K260" s="46"/>
      <c r="L260" s="48">
        <f>SUMIF(CD52:CD254, 4, BB52:BB254)+SUMIF(CD52:CD254, 4, BC52:BC254)+SUMIF(CD52:CD254, 4, BD52:BD254)</f>
        <v>0</v>
      </c>
    </row>
    <row r="261" spans="1:12" ht="14.25" hidden="1">
      <c r="A261" s="60"/>
      <c r="B261" s="63"/>
      <c r="C261" s="111" t="s">
        <v>445</v>
      </c>
      <c r="D261" s="111"/>
      <c r="E261" s="111"/>
      <c r="F261" s="111"/>
      <c r="G261" s="111"/>
      <c r="H261" s="111"/>
      <c r="I261" s="48"/>
      <c r="J261" s="60"/>
      <c r="K261" s="46"/>
      <c r="L261" s="48">
        <f>SUM(BO52:BO254)</f>
        <v>0</v>
      </c>
    </row>
    <row r="262" spans="1:12" ht="14.25" hidden="1">
      <c r="A262" s="60"/>
      <c r="B262" s="63"/>
      <c r="C262" s="111" t="s">
        <v>446</v>
      </c>
      <c r="D262" s="111"/>
      <c r="E262" s="111"/>
      <c r="F262" s="111"/>
      <c r="G262" s="111"/>
      <c r="H262" s="111"/>
      <c r="I262" s="48"/>
      <c r="J262" s="60"/>
      <c r="K262" s="46"/>
      <c r="L262" s="48">
        <f>L264+L279+L280</f>
        <v>0</v>
      </c>
    </row>
    <row r="263" spans="1:12" ht="14.25" hidden="1">
      <c r="A263" s="60"/>
      <c r="B263" s="63"/>
      <c r="C263" s="113" t="s">
        <v>423</v>
      </c>
      <c r="D263" s="111"/>
      <c r="E263" s="111"/>
      <c r="F263" s="111"/>
      <c r="G263" s="111"/>
      <c r="H263" s="111"/>
      <c r="I263" s="48"/>
      <c r="J263" s="60"/>
      <c r="K263" s="46"/>
      <c r="L263" s="48"/>
    </row>
    <row r="264" spans="1:12" ht="14.25" hidden="1">
      <c r="A264" s="60"/>
      <c r="B264" s="63"/>
      <c r="C264" s="111" t="s">
        <v>424</v>
      </c>
      <c r="D264" s="111"/>
      <c r="E264" s="111"/>
      <c r="F264" s="111"/>
      <c r="G264" s="111"/>
      <c r="H264" s="111"/>
      <c r="I264" s="48"/>
      <c r="J264" s="60"/>
      <c r="K264" s="46"/>
      <c r="L264" s="48">
        <f>L266+L267+L273+L277</f>
        <v>0</v>
      </c>
    </row>
    <row r="265" spans="1:12" ht="14.25" hidden="1">
      <c r="A265" s="60"/>
      <c r="B265" s="63"/>
      <c r="C265" s="113" t="s">
        <v>423</v>
      </c>
      <c r="D265" s="111"/>
      <c r="E265" s="111"/>
      <c r="F265" s="111"/>
      <c r="G265" s="111"/>
      <c r="H265" s="111"/>
      <c r="I265" s="48"/>
      <c r="J265" s="60"/>
      <c r="K265" s="46"/>
      <c r="L265" s="48"/>
    </row>
    <row r="266" spans="1:12" ht="14.25" hidden="1">
      <c r="A266" s="60"/>
      <c r="B266" s="63"/>
      <c r="C266" s="111" t="s">
        <v>425</v>
      </c>
      <c r="D266" s="111"/>
      <c r="E266" s="111"/>
      <c r="F266" s="111"/>
      <c r="G266" s="111"/>
      <c r="H266" s="111"/>
      <c r="I266" s="48"/>
      <c r="J266" s="60"/>
      <c r="K266" s="46"/>
      <c r="L266" s="48">
        <f>SUMIF(CD52:CD254, 4, AR52:AR254)</f>
        <v>0</v>
      </c>
    </row>
    <row r="267" spans="1:12" ht="14.25" hidden="1">
      <c r="A267" s="60"/>
      <c r="B267" s="63"/>
      <c r="C267" s="111" t="s">
        <v>426</v>
      </c>
      <c r="D267" s="111"/>
      <c r="E267" s="111"/>
      <c r="F267" s="111"/>
      <c r="G267" s="111"/>
      <c r="H267" s="111"/>
      <c r="I267" s="48"/>
      <c r="J267" s="60"/>
      <c r="K267" s="46"/>
      <c r="L267" s="48">
        <f>L269+L272+L271</f>
        <v>0</v>
      </c>
    </row>
    <row r="268" spans="1:12" ht="14.25" hidden="1">
      <c r="A268" s="60"/>
      <c r="B268" s="63"/>
      <c r="C268" s="113" t="s">
        <v>427</v>
      </c>
      <c r="D268" s="111"/>
      <c r="E268" s="111"/>
      <c r="F268" s="111"/>
      <c r="G268" s="111"/>
      <c r="H268" s="111"/>
      <c r="I268" s="48"/>
      <c r="J268" s="60"/>
      <c r="K268" s="46"/>
      <c r="L268" s="48"/>
    </row>
    <row r="269" spans="1:12" ht="14.25" hidden="1">
      <c r="A269" s="60"/>
      <c r="B269" s="63"/>
      <c r="C269" s="111" t="s">
        <v>426</v>
      </c>
      <c r="D269" s="111"/>
      <c r="E269" s="111"/>
      <c r="F269" s="111"/>
      <c r="G269" s="111"/>
      <c r="H269" s="111"/>
      <c r="I269" s="48"/>
      <c r="J269" s="60"/>
      <c r="K269" s="46"/>
      <c r="L269" s="48">
        <f>SUMIF(CD52:CD254, 4, AO52:AO254)</f>
        <v>0</v>
      </c>
    </row>
    <row r="270" spans="1:12" ht="14.25" hidden="1">
      <c r="A270" s="60"/>
      <c r="B270" s="63"/>
      <c r="C270" s="113" t="s">
        <v>428</v>
      </c>
      <c r="D270" s="111"/>
      <c r="E270" s="111"/>
      <c r="F270" s="111"/>
      <c r="G270" s="111"/>
      <c r="H270" s="111"/>
      <c r="I270" s="48"/>
      <c r="J270" s="60"/>
      <c r="K270" s="46"/>
      <c r="L270" s="48"/>
    </row>
    <row r="271" spans="1:12" ht="14.25" hidden="1">
      <c r="A271" s="60"/>
      <c r="B271" s="63"/>
      <c r="C271" s="111" t="s">
        <v>437</v>
      </c>
      <c r="D271" s="111"/>
      <c r="E271" s="111"/>
      <c r="F271" s="111"/>
      <c r="G271" s="111"/>
      <c r="H271" s="111"/>
      <c r="I271" s="48"/>
      <c r="J271" s="60"/>
      <c r="K271" s="46"/>
      <c r="L271" s="48">
        <f>SUMIF(CD52:CD254, 4, AT52:AT254)</f>
        <v>0</v>
      </c>
    </row>
    <row r="272" spans="1:12" ht="14.25" hidden="1">
      <c r="A272" s="60"/>
      <c r="B272" s="63"/>
      <c r="C272" s="111" t="s">
        <v>429</v>
      </c>
      <c r="D272" s="111"/>
      <c r="E272" s="111"/>
      <c r="F272" s="111"/>
      <c r="G272" s="111"/>
      <c r="H272" s="111"/>
      <c r="I272" s="48"/>
      <c r="J272" s="60"/>
      <c r="K272" s="46"/>
      <c r="L272" s="48">
        <f>SUMIF(CD52:CD254, 4, AV52:AV254)</f>
        <v>0</v>
      </c>
    </row>
    <row r="273" spans="1:12" ht="14.25" hidden="1">
      <c r="A273" s="60"/>
      <c r="B273" s="63"/>
      <c r="C273" s="111" t="s">
        <v>430</v>
      </c>
      <c r="D273" s="111"/>
      <c r="E273" s="111"/>
      <c r="F273" s="111"/>
      <c r="G273" s="111"/>
      <c r="H273" s="111"/>
      <c r="I273" s="48"/>
      <c r="J273" s="60"/>
      <c r="K273" s="46"/>
      <c r="L273" s="48">
        <f>L275+L276</f>
        <v>0</v>
      </c>
    </row>
    <row r="274" spans="1:12" ht="14.25" hidden="1">
      <c r="A274" s="60"/>
      <c r="B274" s="63"/>
      <c r="C274" s="113" t="s">
        <v>427</v>
      </c>
      <c r="D274" s="111"/>
      <c r="E274" s="111"/>
      <c r="F274" s="111"/>
      <c r="G274" s="111"/>
      <c r="H274" s="111"/>
      <c r="I274" s="48"/>
      <c r="J274" s="60"/>
      <c r="K274" s="46"/>
      <c r="L274" s="48"/>
    </row>
    <row r="275" spans="1:12" ht="14.25" hidden="1">
      <c r="A275" s="60"/>
      <c r="B275" s="63"/>
      <c r="C275" s="111" t="s">
        <v>431</v>
      </c>
      <c r="D275" s="111"/>
      <c r="E275" s="111"/>
      <c r="F275" s="111"/>
      <c r="G275" s="111"/>
      <c r="H275" s="111"/>
      <c r="I275" s="48"/>
      <c r="J275" s="60"/>
      <c r="K275" s="46"/>
      <c r="L275" s="48">
        <f>SUMIF(CD52:CD254, 4, AW52:AW254)-SUMIF(CD52:CD254, 4, BK52:BK254)</f>
        <v>0</v>
      </c>
    </row>
    <row r="276" spans="1:12" ht="14.25" hidden="1">
      <c r="A276" s="60"/>
      <c r="B276" s="63"/>
      <c r="C276" s="111" t="s">
        <v>432</v>
      </c>
      <c r="D276" s="111"/>
      <c r="E276" s="111"/>
      <c r="F276" s="111"/>
      <c r="G276" s="111"/>
      <c r="H276" s="111"/>
      <c r="I276" s="48"/>
      <c r="J276" s="60"/>
      <c r="K276" s="46"/>
      <c r="L276" s="48">
        <f>SUMIF(CD52:CD254, 4, BC52:BC254)</f>
        <v>0</v>
      </c>
    </row>
    <row r="277" spans="1:12" ht="14.25" hidden="1">
      <c r="A277" s="60"/>
      <c r="B277" s="63"/>
      <c r="C277" s="111" t="s">
        <v>433</v>
      </c>
      <c r="D277" s="111"/>
      <c r="E277" s="111"/>
      <c r="F277" s="111"/>
      <c r="G277" s="111"/>
      <c r="H277" s="111"/>
      <c r="I277" s="48"/>
      <c r="J277" s="60"/>
      <c r="K277" s="46"/>
      <c r="L277" s="48">
        <f>SUMIF(CD52:CD254, 4, BB52:BB254)</f>
        <v>0</v>
      </c>
    </row>
    <row r="278" spans="1:12" ht="14.25" hidden="1">
      <c r="A278" s="60"/>
      <c r="B278" s="63"/>
      <c r="C278" s="111" t="s">
        <v>434</v>
      </c>
      <c r="D278" s="111"/>
      <c r="E278" s="111"/>
      <c r="F278" s="111"/>
      <c r="G278" s="111"/>
      <c r="H278" s="111"/>
      <c r="I278" s="48"/>
      <c r="J278" s="60"/>
      <c r="K278" s="46"/>
      <c r="L278" s="48">
        <f>SUMIF(CD52:CD254, 4, AR52:AR254)+SUMIF(CD52:CD254, 4, AT52:AT254)+SUMIF(CD52:CD254, 4, AV52:AV254)</f>
        <v>0</v>
      </c>
    </row>
    <row r="279" spans="1:12" ht="14.25" hidden="1">
      <c r="A279" s="60"/>
      <c r="B279" s="63"/>
      <c r="C279" s="111" t="s">
        <v>435</v>
      </c>
      <c r="D279" s="111"/>
      <c r="E279" s="111"/>
      <c r="F279" s="111"/>
      <c r="G279" s="111"/>
      <c r="H279" s="111"/>
      <c r="I279" s="48"/>
      <c r="J279" s="60"/>
      <c r="K279" s="46"/>
      <c r="L279" s="48">
        <f>SUMIF(CD52:CD254, 4, AZ52:AZ254)</f>
        <v>0</v>
      </c>
    </row>
    <row r="280" spans="1:12" ht="14.25" hidden="1">
      <c r="A280" s="60"/>
      <c r="B280" s="63"/>
      <c r="C280" s="111" t="s">
        <v>436</v>
      </c>
      <c r="D280" s="111"/>
      <c r="E280" s="111"/>
      <c r="F280" s="111"/>
      <c r="G280" s="111"/>
      <c r="H280" s="111"/>
      <c r="I280" s="48"/>
      <c r="J280" s="60"/>
      <c r="K280" s="46"/>
      <c r="L280" s="48">
        <f>SUMIF(CD52:CD254, 4, BA52:BA254)</f>
        <v>0</v>
      </c>
    </row>
    <row r="282" spans="1:12" ht="15">
      <c r="A282" s="64"/>
      <c r="B282" s="65"/>
      <c r="C282" s="114" t="s">
        <v>447</v>
      </c>
      <c r="D282" s="114"/>
      <c r="E282" s="114"/>
      <c r="F282" s="114"/>
      <c r="G282" s="114"/>
      <c r="H282" s="114"/>
      <c r="I282" s="51"/>
      <c r="J282" s="64"/>
      <c r="K282" s="66"/>
      <c r="L282" s="51">
        <f>L211+L231+L251+L256</f>
        <v>112855.27</v>
      </c>
    </row>
    <row r="283" spans="1:12" ht="14.25">
      <c r="A283" s="60"/>
      <c r="B283" s="63"/>
      <c r="C283" s="113" t="s">
        <v>423</v>
      </c>
      <c r="D283" s="111"/>
      <c r="E283" s="111"/>
      <c r="F283" s="111"/>
      <c r="G283" s="111"/>
      <c r="H283" s="111"/>
      <c r="I283" s="48"/>
      <c r="J283" s="60"/>
      <c r="K283" s="46"/>
      <c r="L283" s="48"/>
    </row>
    <row r="284" spans="1:12" ht="14.25">
      <c r="A284" s="60"/>
      <c r="B284" s="63"/>
      <c r="C284" s="111" t="s">
        <v>424</v>
      </c>
      <c r="D284" s="111"/>
      <c r="E284" s="111"/>
      <c r="F284" s="111"/>
      <c r="G284" s="111"/>
      <c r="H284" s="111"/>
      <c r="I284" s="48"/>
      <c r="J284" s="60"/>
      <c r="K284" s="46"/>
      <c r="L284" s="48">
        <f>L286+L287+L293+L297</f>
        <v>54840.61</v>
      </c>
    </row>
    <row r="285" spans="1:12" ht="14.25">
      <c r="A285" s="60"/>
      <c r="B285" s="63"/>
      <c r="C285" s="113" t="s">
        <v>423</v>
      </c>
      <c r="D285" s="111"/>
      <c r="E285" s="111"/>
      <c r="F285" s="111"/>
      <c r="G285" s="111"/>
      <c r="H285" s="111"/>
      <c r="I285" s="48"/>
      <c r="J285" s="60"/>
      <c r="K285" s="46"/>
      <c r="L285" s="48"/>
    </row>
    <row r="286" spans="1:12" ht="14.25">
      <c r="A286" s="60"/>
      <c r="B286" s="63"/>
      <c r="C286" s="111" t="s">
        <v>425</v>
      </c>
      <c r="D286" s="111"/>
      <c r="E286" s="111"/>
      <c r="F286" s="111"/>
      <c r="G286" s="111"/>
      <c r="H286" s="111"/>
      <c r="I286" s="48"/>
      <c r="J286" s="60"/>
      <c r="K286" s="46"/>
      <c r="L286" s="48">
        <f>SUM(AR52:AR280)</f>
        <v>20915.37</v>
      </c>
    </row>
    <row r="287" spans="1:12" ht="14.25" hidden="1">
      <c r="A287" s="60"/>
      <c r="B287" s="63"/>
      <c r="C287" s="111" t="s">
        <v>426</v>
      </c>
      <c r="D287" s="111"/>
      <c r="E287" s="111"/>
      <c r="F287" s="111"/>
      <c r="G287" s="111"/>
      <c r="H287" s="111"/>
      <c r="I287" s="48"/>
      <c r="J287" s="60"/>
      <c r="K287" s="46"/>
      <c r="L287" s="48">
        <f>L289+L292+L291</f>
        <v>29591.880000000005</v>
      </c>
    </row>
    <row r="288" spans="1:12" ht="14.25" hidden="1">
      <c r="A288" s="60"/>
      <c r="B288" s="63"/>
      <c r="C288" s="113" t="s">
        <v>427</v>
      </c>
      <c r="D288" s="111"/>
      <c r="E288" s="111"/>
      <c r="F288" s="111"/>
      <c r="G288" s="111"/>
      <c r="H288" s="111"/>
      <c r="I288" s="48"/>
      <c r="J288" s="60"/>
      <c r="K288" s="46"/>
      <c r="L288" s="48"/>
    </row>
    <row r="289" spans="1:12" ht="14.25">
      <c r="A289" s="60"/>
      <c r="B289" s="63"/>
      <c r="C289" s="111" t="s">
        <v>426</v>
      </c>
      <c r="D289" s="111"/>
      <c r="E289" s="111"/>
      <c r="F289" s="111"/>
      <c r="G289" s="111"/>
      <c r="H289" s="111"/>
      <c r="I289" s="48"/>
      <c r="J289" s="60"/>
      <c r="K289" s="46"/>
      <c r="L289" s="48">
        <f>SUM(AO52:AO280)</f>
        <v>22333.260000000006</v>
      </c>
    </row>
    <row r="290" spans="1:12" ht="14.25" hidden="1">
      <c r="A290" s="60"/>
      <c r="B290" s="63"/>
      <c r="C290" s="113" t="s">
        <v>428</v>
      </c>
      <c r="D290" s="111"/>
      <c r="E290" s="111"/>
      <c r="F290" s="111"/>
      <c r="G290" s="111"/>
      <c r="H290" s="111"/>
      <c r="I290" s="48"/>
      <c r="J290" s="60"/>
      <c r="K290" s="46"/>
      <c r="L290" s="48"/>
    </row>
    <row r="291" spans="1:12" ht="14.25">
      <c r="A291" s="60"/>
      <c r="B291" s="63"/>
      <c r="C291" s="111" t="s">
        <v>437</v>
      </c>
      <c r="D291" s="111"/>
      <c r="E291" s="111"/>
      <c r="F291" s="111"/>
      <c r="G291" s="111"/>
      <c r="H291" s="111"/>
      <c r="I291" s="48"/>
      <c r="J291" s="60"/>
      <c r="K291" s="46"/>
      <c r="L291" s="48">
        <f>SUM(AT52:AT280)</f>
        <v>7258.62</v>
      </c>
    </row>
    <row r="292" spans="1:12" ht="14.25" hidden="1">
      <c r="A292" s="60"/>
      <c r="B292" s="63"/>
      <c r="C292" s="111" t="s">
        <v>429</v>
      </c>
      <c r="D292" s="111"/>
      <c r="E292" s="111"/>
      <c r="F292" s="111"/>
      <c r="G292" s="111"/>
      <c r="H292" s="111"/>
      <c r="I292" s="48"/>
      <c r="J292" s="60"/>
      <c r="K292" s="46"/>
      <c r="L292" s="48">
        <f>SUM(AV52:AV280)</f>
        <v>0</v>
      </c>
    </row>
    <row r="293" spans="1:12" ht="14.25">
      <c r="A293" s="60"/>
      <c r="B293" s="63"/>
      <c r="C293" s="111" t="s">
        <v>430</v>
      </c>
      <c r="D293" s="111"/>
      <c r="E293" s="111"/>
      <c r="F293" s="111"/>
      <c r="G293" s="111"/>
      <c r="H293" s="111"/>
      <c r="I293" s="48"/>
      <c r="J293" s="60"/>
      <c r="K293" s="46"/>
      <c r="L293" s="48">
        <f>L295+L296</f>
        <v>4333.3600000000006</v>
      </c>
    </row>
    <row r="294" spans="1:12" ht="14.25">
      <c r="A294" s="60"/>
      <c r="B294" s="63"/>
      <c r="C294" s="113" t="s">
        <v>427</v>
      </c>
      <c r="D294" s="111"/>
      <c r="E294" s="111"/>
      <c r="F294" s="111"/>
      <c r="G294" s="111"/>
      <c r="H294" s="111"/>
      <c r="I294" s="48"/>
      <c r="J294" s="60"/>
      <c r="K294" s="46"/>
      <c r="L294" s="48"/>
    </row>
    <row r="295" spans="1:12" ht="14.25">
      <c r="A295" s="60"/>
      <c r="B295" s="63"/>
      <c r="C295" s="111" t="s">
        <v>431</v>
      </c>
      <c r="D295" s="111"/>
      <c r="E295" s="111"/>
      <c r="F295" s="111"/>
      <c r="G295" s="111"/>
      <c r="H295" s="111"/>
      <c r="I295" s="48"/>
      <c r="J295" s="60"/>
      <c r="K295" s="46"/>
      <c r="L295" s="48">
        <f>SUM(AW52:AW280)-SUM(BK52:BK280)</f>
        <v>4333.3600000000006</v>
      </c>
    </row>
    <row r="296" spans="1:12" ht="14.25" hidden="1">
      <c r="A296" s="60"/>
      <c r="B296" s="63"/>
      <c r="C296" s="111" t="s">
        <v>432</v>
      </c>
      <c r="D296" s="111"/>
      <c r="E296" s="111"/>
      <c r="F296" s="111"/>
      <c r="G296" s="111"/>
      <c r="H296" s="111"/>
      <c r="I296" s="48"/>
      <c r="J296" s="60"/>
      <c r="K296" s="46"/>
      <c r="L296" s="48">
        <f>SUM(BC52:BC280)</f>
        <v>0</v>
      </c>
    </row>
    <row r="297" spans="1:12" ht="14.25" hidden="1">
      <c r="A297" s="60"/>
      <c r="B297" s="63"/>
      <c r="C297" s="111" t="s">
        <v>433</v>
      </c>
      <c r="D297" s="111"/>
      <c r="E297" s="111"/>
      <c r="F297" s="111"/>
      <c r="G297" s="111"/>
      <c r="H297" s="111"/>
      <c r="I297" s="48"/>
      <c r="J297" s="60"/>
      <c r="K297" s="46"/>
      <c r="L297" s="48">
        <f>SUM(BB52:BB280)</f>
        <v>0</v>
      </c>
    </row>
    <row r="298" spans="1:12" ht="14.25">
      <c r="A298" s="60"/>
      <c r="B298" s="63"/>
      <c r="C298" s="111" t="s">
        <v>448</v>
      </c>
      <c r="D298" s="111"/>
      <c r="E298" s="111"/>
      <c r="F298" s="111"/>
      <c r="G298" s="111"/>
      <c r="H298" s="111"/>
      <c r="I298" s="48"/>
      <c r="J298" s="60"/>
      <c r="K298" s="46"/>
      <c r="L298" s="48">
        <f>SUM(AR52:AR280)+SUM(AT52:AT280)+SUM(AV52:AV280)</f>
        <v>28173.989999999998</v>
      </c>
    </row>
    <row r="299" spans="1:12" ht="14.25">
      <c r="A299" s="60"/>
      <c r="B299" s="63"/>
      <c r="C299" s="111" t="s">
        <v>449</v>
      </c>
      <c r="D299" s="111"/>
      <c r="E299" s="111"/>
      <c r="F299" s="111"/>
      <c r="G299" s="111"/>
      <c r="H299" s="111"/>
      <c r="I299" s="48"/>
      <c r="J299" s="60"/>
      <c r="K299" s="46"/>
      <c r="L299" s="48">
        <f>SUM(AZ52:AZ280)</f>
        <v>34113.56</v>
      </c>
    </row>
    <row r="300" spans="1:12" ht="14.25">
      <c r="A300" s="60"/>
      <c r="B300" s="63"/>
      <c r="C300" s="111" t="s">
        <v>450</v>
      </c>
      <c r="D300" s="111"/>
      <c r="E300" s="111"/>
      <c r="F300" s="111"/>
      <c r="G300" s="111"/>
      <c r="H300" s="111"/>
      <c r="I300" s="48"/>
      <c r="J300" s="60"/>
      <c r="K300" s="46"/>
      <c r="L300" s="48">
        <f>SUM(BA52:BA280)</f>
        <v>23901.100000000002</v>
      </c>
    </row>
    <row r="301" spans="1:12" ht="14.25" hidden="1">
      <c r="A301" s="60"/>
      <c r="B301" s="63"/>
      <c r="C301" s="111" t="s">
        <v>451</v>
      </c>
      <c r="D301" s="111"/>
      <c r="E301" s="111"/>
      <c r="F301" s="111"/>
      <c r="G301" s="111"/>
      <c r="H301" s="111"/>
      <c r="I301" s="48"/>
      <c r="J301" s="60"/>
      <c r="K301" s="46"/>
      <c r="L301" s="48">
        <f>L303+L304</f>
        <v>0</v>
      </c>
    </row>
    <row r="302" spans="1:12" ht="14.25" hidden="1">
      <c r="A302" s="60"/>
      <c r="B302" s="63"/>
      <c r="C302" s="113" t="s">
        <v>423</v>
      </c>
      <c r="D302" s="111"/>
      <c r="E302" s="111"/>
      <c r="F302" s="111"/>
      <c r="G302" s="111"/>
      <c r="H302" s="111"/>
      <c r="I302" s="48"/>
      <c r="J302" s="60"/>
      <c r="K302" s="46"/>
      <c r="L302" s="48"/>
    </row>
    <row r="303" spans="1:12" ht="14.25" hidden="1">
      <c r="A303" s="60"/>
      <c r="B303" s="63"/>
      <c r="C303" s="111" t="s">
        <v>440</v>
      </c>
      <c r="D303" s="111"/>
      <c r="E303" s="111"/>
      <c r="F303" s="111"/>
      <c r="G303" s="111"/>
      <c r="H303" s="111"/>
      <c r="I303" s="48"/>
      <c r="J303" s="60"/>
      <c r="K303" s="46"/>
      <c r="L303" s="48">
        <f>SUM(BK52:BK280)</f>
        <v>0</v>
      </c>
    </row>
    <row r="304" spans="1:12" ht="14.25" hidden="1">
      <c r="A304" s="60"/>
      <c r="B304" s="63"/>
      <c r="C304" s="111" t="s">
        <v>441</v>
      </c>
      <c r="D304" s="111"/>
      <c r="E304" s="111"/>
      <c r="F304" s="111"/>
      <c r="G304" s="111"/>
      <c r="H304" s="111"/>
      <c r="I304" s="48"/>
      <c r="J304" s="60"/>
      <c r="K304" s="46"/>
      <c r="L304" s="48">
        <f>SUM(BD52:BD280)</f>
        <v>0</v>
      </c>
    </row>
    <row r="305" spans="1:12" ht="14.25" hidden="1">
      <c r="A305" s="60"/>
      <c r="B305" s="63"/>
      <c r="C305" s="111" t="s">
        <v>452</v>
      </c>
      <c r="D305" s="111"/>
      <c r="E305" s="111"/>
      <c r="F305" s="111"/>
      <c r="G305" s="111"/>
      <c r="H305" s="111"/>
      <c r="I305" s="48"/>
      <c r="J305" s="60"/>
      <c r="K305" s="46"/>
      <c r="L305" s="48">
        <f>L256</f>
        <v>0</v>
      </c>
    </row>
    <row r="306" spans="1:12" ht="14.25">
      <c r="A306" s="60"/>
      <c r="B306" s="63"/>
      <c r="C306" s="114" t="s">
        <v>453</v>
      </c>
      <c r="D306" s="111"/>
      <c r="E306" s="111"/>
      <c r="F306" s="111"/>
      <c r="G306" s="111"/>
      <c r="H306" s="111"/>
      <c r="I306" s="48"/>
      <c r="J306" s="60"/>
      <c r="K306" s="46"/>
      <c r="L306" s="48"/>
    </row>
    <row r="307" spans="1:12" ht="14.25" hidden="1">
      <c r="A307" s="60"/>
      <c r="B307" s="63"/>
      <c r="C307" s="111" t="s">
        <v>454</v>
      </c>
      <c r="D307" s="111"/>
      <c r="E307" s="111"/>
      <c r="F307" s="111"/>
      <c r="G307" s="111"/>
      <c r="H307" s="111"/>
      <c r="I307" s="48"/>
      <c r="J307" s="60"/>
      <c r="K307" s="46"/>
      <c r="L307" s="48">
        <f>SUM(AX52:AX280)</f>
        <v>0</v>
      </c>
    </row>
    <row r="308" spans="1:12" ht="14.25" hidden="1">
      <c r="A308" s="60"/>
      <c r="B308" s="63"/>
      <c r="C308" s="111" t="s">
        <v>455</v>
      </c>
      <c r="D308" s="111"/>
      <c r="E308" s="111"/>
      <c r="F308" s="111"/>
      <c r="G308" s="111"/>
      <c r="H308" s="111"/>
      <c r="I308" s="48"/>
      <c r="J308" s="60"/>
      <c r="K308" s="46"/>
      <c r="L308" s="48">
        <f>SUM(AY52:AY280)</f>
        <v>0</v>
      </c>
    </row>
    <row r="309" spans="1:12" ht="14.25">
      <c r="A309" s="60"/>
      <c r="B309" s="63"/>
      <c r="C309" s="111" t="s">
        <v>456</v>
      </c>
      <c r="D309" s="111"/>
      <c r="E309" s="111"/>
      <c r="F309" s="112"/>
      <c r="G309" s="50">
        <f>Source!F64</f>
        <v>49.771999999999998</v>
      </c>
      <c r="H309" s="60"/>
      <c r="I309" s="60"/>
      <c r="J309" s="60"/>
      <c r="K309" s="60"/>
      <c r="L309" s="60"/>
    </row>
    <row r="310" spans="1:12" ht="14.25">
      <c r="A310" s="60"/>
      <c r="B310" s="63"/>
      <c r="C310" s="111" t="s">
        <v>457</v>
      </c>
      <c r="D310" s="111"/>
      <c r="E310" s="111"/>
      <c r="F310" s="112"/>
      <c r="G310" s="50">
        <f>Source!F65</f>
        <v>12.61312</v>
      </c>
      <c r="H310" s="60"/>
      <c r="I310" s="60"/>
      <c r="J310" s="60"/>
      <c r="K310" s="60"/>
      <c r="L310" s="60"/>
    </row>
    <row r="312" spans="1:12" ht="14.25">
      <c r="C312" s="110" t="str">
        <f>Source!H71</f>
        <v>Итого по смете</v>
      </c>
      <c r="D312" s="110"/>
      <c r="E312" s="110"/>
      <c r="F312" s="110"/>
      <c r="G312" s="110"/>
      <c r="H312" s="110"/>
      <c r="I312" s="110"/>
      <c r="J312" s="110"/>
      <c r="K312" s="110"/>
      <c r="L312" s="58">
        <f>IF(Source!Y71=0, "", Source!Y71)</f>
        <v>110670.73</v>
      </c>
    </row>
    <row r="313" spans="1:12" ht="14.25">
      <c r="C313" s="110" t="str">
        <f>Source!H72</f>
        <v>Временные здания и сооружения</v>
      </c>
      <c r="D313" s="110"/>
      <c r="E313" s="110"/>
      <c r="F313" s="110"/>
      <c r="G313" s="110"/>
      <c r="H313" s="110"/>
      <c r="I313" s="110"/>
      <c r="J313" s="110"/>
      <c r="K313" s="110"/>
      <c r="L313" s="58">
        <f>IF(Source!Y72=0, "", Source!Y72)</f>
        <v>6861.59</v>
      </c>
    </row>
    <row r="314" spans="1:12" ht="14.25">
      <c r="C314" s="110" t="str">
        <f>Source!H73</f>
        <v>Итого с временными зданиями и сооружениями</v>
      </c>
      <c r="D314" s="110"/>
      <c r="E314" s="110"/>
      <c r="F314" s="110"/>
      <c r="G314" s="110"/>
      <c r="H314" s="110"/>
      <c r="I314" s="110"/>
      <c r="J314" s="110"/>
      <c r="K314" s="110"/>
      <c r="L314" s="58">
        <f>IF(Source!Y73=0, "", Source!Y73)</f>
        <v>117532.32</v>
      </c>
    </row>
    <row r="315" spans="1:12" ht="14.25">
      <c r="C315" s="110" t="str">
        <f>Source!H74</f>
        <v>НДС 22%</v>
      </c>
      <c r="D315" s="110"/>
      <c r="E315" s="110"/>
      <c r="F315" s="110"/>
      <c r="G315" s="110"/>
      <c r="H315" s="110"/>
      <c r="I315" s="110"/>
      <c r="J315" s="110"/>
      <c r="K315" s="110"/>
      <c r="L315" s="58">
        <f>IF(Source!Y74=0, "", Source!Y74)</f>
        <v>25857.11</v>
      </c>
    </row>
    <row r="316" spans="1:12" ht="14.25">
      <c r="C316" s="110" t="str">
        <f>Source!H75</f>
        <v>Всего с НДС</v>
      </c>
      <c r="D316" s="110"/>
      <c r="E316" s="110"/>
      <c r="F316" s="110"/>
      <c r="G316" s="110"/>
      <c r="H316" s="110"/>
      <c r="I316" s="110"/>
      <c r="J316" s="110"/>
      <c r="K316" s="110"/>
      <c r="L316" s="58">
        <f>IF(Source!Y75=0, "", Source!Y75)</f>
        <v>143389.43</v>
      </c>
    </row>
    <row r="318" spans="1:12" ht="16.5">
      <c r="B318" s="107" t="str">
        <f>CONCATENATE( "Основание: ЛС №", Source!L20)</f>
        <v>Основание: ЛС №Новая локальная смета</v>
      </c>
      <c r="C318" s="107"/>
      <c r="D318" s="107"/>
      <c r="E318" s="107"/>
    </row>
    <row r="319" spans="1:12" ht="16.5">
      <c r="B319" s="108" t="s">
        <v>501</v>
      </c>
      <c r="C319" s="109"/>
      <c r="D319" s="109"/>
      <c r="E319" s="109"/>
    </row>
    <row r="320" spans="1:12" ht="16.5">
      <c r="B320" s="108" t="str">
        <f>CONCATENATE("Локальная смета: ",IF(Source!G42&lt;&gt;"Новая локальная смета", Source!G42, ""))</f>
        <v>Локальная смета: ремонт трубы</v>
      </c>
      <c r="C320" s="109"/>
      <c r="D320" s="109"/>
      <c r="E320" s="109"/>
    </row>
    <row r="321" spans="2:101" ht="42.75">
      <c r="B321" s="75" t="s">
        <v>372</v>
      </c>
      <c r="C321" s="75" t="s">
        <v>502</v>
      </c>
      <c r="D321" s="75" t="s">
        <v>374</v>
      </c>
      <c r="E321" s="75" t="s">
        <v>503</v>
      </c>
    </row>
    <row r="322" spans="2:101" ht="14.25">
      <c r="B322" s="75">
        <v>1</v>
      </c>
      <c r="C322" s="75">
        <v>2</v>
      </c>
      <c r="D322" s="75">
        <v>3</v>
      </c>
      <c r="E322" s="75">
        <v>4</v>
      </c>
    </row>
    <row r="323" spans="2:101" ht="14.25">
      <c r="B323" s="104" t="s">
        <v>504</v>
      </c>
      <c r="C323" s="105"/>
      <c r="D323" s="105"/>
      <c r="E323" s="105"/>
    </row>
    <row r="324" spans="2:101" ht="14.25">
      <c r="B324" s="76" t="s">
        <v>256</v>
      </c>
      <c r="C324" s="77" t="s">
        <v>257</v>
      </c>
      <c r="D324" s="77" t="s">
        <v>258</v>
      </c>
      <c r="E324" s="78">
        <f>ROUND(SUMIF(RV_DATA!Z7:Z48, 370475345, RV_DATA!I7:I48), 6)</f>
        <v>0.26550000000000001</v>
      </c>
      <c r="CW324">
        <v>1</v>
      </c>
    </row>
    <row r="325" spans="2:101" ht="14.25">
      <c r="B325" s="76" t="s">
        <v>324</v>
      </c>
      <c r="C325" s="77" t="s">
        <v>325</v>
      </c>
      <c r="D325" s="77" t="s">
        <v>258</v>
      </c>
      <c r="E325" s="78">
        <f>ROUND(SUMIF(RV_DATA!Z7:Z48, -1833565283, RV_DATA!I7:I48), 6)</f>
        <v>14.0085</v>
      </c>
      <c r="CW325">
        <v>1</v>
      </c>
    </row>
    <row r="326" spans="2:101" ht="14.25">
      <c r="B326" s="76" t="s">
        <v>265</v>
      </c>
      <c r="C326" s="77" t="s">
        <v>266</v>
      </c>
      <c r="D326" s="77" t="s">
        <v>258</v>
      </c>
      <c r="E326" s="78">
        <f>ROUND(SUMIF(RV_DATA!Z7:Z48, 888410196, RV_DATA!I7:I48), 6)</f>
        <v>33.768000000000001</v>
      </c>
      <c r="CW326">
        <v>1</v>
      </c>
    </row>
    <row r="327" spans="2:101" ht="14.25">
      <c r="B327" s="76" t="s">
        <v>306</v>
      </c>
      <c r="C327" s="77" t="s">
        <v>307</v>
      </c>
      <c r="D327" s="77" t="s">
        <v>258</v>
      </c>
      <c r="E327" s="78">
        <f>ROUND(SUMIF(RV_DATA!Z7:Z48, 1522950421, RV_DATA!I7:I48), 6)</f>
        <v>0.14000000000000001</v>
      </c>
      <c r="CW327">
        <v>1</v>
      </c>
    </row>
    <row r="328" spans="2:101" ht="14.25">
      <c r="B328" s="76" t="s">
        <v>291</v>
      </c>
      <c r="C328" s="77" t="s">
        <v>292</v>
      </c>
      <c r="D328" s="77" t="s">
        <v>258</v>
      </c>
      <c r="E328" s="78">
        <f>ROUND(SUMIF(RV_DATA!Z7:Z48, 1521243167, RV_DATA!I7:I48), 6)</f>
        <v>1.59</v>
      </c>
      <c r="CW328">
        <v>1</v>
      </c>
    </row>
    <row r="329" spans="2:101" ht="14.25">
      <c r="B329" s="104" t="s">
        <v>505</v>
      </c>
      <c r="C329" s="105"/>
      <c r="D329" s="105"/>
      <c r="E329" s="105"/>
    </row>
    <row r="330" spans="2:101" ht="28.5">
      <c r="B330" s="76" t="s">
        <v>69</v>
      </c>
      <c r="C330" s="77" t="s">
        <v>70</v>
      </c>
      <c r="D330" s="77" t="s">
        <v>66</v>
      </c>
      <c r="E330" s="78">
        <f>ROUND(SUMIF(RV_DATA!Z7:Z48, 626856282, RV_DATA!I7:I48), 6)</f>
        <v>0</v>
      </c>
      <c r="CW330">
        <v>2</v>
      </c>
    </row>
    <row r="331" spans="2:101" ht="42.75">
      <c r="B331" s="76" t="s">
        <v>261</v>
      </c>
      <c r="C331" s="77" t="s">
        <v>263</v>
      </c>
      <c r="D331" s="77" t="s">
        <v>66</v>
      </c>
      <c r="E331" s="78">
        <f>ROUND(SUMIF(RV_DATA!Z7:Z48, 1473885390, RV_DATA!I7:I48), 6)</f>
        <v>1.3225499999999999</v>
      </c>
      <c r="CW331">
        <v>2</v>
      </c>
    </row>
    <row r="332" spans="2:101" ht="42.75">
      <c r="B332" s="76" t="s">
        <v>107</v>
      </c>
      <c r="C332" s="77" t="s">
        <v>108</v>
      </c>
      <c r="D332" s="77" t="s">
        <v>66</v>
      </c>
      <c r="E332" s="78">
        <f>ROUND(SUMIF(RV_DATA!Z7:Z48, -972071566, RV_DATA!I7:I48), 6)</f>
        <v>0</v>
      </c>
      <c r="CW332">
        <v>2</v>
      </c>
    </row>
    <row r="333" spans="2:101" ht="42.75">
      <c r="B333" s="76" t="s">
        <v>64</v>
      </c>
      <c r="C333" s="77" t="s">
        <v>65</v>
      </c>
      <c r="D333" s="77" t="s">
        <v>66</v>
      </c>
      <c r="E333" s="78">
        <f>ROUND(SUMIF(RV_DATA!Z7:Z48, -598721075, RV_DATA!I7:I48), 6)</f>
        <v>3.51</v>
      </c>
      <c r="CW333">
        <v>2</v>
      </c>
    </row>
    <row r="334" spans="2:101" ht="42.75">
      <c r="B334" s="76" t="s">
        <v>333</v>
      </c>
      <c r="C334" s="77" t="s">
        <v>335</v>
      </c>
      <c r="D334" s="77" t="s">
        <v>66</v>
      </c>
      <c r="E334" s="78">
        <f>ROUND(SUMIF(RV_DATA!Z7:Z48, -1355227874, RV_DATA!I7:I48), 6)</f>
        <v>4.7249999999999996</v>
      </c>
      <c r="CW334">
        <v>2</v>
      </c>
    </row>
    <row r="335" spans="2:101" ht="42.75">
      <c r="B335" s="76" t="s">
        <v>326</v>
      </c>
      <c r="C335" s="77" t="s">
        <v>328</v>
      </c>
      <c r="D335" s="77" t="s">
        <v>66</v>
      </c>
      <c r="E335" s="78">
        <f>ROUND(SUMIF(RV_DATA!Z7:Z48, 4789874, RV_DATA!I7:I48), 6)</f>
        <v>4.7249999999999996</v>
      </c>
      <c r="CW335">
        <v>2</v>
      </c>
    </row>
    <row r="336" spans="2:101" ht="28.5">
      <c r="B336" s="76" t="s">
        <v>267</v>
      </c>
      <c r="C336" s="77" t="s">
        <v>269</v>
      </c>
      <c r="D336" s="77" t="s">
        <v>66</v>
      </c>
      <c r="E336" s="78">
        <f>ROUND(SUMIF(RV_DATA!Z7:Z48, -1505731505, RV_DATA!I7:I48), 6)</f>
        <v>2.9941800000000001</v>
      </c>
      <c r="CW336">
        <v>2</v>
      </c>
    </row>
    <row r="337" spans="2:101" ht="28.5">
      <c r="B337" s="76" t="s">
        <v>271</v>
      </c>
      <c r="C337" s="77" t="s">
        <v>273</v>
      </c>
      <c r="D337" s="77" t="s">
        <v>66</v>
      </c>
      <c r="E337" s="78">
        <f>ROUND(SUMIF(RV_DATA!Z7:Z48, -849950259, RV_DATA!I7:I48), 6)</f>
        <v>8.7459999999999996E-2</v>
      </c>
      <c r="CW337">
        <v>2</v>
      </c>
    </row>
    <row r="338" spans="2:101" ht="28.5">
      <c r="B338" s="76" t="s">
        <v>308</v>
      </c>
      <c r="C338" s="77" t="s">
        <v>310</v>
      </c>
      <c r="D338" s="77" t="s">
        <v>66</v>
      </c>
      <c r="E338" s="78">
        <f>ROUND(SUMIF(RV_DATA!Z7:Z48, -245244677, RV_DATA!I7:I48), 6)</f>
        <v>9.9299999999999996E-3</v>
      </c>
      <c r="CW338">
        <v>2</v>
      </c>
    </row>
    <row r="339" spans="2:101" ht="14.25">
      <c r="B339" s="76" t="s">
        <v>293</v>
      </c>
      <c r="C339" s="77" t="s">
        <v>295</v>
      </c>
      <c r="D339" s="77" t="s">
        <v>66</v>
      </c>
      <c r="E339" s="78">
        <f>ROUND(SUMIF(RV_DATA!Z7:Z48, -880363394, RV_DATA!I7:I48), 6)</f>
        <v>0.44</v>
      </c>
      <c r="CW339">
        <v>2</v>
      </c>
    </row>
    <row r="340" spans="2:101" ht="57">
      <c r="B340" s="76" t="s">
        <v>329</v>
      </c>
      <c r="C340" s="77" t="s">
        <v>331</v>
      </c>
      <c r="D340" s="77" t="s">
        <v>66</v>
      </c>
      <c r="E340" s="78">
        <f>ROUND(SUMIF(RV_DATA!Z7:Z48, 1282244495, RV_DATA!I7:I48), 6)</f>
        <v>1.179</v>
      </c>
      <c r="CW340">
        <v>2</v>
      </c>
    </row>
    <row r="341" spans="2:101" ht="14.25">
      <c r="B341" s="104" t="s">
        <v>506</v>
      </c>
      <c r="C341" s="105"/>
      <c r="D341" s="105"/>
      <c r="E341" s="105"/>
    </row>
    <row r="342" spans="2:101" ht="42.75">
      <c r="B342" s="76" t="s">
        <v>275</v>
      </c>
      <c r="C342" s="77" t="s">
        <v>277</v>
      </c>
      <c r="D342" s="77" t="s">
        <v>84</v>
      </c>
      <c r="E342" s="78">
        <f>ROUND(SUMIF(RV_DATA!Z7:Z48, 192185020, RV_DATA!I7:I48), 6)</f>
        <v>1.14E-2</v>
      </c>
      <c r="CW342">
        <v>3</v>
      </c>
    </row>
    <row r="343" spans="2:101" ht="14.25">
      <c r="B343" s="76" t="s">
        <v>296</v>
      </c>
      <c r="C343" s="77" t="s">
        <v>298</v>
      </c>
      <c r="D343" s="77" t="s">
        <v>113</v>
      </c>
      <c r="E343" s="78">
        <f>ROUND(SUMIF(RV_DATA!Z7:Z48, -2058989610, RV_DATA!I7:I48), 6)</f>
        <v>1.59</v>
      </c>
      <c r="CW343">
        <v>3</v>
      </c>
    </row>
    <row r="344" spans="2:101" ht="14.25">
      <c r="B344" s="76" t="s">
        <v>299</v>
      </c>
      <c r="C344" s="77" t="s">
        <v>301</v>
      </c>
      <c r="D344" s="77" t="s">
        <v>284</v>
      </c>
      <c r="E344" s="78">
        <f>ROUND(SUMIF(RV_DATA!Z7:Z48, -1568219933, RV_DATA!I7:I48), 6)</f>
        <v>4.0655999999999999</v>
      </c>
      <c r="CW344">
        <v>3</v>
      </c>
    </row>
    <row r="345" spans="2:101" ht="14.25">
      <c r="B345" s="76" t="s">
        <v>278</v>
      </c>
      <c r="C345" s="77" t="s">
        <v>280</v>
      </c>
      <c r="D345" s="77" t="s">
        <v>113</v>
      </c>
      <c r="E345" s="78">
        <f>ROUND(SUMIF(RV_DATA!Z7:Z48, 1964556667, RV_DATA!I7:I48), 6)</f>
        <v>7.85</v>
      </c>
      <c r="CW345">
        <v>3</v>
      </c>
    </row>
    <row r="346" spans="2:101" ht="57">
      <c r="B346" s="76" t="s">
        <v>311</v>
      </c>
      <c r="C346" s="77" t="s">
        <v>313</v>
      </c>
      <c r="D346" s="77" t="s">
        <v>89</v>
      </c>
      <c r="E346" s="78">
        <f>ROUND(SUMIF(RV_DATA!Z7:Z48, 1711398520, RV_DATA!I7:I48), 6)</f>
        <v>0.47799999999999998</v>
      </c>
      <c r="CW346">
        <v>3</v>
      </c>
    </row>
    <row r="347" spans="2:101" ht="57">
      <c r="B347" s="76" t="s">
        <v>281</v>
      </c>
      <c r="C347" s="77" t="s">
        <v>283</v>
      </c>
      <c r="D347" s="77" t="s">
        <v>284</v>
      </c>
      <c r="E347" s="78">
        <f>ROUND(SUMIF(RV_DATA!Z7:Z48, 219322737, RV_DATA!I7:I48), 6)</f>
        <v>8.4</v>
      </c>
      <c r="CW347">
        <v>3</v>
      </c>
    </row>
    <row r="348" spans="2:101" ht="14.25">
      <c r="B348" s="76" t="s">
        <v>314</v>
      </c>
      <c r="C348" s="77" t="s">
        <v>316</v>
      </c>
      <c r="D348" s="77" t="s">
        <v>89</v>
      </c>
      <c r="E348" s="78">
        <f>ROUND(SUMIF(RV_DATA!Z7:Z48, 2050518453, RV_DATA!I7:I48), 6)</f>
        <v>8.0000000000000004E-4</v>
      </c>
      <c r="CW348">
        <v>3</v>
      </c>
    </row>
    <row r="349" spans="2:101" ht="28.5">
      <c r="B349" s="76" t="s">
        <v>317</v>
      </c>
      <c r="C349" s="77" t="s">
        <v>319</v>
      </c>
      <c r="D349" s="77" t="s">
        <v>320</v>
      </c>
      <c r="E349" s="78">
        <f>ROUND(SUMIF(RV_DATA!Z7:Z48, -1756344661, RV_DATA!I7:I48), 6)</f>
        <v>1E-4</v>
      </c>
      <c r="CW349">
        <v>3</v>
      </c>
    </row>
    <row r="350" spans="2:101" ht="28.5">
      <c r="B350" s="76" t="s">
        <v>111</v>
      </c>
      <c r="C350" s="77" t="s">
        <v>112</v>
      </c>
      <c r="D350" s="77" t="s">
        <v>113</v>
      </c>
      <c r="E350" s="78">
        <f>ROUND(SUMIF(RV_DATA!Z7:Z48, 318135557, RV_DATA!I7:I48), 6)</f>
        <v>0</v>
      </c>
      <c r="CW350">
        <v>3</v>
      </c>
    </row>
    <row r="351" spans="2:101" ht="28.5">
      <c r="B351" s="76" t="s">
        <v>285</v>
      </c>
      <c r="C351" s="77" t="s">
        <v>287</v>
      </c>
      <c r="D351" s="77" t="s">
        <v>84</v>
      </c>
      <c r="E351" s="78">
        <f>ROUND(SUMIF(RV_DATA!Z7:Z48, 269049756, RV_DATA!I7:I48), 6)</f>
        <v>2.656E-2</v>
      </c>
      <c r="CW351">
        <v>3</v>
      </c>
    </row>
    <row r="352" spans="2:101" ht="28.5">
      <c r="B352" s="76" t="s">
        <v>288</v>
      </c>
      <c r="C352" s="77" t="s">
        <v>290</v>
      </c>
      <c r="D352" s="77" t="s">
        <v>113</v>
      </c>
      <c r="E352" s="78">
        <f>ROUND(SUMIF(RV_DATA!Z7:Z48, -2089581116, RV_DATA!I7:I48), 6)</f>
        <v>6.6000000000000003E-2</v>
      </c>
      <c r="CW352">
        <v>3</v>
      </c>
    </row>
    <row r="353" spans="2:101" ht="57">
      <c r="B353" s="76" t="s">
        <v>302</v>
      </c>
      <c r="C353" s="77" t="s">
        <v>304</v>
      </c>
      <c r="D353" s="77" t="s">
        <v>113</v>
      </c>
      <c r="E353" s="78">
        <f>ROUND(SUMIF(RV_DATA!Z7:Z48, -831399682, RV_DATA!I7:I48), 6)</f>
        <v>2.7E-2</v>
      </c>
      <c r="CW353">
        <v>3</v>
      </c>
    </row>
    <row r="354" spans="2:101" ht="42.75">
      <c r="B354" s="76" t="s">
        <v>87</v>
      </c>
      <c r="C354" s="77" t="s">
        <v>88</v>
      </c>
      <c r="D354" s="77" t="s">
        <v>89</v>
      </c>
      <c r="E354" s="78">
        <f>ROUND(SUMIF(RV_DATA!Z7:Z48, -848550540, RV_DATA!I7:I48), 6)</f>
        <v>0.85</v>
      </c>
      <c r="CW354">
        <v>3</v>
      </c>
    </row>
    <row r="355" spans="2:101" ht="28.5">
      <c r="B355" s="76" t="s">
        <v>321</v>
      </c>
      <c r="C355" s="77" t="s">
        <v>323</v>
      </c>
      <c r="D355" s="77" t="s">
        <v>84</v>
      </c>
      <c r="E355" s="78">
        <f>ROUND(SUMIF(RV_DATA!Z7:Z48, 1435964893, RV_DATA!I7:I48), 6)</f>
        <v>1.2999999999999999E-5</v>
      </c>
      <c r="CW355">
        <v>3</v>
      </c>
    </row>
    <row r="356" spans="2:101" ht="85.5">
      <c r="B356" s="76" t="s">
        <v>82</v>
      </c>
      <c r="C356" s="77" t="s">
        <v>83</v>
      </c>
      <c r="D356" s="77" t="s">
        <v>84</v>
      </c>
      <c r="E356" s="78">
        <f>ROUND(SUMIF(RV_DATA!Z7:Z48, 7353553, RV_DATA!I7:I48), 6)</f>
        <v>1E-3</v>
      </c>
      <c r="CW356">
        <v>3</v>
      </c>
    </row>
    <row r="358" spans="2:101" ht="16.5">
      <c r="B358" s="107" t="str">
        <f>CONCATENATE( "Основание: ЛС №", Source!L20)</f>
        <v>Основание: ЛС №Новая локальная смета</v>
      </c>
      <c r="C358" s="107"/>
      <c r="D358" s="107"/>
      <c r="E358" s="107"/>
    </row>
    <row r="359" spans="2:101" ht="16.5">
      <c r="B359" s="108" t="s">
        <v>501</v>
      </c>
      <c r="C359" s="109"/>
      <c r="D359" s="109"/>
      <c r="E359" s="109"/>
    </row>
    <row r="360" spans="2:101" ht="16.5">
      <c r="B360" s="108" t="str">
        <f>CONCATENATE("Объект: ",IF(Source!G77&lt;&gt;"Новый объект", Source!G77, ""))</f>
        <v>Объект: ремонт трубы</v>
      </c>
      <c r="C360" s="109"/>
      <c r="D360" s="109"/>
      <c r="E360" s="109"/>
    </row>
    <row r="361" spans="2:101" ht="42.75">
      <c r="B361" s="75" t="s">
        <v>372</v>
      </c>
      <c r="C361" s="75" t="s">
        <v>502</v>
      </c>
      <c r="D361" s="75" t="s">
        <v>374</v>
      </c>
      <c r="E361" s="75" t="s">
        <v>503</v>
      </c>
    </row>
    <row r="362" spans="2:101" ht="14.25">
      <c r="B362" s="75">
        <v>1</v>
      </c>
      <c r="C362" s="75">
        <v>2</v>
      </c>
      <c r="D362" s="75">
        <v>3</v>
      </c>
      <c r="E362" s="75">
        <v>4</v>
      </c>
    </row>
    <row r="363" spans="2:101" ht="14.25">
      <c r="B363" s="104" t="s">
        <v>504</v>
      </c>
      <c r="C363" s="105"/>
      <c r="D363" s="105"/>
      <c r="E363" s="105"/>
    </row>
    <row r="364" spans="2:101" ht="14.25">
      <c r="B364" s="76" t="s">
        <v>256</v>
      </c>
      <c r="C364" s="77" t="s">
        <v>257</v>
      </c>
      <c r="D364" s="77" t="s">
        <v>258</v>
      </c>
      <c r="E364" s="78">
        <f>ROUND(SUMIF(RV_DATA!Z6:Z48, 370475345, RV_DATA!I6:I48), 6)</f>
        <v>0.26550000000000001</v>
      </c>
      <c r="CW364">
        <v>1</v>
      </c>
    </row>
    <row r="365" spans="2:101" ht="14.25">
      <c r="B365" s="76" t="s">
        <v>324</v>
      </c>
      <c r="C365" s="77" t="s">
        <v>325</v>
      </c>
      <c r="D365" s="77" t="s">
        <v>258</v>
      </c>
      <c r="E365" s="78">
        <f>ROUND(SUMIF(RV_DATA!Z6:Z48, -1833565283, RV_DATA!I6:I48), 6)</f>
        <v>14.0085</v>
      </c>
      <c r="CW365">
        <v>1</v>
      </c>
    </row>
    <row r="366" spans="2:101" ht="14.25">
      <c r="B366" s="76" t="s">
        <v>265</v>
      </c>
      <c r="C366" s="77" t="s">
        <v>266</v>
      </c>
      <c r="D366" s="77" t="s">
        <v>258</v>
      </c>
      <c r="E366" s="78">
        <f>ROUND(SUMIF(RV_DATA!Z6:Z48, 888410196, RV_DATA!I6:I48), 6)</f>
        <v>33.768000000000001</v>
      </c>
      <c r="CW366">
        <v>1</v>
      </c>
    </row>
    <row r="367" spans="2:101" ht="14.25">
      <c r="B367" s="76" t="s">
        <v>306</v>
      </c>
      <c r="C367" s="77" t="s">
        <v>307</v>
      </c>
      <c r="D367" s="77" t="s">
        <v>258</v>
      </c>
      <c r="E367" s="78">
        <f>ROUND(SUMIF(RV_DATA!Z6:Z48, 1522950421, RV_DATA!I6:I48), 6)</f>
        <v>0.14000000000000001</v>
      </c>
      <c r="CW367">
        <v>1</v>
      </c>
    </row>
    <row r="368" spans="2:101" ht="14.25">
      <c r="B368" s="76" t="s">
        <v>291</v>
      </c>
      <c r="C368" s="77" t="s">
        <v>292</v>
      </c>
      <c r="D368" s="77" t="s">
        <v>258</v>
      </c>
      <c r="E368" s="78">
        <f>ROUND(SUMIF(RV_DATA!Z6:Z48, 1521243167, RV_DATA!I6:I48), 6)</f>
        <v>1.59</v>
      </c>
      <c r="CW368">
        <v>1</v>
      </c>
    </row>
    <row r="369" spans="2:101" ht="14.25">
      <c r="B369" s="104" t="s">
        <v>505</v>
      </c>
      <c r="C369" s="105"/>
      <c r="D369" s="105"/>
      <c r="E369" s="105"/>
    </row>
    <row r="370" spans="2:101" ht="28.5">
      <c r="B370" s="76" t="s">
        <v>69</v>
      </c>
      <c r="C370" s="77" t="s">
        <v>70</v>
      </c>
      <c r="D370" s="77" t="s">
        <v>66</v>
      </c>
      <c r="E370" s="78">
        <f>ROUND(SUMIF(RV_DATA!Z6:Z48, 626856282, RV_DATA!I6:I48), 6)</f>
        <v>0</v>
      </c>
      <c r="CW370">
        <v>2</v>
      </c>
    </row>
    <row r="371" spans="2:101" ht="42.75">
      <c r="B371" s="76" t="s">
        <v>261</v>
      </c>
      <c r="C371" s="77" t="s">
        <v>263</v>
      </c>
      <c r="D371" s="77" t="s">
        <v>66</v>
      </c>
      <c r="E371" s="78">
        <f>ROUND(SUMIF(RV_DATA!Z6:Z48, 1473885390, RV_DATA!I6:I48), 6)</f>
        <v>1.3225499999999999</v>
      </c>
      <c r="CW371">
        <v>2</v>
      </c>
    </row>
    <row r="372" spans="2:101" ht="42.75">
      <c r="B372" s="76" t="s">
        <v>107</v>
      </c>
      <c r="C372" s="77" t="s">
        <v>108</v>
      </c>
      <c r="D372" s="77" t="s">
        <v>66</v>
      </c>
      <c r="E372" s="78">
        <f>ROUND(SUMIF(RV_DATA!Z6:Z48, -972071566, RV_DATA!I6:I48), 6)</f>
        <v>0</v>
      </c>
      <c r="CW372">
        <v>2</v>
      </c>
    </row>
    <row r="373" spans="2:101" ht="42.75">
      <c r="B373" s="76" t="s">
        <v>64</v>
      </c>
      <c r="C373" s="77" t="s">
        <v>65</v>
      </c>
      <c r="D373" s="77" t="s">
        <v>66</v>
      </c>
      <c r="E373" s="78">
        <f>ROUND(SUMIF(RV_DATA!Z6:Z48, -598721075, RV_DATA!I6:I48), 6)</f>
        <v>3.51</v>
      </c>
      <c r="CW373">
        <v>2</v>
      </c>
    </row>
    <row r="374" spans="2:101" ht="42.75">
      <c r="B374" s="76" t="s">
        <v>333</v>
      </c>
      <c r="C374" s="77" t="s">
        <v>335</v>
      </c>
      <c r="D374" s="77" t="s">
        <v>66</v>
      </c>
      <c r="E374" s="78">
        <f>ROUND(SUMIF(RV_DATA!Z6:Z48, -1355227874, RV_DATA!I6:I48), 6)</f>
        <v>4.7249999999999996</v>
      </c>
      <c r="CW374">
        <v>2</v>
      </c>
    </row>
    <row r="375" spans="2:101" ht="42.75">
      <c r="B375" s="76" t="s">
        <v>326</v>
      </c>
      <c r="C375" s="77" t="s">
        <v>328</v>
      </c>
      <c r="D375" s="77" t="s">
        <v>66</v>
      </c>
      <c r="E375" s="78">
        <f>ROUND(SUMIF(RV_DATA!Z6:Z48, 4789874, RV_DATA!I6:I48), 6)</f>
        <v>4.7249999999999996</v>
      </c>
      <c r="CW375">
        <v>2</v>
      </c>
    </row>
    <row r="376" spans="2:101" ht="28.5">
      <c r="B376" s="76" t="s">
        <v>267</v>
      </c>
      <c r="C376" s="77" t="s">
        <v>269</v>
      </c>
      <c r="D376" s="77" t="s">
        <v>66</v>
      </c>
      <c r="E376" s="78">
        <f>ROUND(SUMIF(RV_DATA!Z6:Z48, -1505731505, RV_DATA!I6:I48), 6)</f>
        <v>2.9941800000000001</v>
      </c>
      <c r="CW376">
        <v>2</v>
      </c>
    </row>
    <row r="377" spans="2:101" ht="28.5">
      <c r="B377" s="76" t="s">
        <v>271</v>
      </c>
      <c r="C377" s="77" t="s">
        <v>273</v>
      </c>
      <c r="D377" s="77" t="s">
        <v>66</v>
      </c>
      <c r="E377" s="78">
        <f>ROUND(SUMIF(RV_DATA!Z6:Z48, -849950259, RV_DATA!I6:I48), 6)</f>
        <v>8.7459999999999996E-2</v>
      </c>
      <c r="CW377">
        <v>2</v>
      </c>
    </row>
    <row r="378" spans="2:101" ht="28.5">
      <c r="B378" s="76" t="s">
        <v>308</v>
      </c>
      <c r="C378" s="77" t="s">
        <v>310</v>
      </c>
      <c r="D378" s="77" t="s">
        <v>66</v>
      </c>
      <c r="E378" s="78">
        <f>ROUND(SUMIF(RV_DATA!Z6:Z48, -245244677, RV_DATA!I6:I48), 6)</f>
        <v>9.9299999999999996E-3</v>
      </c>
      <c r="CW378">
        <v>2</v>
      </c>
    </row>
    <row r="379" spans="2:101" ht="14.25">
      <c r="B379" s="76" t="s">
        <v>293</v>
      </c>
      <c r="C379" s="77" t="s">
        <v>295</v>
      </c>
      <c r="D379" s="77" t="s">
        <v>66</v>
      </c>
      <c r="E379" s="78">
        <f>ROUND(SUMIF(RV_DATA!Z6:Z48, -880363394, RV_DATA!I6:I48), 6)</f>
        <v>0.44</v>
      </c>
      <c r="CW379">
        <v>2</v>
      </c>
    </row>
    <row r="380" spans="2:101" ht="57">
      <c r="B380" s="76" t="s">
        <v>329</v>
      </c>
      <c r="C380" s="77" t="s">
        <v>331</v>
      </c>
      <c r="D380" s="77" t="s">
        <v>66</v>
      </c>
      <c r="E380" s="78">
        <f>ROUND(SUMIF(RV_DATA!Z6:Z48, 1282244495, RV_DATA!I6:I48), 6)</f>
        <v>1.179</v>
      </c>
      <c r="CW380">
        <v>2</v>
      </c>
    </row>
    <row r="381" spans="2:101" ht="14.25">
      <c r="B381" s="104" t="s">
        <v>506</v>
      </c>
      <c r="C381" s="105"/>
      <c r="D381" s="105"/>
      <c r="E381" s="105"/>
    </row>
    <row r="382" spans="2:101" ht="42.75">
      <c r="B382" s="76" t="s">
        <v>275</v>
      </c>
      <c r="C382" s="77" t="s">
        <v>277</v>
      </c>
      <c r="D382" s="77" t="s">
        <v>84</v>
      </c>
      <c r="E382" s="78">
        <f>ROUND(SUMIF(RV_DATA!Z6:Z48, 192185020, RV_DATA!I6:I48), 6)</f>
        <v>1.14E-2</v>
      </c>
      <c r="CW382">
        <v>3</v>
      </c>
    </row>
    <row r="383" spans="2:101" ht="14.25">
      <c r="B383" s="76" t="s">
        <v>296</v>
      </c>
      <c r="C383" s="77" t="s">
        <v>298</v>
      </c>
      <c r="D383" s="77" t="s">
        <v>113</v>
      </c>
      <c r="E383" s="78">
        <f>ROUND(SUMIF(RV_DATA!Z6:Z48, -2058989610, RV_DATA!I6:I48), 6)</f>
        <v>1.59</v>
      </c>
      <c r="CW383">
        <v>3</v>
      </c>
    </row>
    <row r="384" spans="2:101" ht="14.25">
      <c r="B384" s="76" t="s">
        <v>299</v>
      </c>
      <c r="C384" s="77" t="s">
        <v>301</v>
      </c>
      <c r="D384" s="77" t="s">
        <v>284</v>
      </c>
      <c r="E384" s="78">
        <f>ROUND(SUMIF(RV_DATA!Z6:Z48, -1568219933, RV_DATA!I6:I48), 6)</f>
        <v>4.0655999999999999</v>
      </c>
      <c r="CW384">
        <v>3</v>
      </c>
    </row>
    <row r="385" spans="1:101" ht="14.25">
      <c r="B385" s="76" t="s">
        <v>278</v>
      </c>
      <c r="C385" s="77" t="s">
        <v>280</v>
      </c>
      <c r="D385" s="77" t="s">
        <v>113</v>
      </c>
      <c r="E385" s="78">
        <f>ROUND(SUMIF(RV_DATA!Z6:Z48, 1964556667, RV_DATA!I6:I48), 6)</f>
        <v>7.85</v>
      </c>
      <c r="CW385">
        <v>3</v>
      </c>
    </row>
    <row r="386" spans="1:101" ht="57">
      <c r="B386" s="76" t="s">
        <v>311</v>
      </c>
      <c r="C386" s="77" t="s">
        <v>313</v>
      </c>
      <c r="D386" s="77" t="s">
        <v>89</v>
      </c>
      <c r="E386" s="78">
        <f>ROUND(SUMIF(RV_DATA!Z6:Z48, 1711398520, RV_DATA!I6:I48), 6)</f>
        <v>0.47799999999999998</v>
      </c>
      <c r="CW386">
        <v>3</v>
      </c>
    </row>
    <row r="387" spans="1:101" ht="57">
      <c r="B387" s="76" t="s">
        <v>281</v>
      </c>
      <c r="C387" s="77" t="s">
        <v>283</v>
      </c>
      <c r="D387" s="77" t="s">
        <v>284</v>
      </c>
      <c r="E387" s="78">
        <f>ROUND(SUMIF(RV_DATA!Z6:Z48, 219322737, RV_DATA!I6:I48), 6)</f>
        <v>8.4</v>
      </c>
      <c r="CW387">
        <v>3</v>
      </c>
    </row>
    <row r="388" spans="1:101" ht="14.25">
      <c r="B388" s="76" t="s">
        <v>314</v>
      </c>
      <c r="C388" s="77" t="s">
        <v>316</v>
      </c>
      <c r="D388" s="77" t="s">
        <v>89</v>
      </c>
      <c r="E388" s="78">
        <f>ROUND(SUMIF(RV_DATA!Z6:Z48, 2050518453, RV_DATA!I6:I48), 6)</f>
        <v>8.0000000000000004E-4</v>
      </c>
      <c r="CW388">
        <v>3</v>
      </c>
    </row>
    <row r="389" spans="1:101" ht="28.5">
      <c r="B389" s="76" t="s">
        <v>317</v>
      </c>
      <c r="C389" s="77" t="s">
        <v>319</v>
      </c>
      <c r="D389" s="77" t="s">
        <v>320</v>
      </c>
      <c r="E389" s="78">
        <f>ROUND(SUMIF(RV_DATA!Z6:Z48, -1756344661, RV_DATA!I6:I48), 6)</f>
        <v>1E-4</v>
      </c>
      <c r="CW389">
        <v>3</v>
      </c>
    </row>
    <row r="390" spans="1:101" ht="28.5">
      <c r="B390" s="76" t="s">
        <v>111</v>
      </c>
      <c r="C390" s="77" t="s">
        <v>112</v>
      </c>
      <c r="D390" s="77" t="s">
        <v>113</v>
      </c>
      <c r="E390" s="78">
        <f>ROUND(SUMIF(RV_DATA!Z6:Z48, 318135557, RV_DATA!I6:I48), 6)</f>
        <v>0</v>
      </c>
      <c r="CW390">
        <v>3</v>
      </c>
    </row>
    <row r="391" spans="1:101" ht="28.5">
      <c r="B391" s="76" t="s">
        <v>285</v>
      </c>
      <c r="C391" s="77" t="s">
        <v>287</v>
      </c>
      <c r="D391" s="77" t="s">
        <v>84</v>
      </c>
      <c r="E391" s="78">
        <f>ROUND(SUMIF(RV_DATA!Z6:Z48, 269049756, RV_DATA!I6:I48), 6)</f>
        <v>2.656E-2</v>
      </c>
      <c r="CW391">
        <v>3</v>
      </c>
    </row>
    <row r="392" spans="1:101" ht="28.5">
      <c r="B392" s="76" t="s">
        <v>288</v>
      </c>
      <c r="C392" s="77" t="s">
        <v>290</v>
      </c>
      <c r="D392" s="77" t="s">
        <v>113</v>
      </c>
      <c r="E392" s="78">
        <f>ROUND(SUMIF(RV_DATA!Z6:Z48, -2089581116, RV_DATA!I6:I48), 6)</f>
        <v>6.6000000000000003E-2</v>
      </c>
      <c r="CW392">
        <v>3</v>
      </c>
    </row>
    <row r="393" spans="1:101" ht="57">
      <c r="B393" s="76" t="s">
        <v>302</v>
      </c>
      <c r="C393" s="77" t="s">
        <v>304</v>
      </c>
      <c r="D393" s="77" t="s">
        <v>113</v>
      </c>
      <c r="E393" s="78">
        <f>ROUND(SUMIF(RV_DATA!Z6:Z48, -831399682, RV_DATA!I6:I48), 6)</f>
        <v>2.7E-2</v>
      </c>
      <c r="CW393">
        <v>3</v>
      </c>
    </row>
    <row r="394" spans="1:101" ht="42.75">
      <c r="B394" s="76" t="s">
        <v>87</v>
      </c>
      <c r="C394" s="77" t="s">
        <v>88</v>
      </c>
      <c r="D394" s="77" t="s">
        <v>89</v>
      </c>
      <c r="E394" s="78">
        <f>ROUND(SUMIF(RV_DATA!Z6:Z48, -848550540, RV_DATA!I6:I48), 6)</f>
        <v>0.85</v>
      </c>
      <c r="CW394">
        <v>3</v>
      </c>
    </row>
    <row r="395" spans="1:101" ht="28.5">
      <c r="B395" s="76" t="s">
        <v>321</v>
      </c>
      <c r="C395" s="77" t="s">
        <v>323</v>
      </c>
      <c r="D395" s="77" t="s">
        <v>84</v>
      </c>
      <c r="E395" s="78">
        <f>ROUND(SUMIF(RV_DATA!Z6:Z48, 1435964893, RV_DATA!I6:I48), 6)</f>
        <v>1.2999999999999999E-5</v>
      </c>
      <c r="CW395">
        <v>3</v>
      </c>
    </row>
    <row r="396" spans="1:101" ht="85.5">
      <c r="B396" s="76" t="s">
        <v>82</v>
      </c>
      <c r="C396" s="77" t="s">
        <v>83</v>
      </c>
      <c r="D396" s="77" t="s">
        <v>84</v>
      </c>
      <c r="E396" s="78">
        <f>ROUND(SUMIF(RV_DATA!Z6:Z48, 7353553, RV_DATA!I6:I48), 6)</f>
        <v>1E-3</v>
      </c>
      <c r="CW396">
        <v>3</v>
      </c>
    </row>
    <row r="399" spans="1:101" ht="14.25" customHeight="1">
      <c r="A399" s="79"/>
      <c r="B399" s="80" t="s">
        <v>507</v>
      </c>
      <c r="C399" s="82" t="str">
        <f>IF(Source!AC12&lt;&gt;"", Source!AC12," ")</f>
        <v xml:space="preserve"> </v>
      </c>
      <c r="D399" s="35"/>
      <c r="E399" s="35"/>
      <c r="F399" s="35"/>
      <c r="G399" s="35"/>
      <c r="H399" s="81" t="str">
        <f>IF(Source!AB12&lt;&gt;"", Source!AB12," ")</f>
        <v xml:space="preserve"> </v>
      </c>
      <c r="I399" s="25"/>
      <c r="J399" s="25"/>
      <c r="K399" s="39"/>
      <c r="L399" s="39"/>
    </row>
    <row r="400" spans="1:101" ht="14.25" customHeight="1">
      <c r="A400" s="79"/>
      <c r="B400" s="83"/>
      <c r="C400" s="106" t="s">
        <v>508</v>
      </c>
      <c r="D400" s="106"/>
      <c r="E400" s="106"/>
      <c r="F400" s="106"/>
      <c r="G400" s="106"/>
      <c r="H400" s="25"/>
      <c r="I400" s="25"/>
      <c r="J400" s="25"/>
      <c r="K400" s="39"/>
      <c r="L400" s="39"/>
    </row>
    <row r="401" spans="1:12" ht="14.25" customHeight="1">
      <c r="A401" s="79"/>
      <c r="B401" s="83"/>
      <c r="C401" s="21"/>
      <c r="D401" s="21"/>
      <c r="E401" s="21"/>
      <c r="F401" s="21"/>
      <c r="G401" s="21"/>
      <c r="H401" s="25"/>
      <c r="I401" s="25"/>
      <c r="J401" s="25"/>
      <c r="K401" s="39"/>
      <c r="L401" s="39"/>
    </row>
    <row r="402" spans="1:12" ht="14.25" customHeight="1">
      <c r="A402" s="79"/>
      <c r="B402" s="80" t="s">
        <v>509</v>
      </c>
      <c r="C402" s="82" t="str">
        <f>IF(Source!AE12&lt;&gt;"", Source!AE12," ")</f>
        <v xml:space="preserve"> </v>
      </c>
      <c r="D402" s="35"/>
      <c r="E402" s="35"/>
      <c r="F402" s="35"/>
      <c r="G402" s="35"/>
      <c r="H402" s="81" t="str">
        <f>IF(Source!AD12&lt;&gt;"", Source!AD12," ")</f>
        <v xml:space="preserve"> </v>
      </c>
      <c r="I402" s="25"/>
      <c r="J402" s="25"/>
      <c r="K402" s="39"/>
      <c r="L402" s="39"/>
    </row>
    <row r="403" spans="1:12" ht="14.25" customHeight="1">
      <c r="A403" s="21"/>
      <c r="B403" s="21"/>
      <c r="C403" s="106" t="s">
        <v>508</v>
      </c>
      <c r="D403" s="106"/>
      <c r="E403" s="106"/>
      <c r="F403" s="106"/>
      <c r="G403" s="106"/>
      <c r="H403" s="25"/>
      <c r="I403" s="25"/>
      <c r="J403" s="25"/>
      <c r="K403" s="39"/>
      <c r="L403" s="39"/>
    </row>
  </sheetData>
  <sortState ref="A382:CX396">
    <sortCondition ref="B382"/>
  </sortState>
  <mergeCells count="186">
    <mergeCell ref="A2:E2"/>
    <mergeCell ref="F2:L2"/>
    <mergeCell ref="A4:E4"/>
    <mergeCell ref="F4:L4"/>
    <mergeCell ref="A6:E6"/>
    <mergeCell ref="F6:L6"/>
    <mergeCell ref="A14:E14"/>
    <mergeCell ref="F14:L14"/>
    <mergeCell ref="A16:E16"/>
    <mergeCell ref="F16:L16"/>
    <mergeCell ref="A19:L19"/>
    <mergeCell ref="A20:L20"/>
    <mergeCell ref="A8:E8"/>
    <mergeCell ref="F8:L8"/>
    <mergeCell ref="A10:E10"/>
    <mergeCell ref="F10:L10"/>
    <mergeCell ref="A12:E12"/>
    <mergeCell ref="F12:L12"/>
    <mergeCell ref="C34:L34"/>
    <mergeCell ref="C38:D38"/>
    <mergeCell ref="C41:D41"/>
    <mergeCell ref="C42:D42"/>
    <mergeCell ref="C43:D43"/>
    <mergeCell ref="C44:D44"/>
    <mergeCell ref="A22:L22"/>
    <mergeCell ref="A23:L23"/>
    <mergeCell ref="A25:L25"/>
    <mergeCell ref="A27:L27"/>
    <mergeCell ref="A28:L28"/>
    <mergeCell ref="C33:L33"/>
    <mergeCell ref="C64:H64"/>
    <mergeCell ref="I64:J64"/>
    <mergeCell ref="K64:L64"/>
    <mergeCell ref="C66:L66"/>
    <mergeCell ref="C87:H87"/>
    <mergeCell ref="I87:J87"/>
    <mergeCell ref="K87:L87"/>
    <mergeCell ref="A46:A50"/>
    <mergeCell ref="B46:B50"/>
    <mergeCell ref="C46:C50"/>
    <mergeCell ref="D46:D50"/>
    <mergeCell ref="E46:G49"/>
    <mergeCell ref="H46:L49"/>
    <mergeCell ref="C139:H139"/>
    <mergeCell ref="I139:J139"/>
    <mergeCell ref="K139:L139"/>
    <mergeCell ref="C143:H143"/>
    <mergeCell ref="I143:J143"/>
    <mergeCell ref="K143:L143"/>
    <mergeCell ref="C104:H104"/>
    <mergeCell ref="I104:J104"/>
    <mergeCell ref="K104:L104"/>
    <mergeCell ref="C126:H126"/>
    <mergeCell ref="I126:J126"/>
    <mergeCell ref="K126:L126"/>
    <mergeCell ref="C200:H200"/>
    <mergeCell ref="I200:J200"/>
    <mergeCell ref="K200:L200"/>
    <mergeCell ref="C204:H204"/>
    <mergeCell ref="I204:J204"/>
    <mergeCell ref="K204:L204"/>
    <mergeCell ref="C168:H168"/>
    <mergeCell ref="I168:J168"/>
    <mergeCell ref="K168:L168"/>
    <mergeCell ref="C182:H182"/>
    <mergeCell ref="I182:J182"/>
    <mergeCell ref="K182:L182"/>
    <mergeCell ref="C213:H213"/>
    <mergeCell ref="C214:H214"/>
    <mergeCell ref="C215:H215"/>
    <mergeCell ref="C216:H216"/>
    <mergeCell ref="C217:H217"/>
    <mergeCell ref="C218:H218"/>
    <mergeCell ref="C207:H207"/>
    <mergeCell ref="I207:J207"/>
    <mergeCell ref="K207:L207"/>
    <mergeCell ref="C209:H209"/>
    <mergeCell ref="C211:H211"/>
    <mergeCell ref="C212:H212"/>
    <mergeCell ref="C225:H225"/>
    <mergeCell ref="C226:H226"/>
    <mergeCell ref="C227:H227"/>
    <mergeCell ref="C228:H228"/>
    <mergeCell ref="C229:H229"/>
    <mergeCell ref="C231:H231"/>
    <mergeCell ref="C219:H219"/>
    <mergeCell ref="C220:H220"/>
    <mergeCell ref="C221:H221"/>
    <mergeCell ref="C222:H222"/>
    <mergeCell ref="C223:H223"/>
    <mergeCell ref="C224:H224"/>
    <mergeCell ref="C238:H238"/>
    <mergeCell ref="C239:H239"/>
    <mergeCell ref="C240:H240"/>
    <mergeCell ref="C241:H241"/>
    <mergeCell ref="C242:H242"/>
    <mergeCell ref="C243:H243"/>
    <mergeCell ref="C232:H232"/>
    <mergeCell ref="C233:H233"/>
    <mergeCell ref="C234:H234"/>
    <mergeCell ref="C235:H235"/>
    <mergeCell ref="C236:H236"/>
    <mergeCell ref="C237:H237"/>
    <mergeCell ref="C251:H251"/>
    <mergeCell ref="C252:H252"/>
    <mergeCell ref="C253:H253"/>
    <mergeCell ref="C254:H254"/>
    <mergeCell ref="C256:H256"/>
    <mergeCell ref="C257:H257"/>
    <mergeCell ref="C244:H244"/>
    <mergeCell ref="C245:H245"/>
    <mergeCell ref="C246:H246"/>
    <mergeCell ref="C247:H247"/>
    <mergeCell ref="C248:H248"/>
    <mergeCell ref="C249:H249"/>
    <mergeCell ref="C264:H264"/>
    <mergeCell ref="C265:H265"/>
    <mergeCell ref="C266:H266"/>
    <mergeCell ref="C267:H267"/>
    <mergeCell ref="C268:H268"/>
    <mergeCell ref="C269:H269"/>
    <mergeCell ref="C258:H258"/>
    <mergeCell ref="C259:H259"/>
    <mergeCell ref="C260:H260"/>
    <mergeCell ref="C261:H261"/>
    <mergeCell ref="C262:H262"/>
    <mergeCell ref="C263:H263"/>
    <mergeCell ref="C276:H276"/>
    <mergeCell ref="C277:H277"/>
    <mergeCell ref="C278:H278"/>
    <mergeCell ref="C279:H279"/>
    <mergeCell ref="C280:H280"/>
    <mergeCell ref="C282:H282"/>
    <mergeCell ref="C270:H270"/>
    <mergeCell ref="C271:H271"/>
    <mergeCell ref="C272:H272"/>
    <mergeCell ref="C273:H273"/>
    <mergeCell ref="C274:H274"/>
    <mergeCell ref="C275:H275"/>
    <mergeCell ref="C289:H289"/>
    <mergeCell ref="C290:H290"/>
    <mergeCell ref="C291:H291"/>
    <mergeCell ref="C292:H292"/>
    <mergeCell ref="C293:H293"/>
    <mergeCell ref="C294:H294"/>
    <mergeCell ref="C283:H283"/>
    <mergeCell ref="C284:H284"/>
    <mergeCell ref="C285:H285"/>
    <mergeCell ref="C286:H286"/>
    <mergeCell ref="C287:H287"/>
    <mergeCell ref="C288:H288"/>
    <mergeCell ref="C301:H301"/>
    <mergeCell ref="C302:H302"/>
    <mergeCell ref="C303:H303"/>
    <mergeCell ref="C304:H304"/>
    <mergeCell ref="C305:H305"/>
    <mergeCell ref="C306:H306"/>
    <mergeCell ref="C295:H295"/>
    <mergeCell ref="C296:H296"/>
    <mergeCell ref="C297:H297"/>
    <mergeCell ref="C298:H298"/>
    <mergeCell ref="C299:H299"/>
    <mergeCell ref="C300:H300"/>
    <mergeCell ref="C314:K314"/>
    <mergeCell ref="C315:K315"/>
    <mergeCell ref="C316:K316"/>
    <mergeCell ref="B318:E318"/>
    <mergeCell ref="B319:E319"/>
    <mergeCell ref="B320:E320"/>
    <mergeCell ref="C307:H307"/>
    <mergeCell ref="C308:H308"/>
    <mergeCell ref="C309:F309"/>
    <mergeCell ref="C310:F310"/>
    <mergeCell ref="C312:K312"/>
    <mergeCell ref="C313:K313"/>
    <mergeCell ref="B363:E363"/>
    <mergeCell ref="B369:E369"/>
    <mergeCell ref="B381:E381"/>
    <mergeCell ref="C400:G400"/>
    <mergeCell ref="C403:G403"/>
    <mergeCell ref="B323:E323"/>
    <mergeCell ref="B329:E329"/>
    <mergeCell ref="B341:E341"/>
    <mergeCell ref="B358:E358"/>
    <mergeCell ref="B359:E359"/>
    <mergeCell ref="B360:E360"/>
  </mergeCells>
  <pageMargins left="0.4" right="0.2" top="0.2" bottom="0.4" header="0.2" footer="0.2"/>
  <pageSetup paperSize="9" scale="70" fitToHeight="0" orientation="landscape" r:id="rId1"/>
  <headerFooter>
    <oddHeader>&amp;L&amp;8</oddHeader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IU140"/>
  <sheetViews>
    <sheetView workbookViewId="0">
      <selection activeCell="A136" sqref="A136:AX136"/>
    </sheetView>
  </sheetViews>
  <sheetFormatPr defaultColWidth="9.140625" defaultRowHeight="12.75"/>
  <cols>
    <col min="1" max="256" width="9.140625" customWidth="1"/>
  </cols>
  <sheetData>
    <row r="1" spans="1:133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28227</v>
      </c>
      <c r="M1">
        <v>38175928</v>
      </c>
      <c r="N1">
        <v>12</v>
      </c>
      <c r="O1">
        <v>1</v>
      </c>
      <c r="P1">
        <v>0</v>
      </c>
      <c r="Q1">
        <v>5</v>
      </c>
    </row>
    <row r="4" spans="1:133">
      <c r="A4" s="1">
        <v>8</v>
      </c>
      <c r="B4" s="1">
        <v>1</v>
      </c>
      <c r="C4" s="1">
        <v>-1</v>
      </c>
      <c r="D4" s="1"/>
      <c r="E4" s="1"/>
      <c r="F4" s="1" t="s">
        <v>4</v>
      </c>
      <c r="G4" s="1" t="s">
        <v>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12" spans="1:133">
      <c r="A12" s="1">
        <v>1</v>
      </c>
      <c r="B12" s="1">
        <v>134</v>
      </c>
      <c r="C12" s="1">
        <v>0</v>
      </c>
      <c r="D12" s="1">
        <f>ROW(A77)</f>
        <v>77</v>
      </c>
      <c r="E12" s="1">
        <v>0</v>
      </c>
      <c r="F12" s="1" t="s">
        <v>6</v>
      </c>
      <c r="G12" s="1" t="s">
        <v>5</v>
      </c>
      <c r="H12" s="1" t="s">
        <v>3</v>
      </c>
      <c r="I12" s="1">
        <v>0</v>
      </c>
      <c r="J12" s="1" t="s">
        <v>3</v>
      </c>
      <c r="K12" s="1">
        <v>0</v>
      </c>
      <c r="L12" s="1">
        <v>0</v>
      </c>
      <c r="M12" s="1">
        <v>523</v>
      </c>
      <c r="N12" s="1"/>
      <c r="O12" s="1">
        <v>0</v>
      </c>
      <c r="P12" s="1">
        <v>0</v>
      </c>
      <c r="Q12" s="1">
        <v>7</v>
      </c>
      <c r="R12" s="1">
        <v>0</v>
      </c>
      <c r="S12" s="1"/>
      <c r="T12" s="1">
        <v>4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3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7</v>
      </c>
      <c r="BI12" s="1" t="s">
        <v>8</v>
      </c>
      <c r="BJ12" s="1">
        <v>1</v>
      </c>
      <c r="BK12" s="1">
        <v>1</v>
      </c>
      <c r="BL12" s="1">
        <v>0</v>
      </c>
      <c r="BM12" s="1">
        <v>1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1</v>
      </c>
      <c r="BW12" s="1">
        <v>0</v>
      </c>
      <c r="BX12" s="1">
        <v>0</v>
      </c>
      <c r="BY12" s="1" t="s">
        <v>9</v>
      </c>
      <c r="BZ12" s="1" t="s">
        <v>10</v>
      </c>
      <c r="CA12" s="1" t="s">
        <v>11</v>
      </c>
      <c r="CB12" s="1" t="s">
        <v>11</v>
      </c>
      <c r="CC12" s="1" t="s">
        <v>11</v>
      </c>
      <c r="CD12" s="1" t="s">
        <v>11</v>
      </c>
      <c r="CE12" s="1" t="s">
        <v>12</v>
      </c>
      <c r="CF12" s="1">
        <v>0</v>
      </c>
      <c r="CG12" s="1">
        <v>0</v>
      </c>
      <c r="CH12" s="1">
        <v>487489544</v>
      </c>
      <c r="CI12" s="1" t="s">
        <v>3</v>
      </c>
      <c r="CJ12" s="1" t="s">
        <v>3</v>
      </c>
      <c r="CK12" s="1">
        <v>18</v>
      </c>
      <c r="CL12" s="1"/>
      <c r="CM12" s="1"/>
      <c r="CN12" s="1"/>
      <c r="CO12" s="1"/>
      <c r="CP12" s="1"/>
      <c r="CQ12" s="1" t="s">
        <v>13</v>
      </c>
      <c r="CR12" s="1" t="s">
        <v>14</v>
      </c>
      <c r="CS12" s="1">
        <v>46073</v>
      </c>
      <c r="CT12" s="1">
        <v>540</v>
      </c>
      <c r="CU12" s="1">
        <v>17</v>
      </c>
      <c r="CV12" s="1" t="s">
        <v>344</v>
      </c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5" spans="1:133">
      <c r="A15" s="1">
        <v>15</v>
      </c>
      <c r="B15" s="1">
        <v>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</row>
    <row r="18" spans="1:255">
      <c r="A18" s="3">
        <v>52</v>
      </c>
      <c r="B18" s="3">
        <f t="shared" ref="B18:G18" si="0">B77</f>
        <v>134</v>
      </c>
      <c r="C18" s="3">
        <f t="shared" si="0"/>
        <v>1</v>
      </c>
      <c r="D18" s="3">
        <f t="shared" si="0"/>
        <v>12</v>
      </c>
      <c r="E18" s="3">
        <f t="shared" si="0"/>
        <v>0</v>
      </c>
      <c r="F18" s="3" t="str">
        <f t="shared" si="0"/>
        <v>Новый объект строительства</v>
      </c>
      <c r="G18" s="3" t="str">
        <f t="shared" si="0"/>
        <v>ремонт трубы</v>
      </c>
      <c r="H18" s="3"/>
      <c r="I18" s="3"/>
      <c r="J18" s="3"/>
      <c r="K18" s="3"/>
      <c r="L18" s="3"/>
      <c r="M18" s="3"/>
      <c r="N18" s="3"/>
      <c r="O18" s="3">
        <f t="shared" ref="O18:AT18" si="1">O77</f>
        <v>52656.07</v>
      </c>
      <c r="P18" s="3">
        <f t="shared" si="1"/>
        <v>4333.3599999999997</v>
      </c>
      <c r="Q18" s="3">
        <f t="shared" si="1"/>
        <v>22333.26</v>
      </c>
      <c r="R18" s="3">
        <f t="shared" si="1"/>
        <v>5074.08</v>
      </c>
      <c r="S18" s="3">
        <f t="shared" si="1"/>
        <v>20915.37</v>
      </c>
      <c r="T18" s="3">
        <f t="shared" si="1"/>
        <v>0</v>
      </c>
      <c r="U18" s="3">
        <f t="shared" si="1"/>
        <v>49.771999999999998</v>
      </c>
      <c r="V18" s="3">
        <f t="shared" si="1"/>
        <v>12.61312</v>
      </c>
      <c r="W18" s="3">
        <f t="shared" si="1"/>
        <v>0</v>
      </c>
      <c r="X18" s="3">
        <f t="shared" si="1"/>
        <v>34113.56</v>
      </c>
      <c r="Y18" s="3">
        <f t="shared" si="1"/>
        <v>23901.1</v>
      </c>
      <c r="Z18" s="3">
        <f t="shared" si="1"/>
        <v>0</v>
      </c>
      <c r="AA18" s="3">
        <f t="shared" si="1"/>
        <v>0</v>
      </c>
      <c r="AB18" s="3">
        <f t="shared" si="1"/>
        <v>0</v>
      </c>
      <c r="AC18" s="3">
        <f t="shared" si="1"/>
        <v>0</v>
      </c>
      <c r="AD18" s="3">
        <f t="shared" si="1"/>
        <v>0</v>
      </c>
      <c r="AE18" s="3">
        <f t="shared" si="1"/>
        <v>0</v>
      </c>
      <c r="AF18" s="3">
        <f t="shared" si="1"/>
        <v>0</v>
      </c>
      <c r="AG18" s="3">
        <f t="shared" si="1"/>
        <v>0</v>
      </c>
      <c r="AH18" s="3">
        <f t="shared" si="1"/>
        <v>0</v>
      </c>
      <c r="AI18" s="3">
        <f t="shared" si="1"/>
        <v>0</v>
      </c>
      <c r="AJ18" s="3">
        <f t="shared" si="1"/>
        <v>0</v>
      </c>
      <c r="AK18" s="3">
        <f t="shared" si="1"/>
        <v>0</v>
      </c>
      <c r="AL18" s="3">
        <f t="shared" si="1"/>
        <v>0</v>
      </c>
      <c r="AM18" s="3">
        <f t="shared" si="1"/>
        <v>0</v>
      </c>
      <c r="AN18" s="3">
        <f t="shared" si="1"/>
        <v>0</v>
      </c>
      <c r="AO18" s="3">
        <f t="shared" si="1"/>
        <v>0</v>
      </c>
      <c r="AP18" s="3">
        <f t="shared" si="1"/>
        <v>0</v>
      </c>
      <c r="AQ18" s="3">
        <f t="shared" si="1"/>
        <v>0</v>
      </c>
      <c r="AR18" s="3">
        <f t="shared" si="1"/>
        <v>110670.73</v>
      </c>
      <c r="AS18" s="3">
        <f t="shared" si="1"/>
        <v>110670.73</v>
      </c>
      <c r="AT18" s="3">
        <f t="shared" si="1"/>
        <v>0</v>
      </c>
      <c r="AU18" s="3">
        <f t="shared" ref="AU18:BZ18" si="2">AU77</f>
        <v>0</v>
      </c>
      <c r="AV18" s="3">
        <f t="shared" si="2"/>
        <v>4333.3599999999997</v>
      </c>
      <c r="AW18" s="3">
        <f t="shared" si="2"/>
        <v>4333.3599999999997</v>
      </c>
      <c r="AX18" s="3">
        <f t="shared" si="2"/>
        <v>0</v>
      </c>
      <c r="AY18" s="3">
        <f t="shared" si="2"/>
        <v>4333.3599999999997</v>
      </c>
      <c r="AZ18" s="3">
        <f t="shared" si="2"/>
        <v>0</v>
      </c>
      <c r="BA18" s="3">
        <f t="shared" si="2"/>
        <v>0</v>
      </c>
      <c r="BB18" s="3">
        <f t="shared" si="2"/>
        <v>0</v>
      </c>
      <c r="BC18" s="3">
        <f t="shared" si="2"/>
        <v>0</v>
      </c>
      <c r="BD18" s="3">
        <f t="shared" si="2"/>
        <v>0</v>
      </c>
      <c r="BE18" s="3">
        <f t="shared" si="2"/>
        <v>0</v>
      </c>
      <c r="BF18" s="3">
        <f t="shared" si="2"/>
        <v>0</v>
      </c>
      <c r="BG18" s="3">
        <f t="shared" si="2"/>
        <v>0</v>
      </c>
      <c r="BH18" s="3">
        <f t="shared" si="2"/>
        <v>0</v>
      </c>
      <c r="BI18" s="3">
        <f t="shared" si="2"/>
        <v>0</v>
      </c>
      <c r="BJ18" s="3">
        <f t="shared" si="2"/>
        <v>0</v>
      </c>
      <c r="BK18" s="3">
        <f t="shared" si="2"/>
        <v>0</v>
      </c>
      <c r="BL18" s="3">
        <f t="shared" si="2"/>
        <v>0</v>
      </c>
      <c r="BM18" s="3">
        <f t="shared" si="2"/>
        <v>0</v>
      </c>
      <c r="BN18" s="3">
        <f t="shared" si="2"/>
        <v>0</v>
      </c>
      <c r="BO18" s="3">
        <f t="shared" si="2"/>
        <v>0</v>
      </c>
      <c r="BP18" s="3">
        <f t="shared" si="2"/>
        <v>0</v>
      </c>
      <c r="BQ18" s="3">
        <f t="shared" si="2"/>
        <v>0</v>
      </c>
      <c r="BR18" s="3">
        <f t="shared" si="2"/>
        <v>0</v>
      </c>
      <c r="BS18" s="3">
        <f t="shared" si="2"/>
        <v>0</v>
      </c>
      <c r="BT18" s="3">
        <f t="shared" si="2"/>
        <v>0</v>
      </c>
      <c r="BU18" s="3">
        <f t="shared" si="2"/>
        <v>0</v>
      </c>
      <c r="BV18" s="3">
        <f t="shared" si="2"/>
        <v>0</v>
      </c>
      <c r="BW18" s="3">
        <f t="shared" si="2"/>
        <v>0</v>
      </c>
      <c r="BX18" s="3">
        <f t="shared" si="2"/>
        <v>0</v>
      </c>
      <c r="BY18" s="3">
        <f t="shared" si="2"/>
        <v>0</v>
      </c>
      <c r="BZ18" s="3">
        <f t="shared" si="2"/>
        <v>0</v>
      </c>
      <c r="CA18" s="3">
        <f t="shared" ref="CA18:DF18" si="3">CA77</f>
        <v>0</v>
      </c>
      <c r="CB18" s="3">
        <f t="shared" si="3"/>
        <v>0</v>
      </c>
      <c r="CC18" s="3">
        <f t="shared" si="3"/>
        <v>0</v>
      </c>
      <c r="CD18" s="3">
        <f t="shared" si="3"/>
        <v>0</v>
      </c>
      <c r="CE18" s="3">
        <f t="shared" si="3"/>
        <v>0</v>
      </c>
      <c r="CF18" s="3">
        <f t="shared" si="3"/>
        <v>0</v>
      </c>
      <c r="CG18" s="3">
        <f t="shared" si="3"/>
        <v>0</v>
      </c>
      <c r="CH18" s="3">
        <f t="shared" si="3"/>
        <v>0</v>
      </c>
      <c r="CI18" s="3">
        <f t="shared" si="3"/>
        <v>0</v>
      </c>
      <c r="CJ18" s="3">
        <f t="shared" si="3"/>
        <v>0</v>
      </c>
      <c r="CK18" s="3">
        <f t="shared" si="3"/>
        <v>0</v>
      </c>
      <c r="CL18" s="3">
        <f t="shared" si="3"/>
        <v>0</v>
      </c>
      <c r="CM18" s="3">
        <f t="shared" si="3"/>
        <v>0</v>
      </c>
      <c r="CN18" s="3">
        <f t="shared" si="3"/>
        <v>0</v>
      </c>
      <c r="CO18" s="3">
        <f t="shared" si="3"/>
        <v>0</v>
      </c>
      <c r="CP18" s="3">
        <f t="shared" si="3"/>
        <v>0</v>
      </c>
      <c r="CQ18" s="3">
        <f t="shared" si="3"/>
        <v>0</v>
      </c>
      <c r="CR18" s="3">
        <f t="shared" si="3"/>
        <v>0</v>
      </c>
      <c r="CS18" s="3">
        <f t="shared" si="3"/>
        <v>0</v>
      </c>
      <c r="CT18" s="3">
        <f t="shared" si="3"/>
        <v>0</v>
      </c>
      <c r="CU18" s="3">
        <f t="shared" si="3"/>
        <v>0</v>
      </c>
      <c r="CV18" s="3">
        <f t="shared" si="3"/>
        <v>0</v>
      </c>
      <c r="CW18" s="3">
        <f t="shared" si="3"/>
        <v>0</v>
      </c>
      <c r="CX18" s="3">
        <f t="shared" si="3"/>
        <v>0</v>
      </c>
      <c r="CY18" s="3">
        <f t="shared" si="3"/>
        <v>0</v>
      </c>
      <c r="CZ18" s="3">
        <f t="shared" si="3"/>
        <v>0</v>
      </c>
      <c r="DA18" s="3">
        <f t="shared" si="3"/>
        <v>0</v>
      </c>
      <c r="DB18" s="3">
        <f t="shared" si="3"/>
        <v>0</v>
      </c>
      <c r="DC18" s="3">
        <f t="shared" si="3"/>
        <v>0</v>
      </c>
      <c r="DD18" s="3">
        <f t="shared" si="3"/>
        <v>0</v>
      </c>
      <c r="DE18" s="3">
        <f t="shared" si="3"/>
        <v>0</v>
      </c>
      <c r="DF18" s="3">
        <f t="shared" si="3"/>
        <v>0</v>
      </c>
      <c r="DG18" s="4">
        <f t="shared" ref="DG18:EL18" si="4">DG77</f>
        <v>0</v>
      </c>
      <c r="DH18" s="4">
        <f t="shared" si="4"/>
        <v>0</v>
      </c>
      <c r="DI18" s="4">
        <f t="shared" si="4"/>
        <v>0</v>
      </c>
      <c r="DJ18" s="4">
        <f t="shared" si="4"/>
        <v>0</v>
      </c>
      <c r="DK18" s="4">
        <f t="shared" si="4"/>
        <v>0</v>
      </c>
      <c r="DL18" s="4">
        <f t="shared" si="4"/>
        <v>0</v>
      </c>
      <c r="DM18" s="4">
        <f t="shared" si="4"/>
        <v>0</v>
      </c>
      <c r="DN18" s="4">
        <f t="shared" si="4"/>
        <v>0</v>
      </c>
      <c r="DO18" s="4">
        <f t="shared" si="4"/>
        <v>0</v>
      </c>
      <c r="DP18" s="4">
        <f t="shared" si="4"/>
        <v>0</v>
      </c>
      <c r="DQ18" s="4">
        <f t="shared" si="4"/>
        <v>0</v>
      </c>
      <c r="DR18" s="4">
        <f t="shared" si="4"/>
        <v>0</v>
      </c>
      <c r="DS18" s="4">
        <f t="shared" si="4"/>
        <v>0</v>
      </c>
      <c r="DT18" s="4">
        <f t="shared" si="4"/>
        <v>0</v>
      </c>
      <c r="DU18" s="4">
        <f t="shared" si="4"/>
        <v>0</v>
      </c>
      <c r="DV18" s="4">
        <f t="shared" si="4"/>
        <v>0</v>
      </c>
      <c r="DW18" s="4">
        <f t="shared" si="4"/>
        <v>0</v>
      </c>
      <c r="DX18" s="4">
        <f t="shared" si="4"/>
        <v>0</v>
      </c>
      <c r="DY18" s="4">
        <f t="shared" si="4"/>
        <v>0</v>
      </c>
      <c r="DZ18" s="4">
        <f t="shared" si="4"/>
        <v>0</v>
      </c>
      <c r="EA18" s="4">
        <f t="shared" si="4"/>
        <v>0</v>
      </c>
      <c r="EB18" s="4">
        <f t="shared" si="4"/>
        <v>0</v>
      </c>
      <c r="EC18" s="4">
        <f t="shared" si="4"/>
        <v>0</v>
      </c>
      <c r="ED18" s="4">
        <f t="shared" si="4"/>
        <v>0</v>
      </c>
      <c r="EE18" s="4">
        <f t="shared" si="4"/>
        <v>0</v>
      </c>
      <c r="EF18" s="4">
        <f t="shared" si="4"/>
        <v>0</v>
      </c>
      <c r="EG18" s="4">
        <f t="shared" si="4"/>
        <v>0</v>
      </c>
      <c r="EH18" s="4">
        <f t="shared" si="4"/>
        <v>0</v>
      </c>
      <c r="EI18" s="4">
        <f t="shared" si="4"/>
        <v>0</v>
      </c>
      <c r="EJ18" s="4">
        <f t="shared" si="4"/>
        <v>0</v>
      </c>
      <c r="EK18" s="4">
        <f t="shared" si="4"/>
        <v>0</v>
      </c>
      <c r="EL18" s="4">
        <f t="shared" si="4"/>
        <v>0</v>
      </c>
      <c r="EM18" s="4">
        <f t="shared" ref="EM18:FR18" si="5">EM77</f>
        <v>0</v>
      </c>
      <c r="EN18" s="4">
        <f t="shared" si="5"/>
        <v>0</v>
      </c>
      <c r="EO18" s="4">
        <f t="shared" si="5"/>
        <v>0</v>
      </c>
      <c r="EP18" s="4">
        <f t="shared" si="5"/>
        <v>0</v>
      </c>
      <c r="EQ18" s="4">
        <f t="shared" si="5"/>
        <v>0</v>
      </c>
      <c r="ER18" s="4">
        <f t="shared" si="5"/>
        <v>0</v>
      </c>
      <c r="ES18" s="4">
        <f t="shared" si="5"/>
        <v>0</v>
      </c>
      <c r="ET18" s="4">
        <f t="shared" si="5"/>
        <v>0</v>
      </c>
      <c r="EU18" s="4">
        <f t="shared" si="5"/>
        <v>0</v>
      </c>
      <c r="EV18" s="4">
        <f t="shared" si="5"/>
        <v>0</v>
      </c>
      <c r="EW18" s="4">
        <f t="shared" si="5"/>
        <v>0</v>
      </c>
      <c r="EX18" s="4">
        <f t="shared" si="5"/>
        <v>0</v>
      </c>
      <c r="EY18" s="4">
        <f t="shared" si="5"/>
        <v>0</v>
      </c>
      <c r="EZ18" s="4">
        <f t="shared" si="5"/>
        <v>0</v>
      </c>
      <c r="FA18" s="4">
        <f t="shared" si="5"/>
        <v>0</v>
      </c>
      <c r="FB18" s="4">
        <f t="shared" si="5"/>
        <v>0</v>
      </c>
      <c r="FC18" s="4">
        <f t="shared" si="5"/>
        <v>0</v>
      </c>
      <c r="FD18" s="4">
        <f t="shared" si="5"/>
        <v>0</v>
      </c>
      <c r="FE18" s="4">
        <f t="shared" si="5"/>
        <v>0</v>
      </c>
      <c r="FF18" s="4">
        <f t="shared" si="5"/>
        <v>0</v>
      </c>
      <c r="FG18" s="4">
        <f t="shared" si="5"/>
        <v>0</v>
      </c>
      <c r="FH18" s="4">
        <f t="shared" si="5"/>
        <v>0</v>
      </c>
      <c r="FI18" s="4">
        <f t="shared" si="5"/>
        <v>0</v>
      </c>
      <c r="FJ18" s="4">
        <f t="shared" si="5"/>
        <v>0</v>
      </c>
      <c r="FK18" s="4">
        <f t="shared" si="5"/>
        <v>0</v>
      </c>
      <c r="FL18" s="4">
        <f t="shared" si="5"/>
        <v>0</v>
      </c>
      <c r="FM18" s="4">
        <f t="shared" si="5"/>
        <v>0</v>
      </c>
      <c r="FN18" s="4">
        <f t="shared" si="5"/>
        <v>0</v>
      </c>
      <c r="FO18" s="4">
        <f t="shared" si="5"/>
        <v>0</v>
      </c>
      <c r="FP18" s="4">
        <f t="shared" si="5"/>
        <v>0</v>
      </c>
      <c r="FQ18" s="4">
        <f t="shared" si="5"/>
        <v>0</v>
      </c>
      <c r="FR18" s="4">
        <f t="shared" si="5"/>
        <v>0</v>
      </c>
      <c r="FS18" s="4">
        <f t="shared" ref="FS18:GX18" si="6">FS77</f>
        <v>0</v>
      </c>
      <c r="FT18" s="4">
        <f t="shared" si="6"/>
        <v>0</v>
      </c>
      <c r="FU18" s="4">
        <f t="shared" si="6"/>
        <v>0</v>
      </c>
      <c r="FV18" s="4">
        <f t="shared" si="6"/>
        <v>0</v>
      </c>
      <c r="FW18" s="4">
        <f t="shared" si="6"/>
        <v>0</v>
      </c>
      <c r="FX18" s="4">
        <f t="shared" si="6"/>
        <v>0</v>
      </c>
      <c r="FY18" s="4">
        <f t="shared" si="6"/>
        <v>0</v>
      </c>
      <c r="FZ18" s="4">
        <f t="shared" si="6"/>
        <v>0</v>
      </c>
      <c r="GA18" s="4">
        <f t="shared" si="6"/>
        <v>0</v>
      </c>
      <c r="GB18" s="4">
        <f t="shared" si="6"/>
        <v>0</v>
      </c>
      <c r="GC18" s="4">
        <f t="shared" si="6"/>
        <v>0</v>
      </c>
      <c r="GD18" s="4">
        <f t="shared" si="6"/>
        <v>0</v>
      </c>
      <c r="GE18" s="4">
        <f t="shared" si="6"/>
        <v>0</v>
      </c>
      <c r="GF18" s="4">
        <f t="shared" si="6"/>
        <v>0</v>
      </c>
      <c r="GG18" s="4">
        <f t="shared" si="6"/>
        <v>0</v>
      </c>
      <c r="GH18" s="4">
        <f t="shared" si="6"/>
        <v>0</v>
      </c>
      <c r="GI18" s="4">
        <f t="shared" si="6"/>
        <v>0</v>
      </c>
      <c r="GJ18" s="4">
        <f t="shared" si="6"/>
        <v>0</v>
      </c>
      <c r="GK18" s="4">
        <f t="shared" si="6"/>
        <v>0</v>
      </c>
      <c r="GL18" s="4">
        <f t="shared" si="6"/>
        <v>0</v>
      </c>
      <c r="GM18" s="4">
        <f t="shared" si="6"/>
        <v>0</v>
      </c>
      <c r="GN18" s="4">
        <f t="shared" si="6"/>
        <v>0</v>
      </c>
      <c r="GO18" s="4">
        <f t="shared" si="6"/>
        <v>0</v>
      </c>
      <c r="GP18" s="4">
        <f t="shared" si="6"/>
        <v>0</v>
      </c>
      <c r="GQ18" s="4">
        <f t="shared" si="6"/>
        <v>0</v>
      </c>
      <c r="GR18" s="4">
        <f t="shared" si="6"/>
        <v>0</v>
      </c>
      <c r="GS18" s="4">
        <f t="shared" si="6"/>
        <v>0</v>
      </c>
      <c r="GT18" s="4">
        <f t="shared" si="6"/>
        <v>0</v>
      </c>
      <c r="GU18" s="4">
        <f t="shared" si="6"/>
        <v>0</v>
      </c>
      <c r="GV18" s="4">
        <f t="shared" si="6"/>
        <v>0</v>
      </c>
      <c r="GW18" s="4">
        <f t="shared" si="6"/>
        <v>0</v>
      </c>
      <c r="GX18" s="4">
        <f t="shared" si="6"/>
        <v>0</v>
      </c>
    </row>
    <row r="20" spans="1:255">
      <c r="A20" s="1">
        <v>3</v>
      </c>
      <c r="B20" s="1">
        <v>1</v>
      </c>
      <c r="C20" s="1"/>
      <c r="D20" s="1">
        <f>ROW(A42)</f>
        <v>42</v>
      </c>
      <c r="E20" s="1"/>
      <c r="F20" s="1" t="s">
        <v>15</v>
      </c>
      <c r="G20" s="1" t="s">
        <v>5</v>
      </c>
      <c r="H20" s="1" t="s">
        <v>3</v>
      </c>
      <c r="I20" s="1">
        <v>0</v>
      </c>
      <c r="J20" s="1" t="s">
        <v>3</v>
      </c>
      <c r="K20" s="1">
        <v>0</v>
      </c>
      <c r="L20" s="1" t="s">
        <v>15</v>
      </c>
      <c r="M20" s="1" t="s">
        <v>3</v>
      </c>
      <c r="N20" s="1"/>
      <c r="O20" s="1"/>
      <c r="P20" s="1"/>
      <c r="Q20" s="1"/>
      <c r="R20" s="1"/>
      <c r="S20" s="1">
        <v>0</v>
      </c>
      <c r="T20" s="1"/>
      <c r="U20" s="1" t="s">
        <v>3</v>
      </c>
      <c r="V20" s="1">
        <v>0</v>
      </c>
      <c r="W20" s="1"/>
      <c r="X20" s="1"/>
      <c r="Y20" s="1"/>
      <c r="Z20" s="1"/>
      <c r="AA20" s="1"/>
      <c r="AB20" s="1" t="s">
        <v>3</v>
      </c>
      <c r="AC20" s="1" t="s">
        <v>3</v>
      </c>
      <c r="AD20" s="1" t="s">
        <v>3</v>
      </c>
      <c r="AE20" s="1" t="s">
        <v>3</v>
      </c>
      <c r="AF20" s="1" t="s">
        <v>3</v>
      </c>
      <c r="AG20" s="1" t="s">
        <v>3</v>
      </c>
      <c r="AH20" s="1"/>
      <c r="AI20" s="1"/>
      <c r="AJ20" s="1"/>
      <c r="AK20" s="1"/>
      <c r="AL20" s="1"/>
      <c r="AM20" s="1"/>
      <c r="AN20" s="1"/>
      <c r="AO20" s="1"/>
      <c r="AP20" s="1" t="s">
        <v>3</v>
      </c>
      <c r="AQ20" s="1" t="s">
        <v>3</v>
      </c>
      <c r="AR20" s="1" t="s">
        <v>3</v>
      </c>
      <c r="AS20" s="1"/>
      <c r="AT20" s="1"/>
      <c r="AU20" s="1"/>
      <c r="AV20" s="1"/>
      <c r="AW20" s="1"/>
      <c r="AX20" s="1"/>
      <c r="AY20" s="1"/>
      <c r="AZ20" s="1" t="s">
        <v>3</v>
      </c>
      <c r="BA20" s="1"/>
      <c r="BB20" s="1" t="s">
        <v>3</v>
      </c>
      <c r="BC20" s="1" t="s">
        <v>3</v>
      </c>
      <c r="BD20" s="1" t="s">
        <v>3</v>
      </c>
      <c r="BE20" s="1" t="s">
        <v>3</v>
      </c>
      <c r="BF20" s="1" t="s">
        <v>3</v>
      </c>
      <c r="BG20" s="1" t="s">
        <v>3</v>
      </c>
      <c r="BH20" s="1" t="s">
        <v>3</v>
      </c>
      <c r="BI20" s="1" t="s">
        <v>3</v>
      </c>
      <c r="BJ20" s="1" t="s">
        <v>3</v>
      </c>
      <c r="BK20" s="1" t="s">
        <v>3</v>
      </c>
      <c r="BL20" s="1" t="s">
        <v>3</v>
      </c>
      <c r="BM20" s="1" t="s">
        <v>3</v>
      </c>
      <c r="BN20" s="1" t="s">
        <v>3</v>
      </c>
      <c r="BO20" s="1" t="s">
        <v>3</v>
      </c>
      <c r="BP20" s="1" t="s">
        <v>3</v>
      </c>
      <c r="BQ20" s="1"/>
      <c r="BR20" s="1"/>
      <c r="BS20" s="1"/>
      <c r="BT20" s="1"/>
      <c r="BU20" s="1"/>
      <c r="BV20" s="1"/>
      <c r="BW20" s="1"/>
      <c r="BX20" s="1">
        <v>0</v>
      </c>
      <c r="BY20" s="1"/>
      <c r="BZ20" s="1"/>
      <c r="CA20" s="1"/>
      <c r="CB20" s="1"/>
      <c r="CC20" s="1"/>
      <c r="CD20" s="1"/>
      <c r="CE20" s="1"/>
      <c r="CF20" s="1">
        <v>0</v>
      </c>
      <c r="CG20" s="1">
        <v>0</v>
      </c>
      <c r="CH20" s="1"/>
      <c r="CI20" s="1" t="s">
        <v>3</v>
      </c>
      <c r="CJ20" s="1" t="s">
        <v>3</v>
      </c>
      <c r="CK20" t="s">
        <v>3</v>
      </c>
      <c r="CL20" t="s">
        <v>3</v>
      </c>
      <c r="CM20" t="s">
        <v>3</v>
      </c>
      <c r="CN20" t="s">
        <v>3</v>
      </c>
      <c r="CO20" t="s">
        <v>3</v>
      </c>
      <c r="CP20" t="s">
        <v>3</v>
      </c>
      <c r="CQ20" t="s">
        <v>3</v>
      </c>
    </row>
    <row r="22" spans="1:255">
      <c r="A22" s="3">
        <v>52</v>
      </c>
      <c r="B22" s="3">
        <f t="shared" ref="B22:G22" si="7">B42</f>
        <v>1</v>
      </c>
      <c r="C22" s="3">
        <f t="shared" si="7"/>
        <v>3</v>
      </c>
      <c r="D22" s="3">
        <f t="shared" si="7"/>
        <v>20</v>
      </c>
      <c r="E22" s="3">
        <f t="shared" si="7"/>
        <v>0</v>
      </c>
      <c r="F22" s="3" t="str">
        <f t="shared" si="7"/>
        <v>Новая локальная смета</v>
      </c>
      <c r="G22" s="3" t="str">
        <f t="shared" si="7"/>
        <v>ремонт трубы</v>
      </c>
      <c r="H22" s="3"/>
      <c r="I22" s="3"/>
      <c r="J22" s="3"/>
      <c r="K22" s="3"/>
      <c r="L22" s="3"/>
      <c r="M22" s="3"/>
      <c r="N22" s="3"/>
      <c r="O22" s="3">
        <f t="shared" ref="O22:AT22" si="8">O42</f>
        <v>52656.07</v>
      </c>
      <c r="P22" s="3">
        <f t="shared" si="8"/>
        <v>4333.3599999999997</v>
      </c>
      <c r="Q22" s="3">
        <f t="shared" si="8"/>
        <v>22333.26</v>
      </c>
      <c r="R22" s="3">
        <f t="shared" si="8"/>
        <v>5074.08</v>
      </c>
      <c r="S22" s="3">
        <f t="shared" si="8"/>
        <v>20915.37</v>
      </c>
      <c r="T22" s="3">
        <f t="shared" si="8"/>
        <v>0</v>
      </c>
      <c r="U22" s="3">
        <f t="shared" si="8"/>
        <v>49.771999999999998</v>
      </c>
      <c r="V22" s="3">
        <f t="shared" si="8"/>
        <v>12.61312</v>
      </c>
      <c r="W22" s="3">
        <f t="shared" si="8"/>
        <v>0</v>
      </c>
      <c r="X22" s="3">
        <f t="shared" si="8"/>
        <v>34113.56</v>
      </c>
      <c r="Y22" s="3">
        <f t="shared" si="8"/>
        <v>23901.1</v>
      </c>
      <c r="Z22" s="3">
        <f t="shared" si="8"/>
        <v>0</v>
      </c>
      <c r="AA22" s="3">
        <f t="shared" si="8"/>
        <v>0</v>
      </c>
      <c r="AB22" s="3">
        <f t="shared" si="8"/>
        <v>52656.07</v>
      </c>
      <c r="AC22" s="3">
        <f t="shared" si="8"/>
        <v>4333.3599999999997</v>
      </c>
      <c r="AD22" s="3">
        <f t="shared" si="8"/>
        <v>22333.26</v>
      </c>
      <c r="AE22" s="3">
        <f t="shared" si="8"/>
        <v>5074.08</v>
      </c>
      <c r="AF22" s="3">
        <f t="shared" si="8"/>
        <v>20915.37</v>
      </c>
      <c r="AG22" s="3">
        <f t="shared" si="8"/>
        <v>0</v>
      </c>
      <c r="AH22" s="3">
        <f t="shared" si="8"/>
        <v>49.771999999999998</v>
      </c>
      <c r="AI22" s="3">
        <f t="shared" si="8"/>
        <v>12.61312</v>
      </c>
      <c r="AJ22" s="3">
        <f t="shared" si="8"/>
        <v>0</v>
      </c>
      <c r="AK22" s="3">
        <f t="shared" si="8"/>
        <v>34113.56</v>
      </c>
      <c r="AL22" s="3">
        <f t="shared" si="8"/>
        <v>23901.1</v>
      </c>
      <c r="AM22" s="3">
        <f t="shared" si="8"/>
        <v>0</v>
      </c>
      <c r="AN22" s="3">
        <f t="shared" si="8"/>
        <v>0</v>
      </c>
      <c r="AO22" s="3">
        <f t="shared" si="8"/>
        <v>0</v>
      </c>
      <c r="AP22" s="3">
        <f t="shared" si="8"/>
        <v>0</v>
      </c>
      <c r="AQ22" s="3">
        <f t="shared" si="8"/>
        <v>0</v>
      </c>
      <c r="AR22" s="3">
        <f t="shared" si="8"/>
        <v>110670.73</v>
      </c>
      <c r="AS22" s="3">
        <f t="shared" si="8"/>
        <v>110670.73</v>
      </c>
      <c r="AT22" s="3">
        <f t="shared" si="8"/>
        <v>0</v>
      </c>
      <c r="AU22" s="3">
        <f t="shared" ref="AU22:BZ22" si="9">AU42</f>
        <v>0</v>
      </c>
      <c r="AV22" s="3">
        <f t="shared" si="9"/>
        <v>4333.3599999999997</v>
      </c>
      <c r="AW22" s="3">
        <f t="shared" si="9"/>
        <v>4333.3599999999997</v>
      </c>
      <c r="AX22" s="3">
        <f t="shared" si="9"/>
        <v>0</v>
      </c>
      <c r="AY22" s="3">
        <f t="shared" si="9"/>
        <v>4333.3599999999997</v>
      </c>
      <c r="AZ22" s="3">
        <f t="shared" si="9"/>
        <v>0</v>
      </c>
      <c r="BA22" s="3">
        <f t="shared" si="9"/>
        <v>0</v>
      </c>
      <c r="BB22" s="3">
        <f t="shared" si="9"/>
        <v>0</v>
      </c>
      <c r="BC22" s="3">
        <f t="shared" si="9"/>
        <v>0</v>
      </c>
      <c r="BD22" s="3">
        <f t="shared" si="9"/>
        <v>0</v>
      </c>
      <c r="BE22" s="3">
        <f t="shared" si="9"/>
        <v>0</v>
      </c>
      <c r="BF22" s="3">
        <f t="shared" si="9"/>
        <v>0</v>
      </c>
      <c r="BG22" s="3">
        <f t="shared" si="9"/>
        <v>0</v>
      </c>
      <c r="BH22" s="3">
        <f t="shared" si="9"/>
        <v>0</v>
      </c>
      <c r="BI22" s="3">
        <f t="shared" si="9"/>
        <v>0</v>
      </c>
      <c r="BJ22" s="3">
        <f t="shared" si="9"/>
        <v>0</v>
      </c>
      <c r="BK22" s="3">
        <f t="shared" si="9"/>
        <v>0</v>
      </c>
      <c r="BL22" s="3">
        <f t="shared" si="9"/>
        <v>0</v>
      </c>
      <c r="BM22" s="3">
        <f t="shared" si="9"/>
        <v>0</v>
      </c>
      <c r="BN22" s="3">
        <f t="shared" si="9"/>
        <v>0</v>
      </c>
      <c r="BO22" s="3">
        <f t="shared" si="9"/>
        <v>0</v>
      </c>
      <c r="BP22" s="3">
        <f t="shared" si="9"/>
        <v>0</v>
      </c>
      <c r="BQ22" s="3">
        <f t="shared" si="9"/>
        <v>0</v>
      </c>
      <c r="BR22" s="3">
        <f t="shared" si="9"/>
        <v>0</v>
      </c>
      <c r="BS22" s="3">
        <f t="shared" si="9"/>
        <v>0</v>
      </c>
      <c r="BT22" s="3">
        <f t="shared" si="9"/>
        <v>0</v>
      </c>
      <c r="BU22" s="3">
        <f t="shared" si="9"/>
        <v>0</v>
      </c>
      <c r="BV22" s="3">
        <f t="shared" si="9"/>
        <v>0</v>
      </c>
      <c r="BW22" s="3">
        <f t="shared" si="9"/>
        <v>0</v>
      </c>
      <c r="BX22" s="3">
        <f t="shared" si="9"/>
        <v>0</v>
      </c>
      <c r="BY22" s="3">
        <f t="shared" si="9"/>
        <v>0</v>
      </c>
      <c r="BZ22" s="3">
        <f t="shared" si="9"/>
        <v>0</v>
      </c>
      <c r="CA22" s="3">
        <f t="shared" ref="CA22:DF22" si="10">CA42</f>
        <v>110670.73</v>
      </c>
      <c r="CB22" s="3">
        <f t="shared" si="10"/>
        <v>110670.73</v>
      </c>
      <c r="CC22" s="3">
        <f t="shared" si="10"/>
        <v>0</v>
      </c>
      <c r="CD22" s="3">
        <f t="shared" si="10"/>
        <v>0</v>
      </c>
      <c r="CE22" s="3">
        <f t="shared" si="10"/>
        <v>4333.3599999999997</v>
      </c>
      <c r="CF22" s="3">
        <f t="shared" si="10"/>
        <v>4333.3599999999997</v>
      </c>
      <c r="CG22" s="3">
        <f t="shared" si="10"/>
        <v>0</v>
      </c>
      <c r="CH22" s="3">
        <f t="shared" si="10"/>
        <v>4333.3599999999997</v>
      </c>
      <c r="CI22" s="3">
        <f t="shared" si="10"/>
        <v>0</v>
      </c>
      <c r="CJ22" s="3">
        <f t="shared" si="10"/>
        <v>0</v>
      </c>
      <c r="CK22" s="3">
        <f t="shared" si="10"/>
        <v>0</v>
      </c>
      <c r="CL22" s="3">
        <f t="shared" si="10"/>
        <v>0</v>
      </c>
      <c r="CM22" s="3">
        <f t="shared" si="10"/>
        <v>0</v>
      </c>
      <c r="CN22" s="3">
        <f t="shared" si="10"/>
        <v>0</v>
      </c>
      <c r="CO22" s="3">
        <f t="shared" si="10"/>
        <v>0</v>
      </c>
      <c r="CP22" s="3">
        <f t="shared" si="10"/>
        <v>0</v>
      </c>
      <c r="CQ22" s="3">
        <f t="shared" si="10"/>
        <v>0</v>
      </c>
      <c r="CR22" s="3">
        <f t="shared" si="10"/>
        <v>0</v>
      </c>
      <c r="CS22" s="3">
        <f t="shared" si="10"/>
        <v>0</v>
      </c>
      <c r="CT22" s="3">
        <f t="shared" si="10"/>
        <v>0</v>
      </c>
      <c r="CU22" s="3">
        <f t="shared" si="10"/>
        <v>0</v>
      </c>
      <c r="CV22" s="3">
        <f t="shared" si="10"/>
        <v>0</v>
      </c>
      <c r="CW22" s="3">
        <f t="shared" si="10"/>
        <v>0</v>
      </c>
      <c r="CX22" s="3">
        <f t="shared" si="10"/>
        <v>0</v>
      </c>
      <c r="CY22" s="3">
        <f t="shared" si="10"/>
        <v>0</v>
      </c>
      <c r="CZ22" s="3">
        <f t="shared" si="10"/>
        <v>0</v>
      </c>
      <c r="DA22" s="3">
        <f t="shared" si="10"/>
        <v>0</v>
      </c>
      <c r="DB22" s="3">
        <f t="shared" si="10"/>
        <v>0</v>
      </c>
      <c r="DC22" s="3">
        <f t="shared" si="10"/>
        <v>0</v>
      </c>
      <c r="DD22" s="3">
        <f t="shared" si="10"/>
        <v>0</v>
      </c>
      <c r="DE22" s="3">
        <f t="shared" si="10"/>
        <v>0</v>
      </c>
      <c r="DF22" s="3">
        <f t="shared" si="10"/>
        <v>0</v>
      </c>
      <c r="DG22" s="4">
        <f t="shared" ref="DG22:EL22" si="11">DG42</f>
        <v>0</v>
      </c>
      <c r="DH22" s="4">
        <f t="shared" si="11"/>
        <v>0</v>
      </c>
      <c r="DI22" s="4">
        <f t="shared" si="11"/>
        <v>0</v>
      </c>
      <c r="DJ22" s="4">
        <f t="shared" si="11"/>
        <v>0</v>
      </c>
      <c r="DK22" s="4">
        <f t="shared" si="11"/>
        <v>0</v>
      </c>
      <c r="DL22" s="4">
        <f t="shared" si="11"/>
        <v>0</v>
      </c>
      <c r="DM22" s="4">
        <f t="shared" si="11"/>
        <v>0</v>
      </c>
      <c r="DN22" s="4">
        <f t="shared" si="11"/>
        <v>0</v>
      </c>
      <c r="DO22" s="4">
        <f t="shared" si="11"/>
        <v>0</v>
      </c>
      <c r="DP22" s="4">
        <f t="shared" si="11"/>
        <v>0</v>
      </c>
      <c r="DQ22" s="4">
        <f t="shared" si="11"/>
        <v>0</v>
      </c>
      <c r="DR22" s="4">
        <f t="shared" si="11"/>
        <v>0</v>
      </c>
      <c r="DS22" s="4">
        <f t="shared" si="11"/>
        <v>0</v>
      </c>
      <c r="DT22" s="4">
        <f t="shared" si="11"/>
        <v>0</v>
      </c>
      <c r="DU22" s="4">
        <f t="shared" si="11"/>
        <v>0</v>
      </c>
      <c r="DV22" s="4">
        <f t="shared" si="11"/>
        <v>0</v>
      </c>
      <c r="DW22" s="4">
        <f t="shared" si="11"/>
        <v>0</v>
      </c>
      <c r="DX22" s="4">
        <f t="shared" si="11"/>
        <v>0</v>
      </c>
      <c r="DY22" s="4">
        <f t="shared" si="11"/>
        <v>0</v>
      </c>
      <c r="DZ22" s="4">
        <f t="shared" si="11"/>
        <v>0</v>
      </c>
      <c r="EA22" s="4">
        <f t="shared" si="11"/>
        <v>0</v>
      </c>
      <c r="EB22" s="4">
        <f t="shared" si="11"/>
        <v>0</v>
      </c>
      <c r="EC22" s="4">
        <f t="shared" si="11"/>
        <v>0</v>
      </c>
      <c r="ED22" s="4">
        <f t="shared" si="11"/>
        <v>0</v>
      </c>
      <c r="EE22" s="4">
        <f t="shared" si="11"/>
        <v>0</v>
      </c>
      <c r="EF22" s="4">
        <f t="shared" si="11"/>
        <v>0</v>
      </c>
      <c r="EG22" s="4">
        <f t="shared" si="11"/>
        <v>0</v>
      </c>
      <c r="EH22" s="4">
        <f t="shared" si="11"/>
        <v>0</v>
      </c>
      <c r="EI22" s="4">
        <f t="shared" si="11"/>
        <v>0</v>
      </c>
      <c r="EJ22" s="4">
        <f t="shared" si="11"/>
        <v>0</v>
      </c>
      <c r="EK22" s="4">
        <f t="shared" si="11"/>
        <v>0</v>
      </c>
      <c r="EL22" s="4">
        <f t="shared" si="11"/>
        <v>0</v>
      </c>
      <c r="EM22" s="4">
        <f t="shared" ref="EM22:FR22" si="12">EM42</f>
        <v>0</v>
      </c>
      <c r="EN22" s="4">
        <f t="shared" si="12"/>
        <v>0</v>
      </c>
      <c r="EO22" s="4">
        <f t="shared" si="12"/>
        <v>0</v>
      </c>
      <c r="EP22" s="4">
        <f t="shared" si="12"/>
        <v>0</v>
      </c>
      <c r="EQ22" s="4">
        <f t="shared" si="12"/>
        <v>0</v>
      </c>
      <c r="ER22" s="4">
        <f t="shared" si="12"/>
        <v>0</v>
      </c>
      <c r="ES22" s="4">
        <f t="shared" si="12"/>
        <v>0</v>
      </c>
      <c r="ET22" s="4">
        <f t="shared" si="12"/>
        <v>0</v>
      </c>
      <c r="EU22" s="4">
        <f t="shared" si="12"/>
        <v>0</v>
      </c>
      <c r="EV22" s="4">
        <f t="shared" si="12"/>
        <v>0</v>
      </c>
      <c r="EW22" s="4">
        <f t="shared" si="12"/>
        <v>0</v>
      </c>
      <c r="EX22" s="4">
        <f t="shared" si="12"/>
        <v>0</v>
      </c>
      <c r="EY22" s="4">
        <f t="shared" si="12"/>
        <v>0</v>
      </c>
      <c r="EZ22" s="4">
        <f t="shared" si="12"/>
        <v>0</v>
      </c>
      <c r="FA22" s="4">
        <f t="shared" si="12"/>
        <v>0</v>
      </c>
      <c r="FB22" s="4">
        <f t="shared" si="12"/>
        <v>0</v>
      </c>
      <c r="FC22" s="4">
        <f t="shared" si="12"/>
        <v>0</v>
      </c>
      <c r="FD22" s="4">
        <f t="shared" si="12"/>
        <v>0</v>
      </c>
      <c r="FE22" s="4">
        <f t="shared" si="12"/>
        <v>0</v>
      </c>
      <c r="FF22" s="4">
        <f t="shared" si="12"/>
        <v>0</v>
      </c>
      <c r="FG22" s="4">
        <f t="shared" si="12"/>
        <v>0</v>
      </c>
      <c r="FH22" s="4">
        <f t="shared" si="12"/>
        <v>0</v>
      </c>
      <c r="FI22" s="4">
        <f t="shared" si="12"/>
        <v>0</v>
      </c>
      <c r="FJ22" s="4">
        <f t="shared" si="12"/>
        <v>0</v>
      </c>
      <c r="FK22" s="4">
        <f t="shared" si="12"/>
        <v>0</v>
      </c>
      <c r="FL22" s="4">
        <f t="shared" si="12"/>
        <v>0</v>
      </c>
      <c r="FM22" s="4">
        <f t="shared" si="12"/>
        <v>0</v>
      </c>
      <c r="FN22" s="4">
        <f t="shared" si="12"/>
        <v>0</v>
      </c>
      <c r="FO22" s="4">
        <f t="shared" si="12"/>
        <v>0</v>
      </c>
      <c r="FP22" s="4">
        <f t="shared" si="12"/>
        <v>0</v>
      </c>
      <c r="FQ22" s="4">
        <f t="shared" si="12"/>
        <v>0</v>
      </c>
      <c r="FR22" s="4">
        <f t="shared" si="12"/>
        <v>0</v>
      </c>
      <c r="FS22" s="4">
        <f t="shared" ref="FS22:GX22" si="13">FS42</f>
        <v>0</v>
      </c>
      <c r="FT22" s="4">
        <f t="shared" si="13"/>
        <v>0</v>
      </c>
      <c r="FU22" s="4">
        <f t="shared" si="13"/>
        <v>0</v>
      </c>
      <c r="FV22" s="4">
        <f t="shared" si="13"/>
        <v>0</v>
      </c>
      <c r="FW22" s="4">
        <f t="shared" si="13"/>
        <v>0</v>
      </c>
      <c r="FX22" s="4">
        <f t="shared" si="13"/>
        <v>0</v>
      </c>
      <c r="FY22" s="4">
        <f t="shared" si="13"/>
        <v>0</v>
      </c>
      <c r="FZ22" s="4">
        <f t="shared" si="13"/>
        <v>0</v>
      </c>
      <c r="GA22" s="4">
        <f t="shared" si="13"/>
        <v>0</v>
      </c>
      <c r="GB22" s="4">
        <f t="shared" si="13"/>
        <v>0</v>
      </c>
      <c r="GC22" s="4">
        <f t="shared" si="13"/>
        <v>0</v>
      </c>
      <c r="GD22" s="4">
        <f t="shared" si="13"/>
        <v>0</v>
      </c>
      <c r="GE22" s="4">
        <f t="shared" si="13"/>
        <v>0</v>
      </c>
      <c r="GF22" s="4">
        <f t="shared" si="13"/>
        <v>0</v>
      </c>
      <c r="GG22" s="4">
        <f t="shared" si="13"/>
        <v>0</v>
      </c>
      <c r="GH22" s="4">
        <f t="shared" si="13"/>
        <v>0</v>
      </c>
      <c r="GI22" s="4">
        <f t="shared" si="13"/>
        <v>0</v>
      </c>
      <c r="GJ22" s="4">
        <f t="shared" si="13"/>
        <v>0</v>
      </c>
      <c r="GK22" s="4">
        <f t="shared" si="13"/>
        <v>0</v>
      </c>
      <c r="GL22" s="4">
        <f t="shared" si="13"/>
        <v>0</v>
      </c>
      <c r="GM22" s="4">
        <f t="shared" si="13"/>
        <v>0</v>
      </c>
      <c r="GN22" s="4">
        <f t="shared" si="13"/>
        <v>0</v>
      </c>
      <c r="GO22" s="4">
        <f t="shared" si="13"/>
        <v>0</v>
      </c>
      <c r="GP22" s="4">
        <f t="shared" si="13"/>
        <v>0</v>
      </c>
      <c r="GQ22" s="4">
        <f t="shared" si="13"/>
        <v>0</v>
      </c>
      <c r="GR22" s="4">
        <f t="shared" si="13"/>
        <v>0</v>
      </c>
      <c r="GS22" s="4">
        <f t="shared" si="13"/>
        <v>0</v>
      </c>
      <c r="GT22" s="4">
        <f t="shared" si="13"/>
        <v>0</v>
      </c>
      <c r="GU22" s="4">
        <f t="shared" si="13"/>
        <v>0</v>
      </c>
      <c r="GV22" s="4">
        <f t="shared" si="13"/>
        <v>0</v>
      </c>
      <c r="GW22" s="4">
        <f t="shared" si="13"/>
        <v>0</v>
      </c>
      <c r="GX22" s="4">
        <f t="shared" si="13"/>
        <v>0</v>
      </c>
    </row>
    <row r="24" spans="1:255">
      <c r="A24" s="2">
        <v>17</v>
      </c>
      <c r="B24" s="2">
        <v>1</v>
      </c>
      <c r="C24" s="2">
        <f>ROW(SmtRes!A3)</f>
        <v>3</v>
      </c>
      <c r="D24" s="2">
        <f>ROW(EtalonRes!A3)</f>
        <v>3</v>
      </c>
      <c r="E24" s="2" t="s">
        <v>16</v>
      </c>
      <c r="F24" s="2" t="s">
        <v>17</v>
      </c>
      <c r="G24" s="2" t="s">
        <v>18</v>
      </c>
      <c r="H24" s="2" t="s">
        <v>19</v>
      </c>
      <c r="I24" s="2">
        <f>ROUND(ROUND(45/1000,5),7)</f>
        <v>4.4999999999999998E-2</v>
      </c>
      <c r="J24" s="2">
        <v>0</v>
      </c>
      <c r="K24" s="2">
        <f>ROUND(ROUND(45/1000,5),7)</f>
        <v>4.4999999999999998E-2</v>
      </c>
      <c r="L24" s="2"/>
      <c r="M24" s="2"/>
      <c r="N24" s="2"/>
      <c r="O24" s="2">
        <f t="shared" ref="O24:O40" si="14">ROUND(CP24,2)</f>
        <v>2405.66</v>
      </c>
      <c r="P24" s="2">
        <f>SUMIF(SmtRes!AQ1:'SmtRes'!AQ3,"=1",SmtRes!DF1:'SmtRes'!DF3)</f>
        <v>0</v>
      </c>
      <c r="Q24" s="2">
        <f>SUMIF(SmtRes!AQ1:'SmtRes'!AQ3,"=1",SmtRes!DG1:'SmtRes'!DG3)</f>
        <v>1654.35</v>
      </c>
      <c r="R24" s="2">
        <f>SUMIF(SmtRes!AQ1:'SmtRes'!AQ3,"=1",SmtRes!DH1:'SmtRes'!DH3)</f>
        <v>657.84</v>
      </c>
      <c r="S24" s="2">
        <f>SUMIF(SmtRes!AQ1:'SmtRes'!AQ3,"=1",SmtRes!DI1:'SmtRes'!DI3)</f>
        <v>93.47</v>
      </c>
      <c r="T24" s="2">
        <f t="shared" ref="T24:T40" si="15">ROUND(CU24*I24,2)</f>
        <v>0</v>
      </c>
      <c r="U24" s="2">
        <f>SUMIF(SmtRes!AQ1:'SmtRes'!AQ3,"=1",SmtRes!CV1:'SmtRes'!CV3)</f>
        <v>0.26550000000000001</v>
      </c>
      <c r="V24" s="2">
        <f>SUMIF(SmtRes!AQ1:'SmtRes'!AQ3,"=1",SmtRes!CW1:'SmtRes'!CW3)</f>
        <v>1.3225499999999999</v>
      </c>
      <c r="W24" s="2">
        <f t="shared" ref="W24:W40" si="16">ROUND(CX24*I24,2)</f>
        <v>0</v>
      </c>
      <c r="X24" s="2">
        <f t="shared" ref="X24:X40" si="17">ROUND(CY24,2)</f>
        <v>691.21</v>
      </c>
      <c r="Y24" s="2">
        <f t="shared" ref="Y24:Y40" si="18">ROUND(CZ24,2)</f>
        <v>345.6</v>
      </c>
      <c r="Z24" s="2"/>
      <c r="AA24" s="2">
        <v>38182922</v>
      </c>
      <c r="AB24" s="2">
        <f t="shared" ref="AB24:AB40" si="19">ROUND((AC24+AD24+AF24),6)</f>
        <v>29928.293600000001</v>
      </c>
      <c r="AC24" s="2">
        <f>ROUND((0),6)</f>
        <v>0</v>
      </c>
      <c r="AD24" s="2">
        <f>ROUND((((SUM(SmtRes!BR1:'SmtRes'!BR3))-(SUM(SmtRes!BS1:'SmtRes'!BS3)))+AE24),6)</f>
        <v>27851.139599999999</v>
      </c>
      <c r="AE24" s="2">
        <f>ROUND((SUM(SmtRes!BS1:'SmtRes'!BS3)),6)</f>
        <v>14618.585999999999</v>
      </c>
      <c r="AF24" s="2">
        <f>ROUND((SUM(SmtRes!BT1:'SmtRes'!BT3)),6)</f>
        <v>2077.154</v>
      </c>
      <c r="AG24" s="2">
        <f t="shared" ref="AG24:AG40" si="20">ROUND((AP24),6)</f>
        <v>0</v>
      </c>
      <c r="AH24" s="2">
        <f>(SUM(SmtRes!BU1:'SmtRes'!BU3))</f>
        <v>5.9</v>
      </c>
      <c r="AI24" s="2">
        <f>(SUM(SmtRes!BV1:'SmtRes'!BV3))</f>
        <v>29.39</v>
      </c>
      <c r="AJ24" s="2">
        <f t="shared" ref="AJ24:AJ40" si="21">(AS24)</f>
        <v>0</v>
      </c>
      <c r="AK24" s="2">
        <v>44546.8796</v>
      </c>
      <c r="AL24" s="2">
        <v>0</v>
      </c>
      <c r="AM24" s="2">
        <v>27851.139599999999</v>
      </c>
      <c r="AN24" s="2">
        <v>14618.585999999999</v>
      </c>
      <c r="AO24" s="2">
        <v>2077.154</v>
      </c>
      <c r="AP24" s="2">
        <v>0</v>
      </c>
      <c r="AQ24" s="2">
        <v>5.9</v>
      </c>
      <c r="AR24" s="2">
        <v>29.39</v>
      </c>
      <c r="AS24" s="2">
        <v>0</v>
      </c>
      <c r="AT24" s="2">
        <v>92</v>
      </c>
      <c r="AU24" s="2">
        <v>46</v>
      </c>
      <c r="AV24" s="2">
        <v>1</v>
      </c>
      <c r="AW24" s="2">
        <v>1</v>
      </c>
      <c r="AX24" s="2"/>
      <c r="AY24" s="2"/>
      <c r="AZ24" s="2">
        <v>1</v>
      </c>
      <c r="BA24" s="2">
        <v>1</v>
      </c>
      <c r="BB24" s="2">
        <v>1</v>
      </c>
      <c r="BC24" s="2">
        <v>1</v>
      </c>
      <c r="BD24" s="2" t="s">
        <v>3</v>
      </c>
      <c r="BE24" s="2" t="s">
        <v>3</v>
      </c>
      <c r="BF24" s="2" t="s">
        <v>3</v>
      </c>
      <c r="BG24" s="2" t="s">
        <v>3</v>
      </c>
      <c r="BH24" s="2">
        <v>0</v>
      </c>
      <c r="BI24" s="2">
        <v>1</v>
      </c>
      <c r="BJ24" s="2" t="s">
        <v>20</v>
      </c>
      <c r="BK24" s="2"/>
      <c r="BL24" s="2"/>
      <c r="BM24" s="2">
        <v>1001</v>
      </c>
      <c r="BN24" s="2">
        <v>0</v>
      </c>
      <c r="BO24" s="2" t="s">
        <v>3</v>
      </c>
      <c r="BP24" s="2">
        <v>0</v>
      </c>
      <c r="BQ24" s="2">
        <v>2</v>
      </c>
      <c r="BR24" s="2">
        <v>0</v>
      </c>
      <c r="BS24" s="2">
        <v>1</v>
      </c>
      <c r="BT24" s="2">
        <v>1</v>
      </c>
      <c r="BU24" s="2">
        <v>1</v>
      </c>
      <c r="BV24" s="2">
        <v>1</v>
      </c>
      <c r="BW24" s="2">
        <v>1</v>
      </c>
      <c r="BX24" s="2">
        <v>1</v>
      </c>
      <c r="BY24" s="2" t="s">
        <v>3</v>
      </c>
      <c r="BZ24" s="2">
        <v>92</v>
      </c>
      <c r="CA24" s="2">
        <v>46</v>
      </c>
      <c r="CB24" s="2" t="s">
        <v>3</v>
      </c>
      <c r="CC24" s="2"/>
      <c r="CD24" s="2"/>
      <c r="CE24" s="2">
        <v>0</v>
      </c>
      <c r="CF24" s="2">
        <v>0</v>
      </c>
      <c r="CG24" s="2">
        <v>0</v>
      </c>
      <c r="CH24" s="2"/>
      <c r="CI24" s="2"/>
      <c r="CJ24" s="2"/>
      <c r="CK24" s="2"/>
      <c r="CL24" s="2"/>
      <c r="CM24" s="2">
        <v>0</v>
      </c>
      <c r="CN24" s="2" t="s">
        <v>3</v>
      </c>
      <c r="CO24" s="2">
        <v>0</v>
      </c>
      <c r="CP24" s="2">
        <f t="shared" ref="CP24:CP40" si="22">(P24+Q24+S24+R24)</f>
        <v>2405.66</v>
      </c>
      <c r="CQ24" s="2">
        <f>SUMIF(SmtRes!AQ1:'SmtRes'!AQ3,"=1",SmtRes!AA1:'SmtRes'!AA3)</f>
        <v>0</v>
      </c>
      <c r="CR24" s="2">
        <f>SUMIF(SmtRes!AQ1:'SmtRes'!AQ3,"=1",SmtRes!AB1:'SmtRes'!AB3)</f>
        <v>1250.8800000000001</v>
      </c>
      <c r="CS24" s="2">
        <f>SUMIF(SmtRes!AQ1:'SmtRes'!AQ3,"=1",SmtRes!AC1:'SmtRes'!AC3)</f>
        <v>497.4</v>
      </c>
      <c r="CT24" s="2">
        <f>SUMIF(SmtRes!AQ1:'SmtRes'!AQ3,"=1",SmtRes!AD1:'SmtRes'!AD3)</f>
        <v>352.06</v>
      </c>
      <c r="CU24" s="2">
        <f t="shared" ref="CU24:CU40" si="23">AG24</f>
        <v>0</v>
      </c>
      <c r="CV24" s="2">
        <f>SUMIF(SmtRes!AQ1:'SmtRes'!AQ3,"=1",SmtRes!BU1:'SmtRes'!BU3)</f>
        <v>5.9</v>
      </c>
      <c r="CW24" s="2">
        <f>SUMIF(SmtRes!AQ1:'SmtRes'!AQ3,"=1",SmtRes!BV1:'SmtRes'!BV3)</f>
        <v>29.39</v>
      </c>
      <c r="CX24" s="2">
        <f t="shared" ref="CX24:CX40" si="24">AJ24</f>
        <v>0</v>
      </c>
      <c r="CY24" s="2">
        <f t="shared" ref="CY24:CY39" si="25">(((S24+R24)*AT24)/100)</f>
        <v>691.20519999999999</v>
      </c>
      <c r="CZ24" s="2">
        <f t="shared" ref="CZ24:CZ39" si="26">(((S24+R24)*AU24)/100)</f>
        <v>345.6026</v>
      </c>
      <c r="DA24" s="2"/>
      <c r="DB24" s="2"/>
      <c r="DC24" s="2" t="s">
        <v>3</v>
      </c>
      <c r="DD24" s="2" t="s">
        <v>3</v>
      </c>
      <c r="DE24" s="2" t="s">
        <v>3</v>
      </c>
      <c r="DF24" s="2" t="s">
        <v>3</v>
      </c>
      <c r="DG24" s="2" t="s">
        <v>3</v>
      </c>
      <c r="DH24" s="2" t="s">
        <v>3</v>
      </c>
      <c r="DI24" s="2" t="s">
        <v>3</v>
      </c>
      <c r="DJ24" s="2" t="s">
        <v>3</v>
      </c>
      <c r="DK24" s="2" t="s">
        <v>3</v>
      </c>
      <c r="DL24" s="2" t="s">
        <v>3</v>
      </c>
      <c r="DM24" s="2" t="s">
        <v>3</v>
      </c>
      <c r="DN24" s="2">
        <v>0</v>
      </c>
      <c r="DO24" s="2">
        <v>0</v>
      </c>
      <c r="DP24" s="2">
        <v>1</v>
      </c>
      <c r="DQ24" s="2">
        <v>1</v>
      </c>
      <c r="DR24" s="2"/>
      <c r="DS24" s="2"/>
      <c r="DT24" s="2"/>
      <c r="DU24" s="2">
        <v>1007</v>
      </c>
      <c r="DV24" s="2" t="s">
        <v>19</v>
      </c>
      <c r="DW24" s="2" t="s">
        <v>19</v>
      </c>
      <c r="DX24" s="2">
        <v>1000</v>
      </c>
      <c r="DY24" s="2"/>
      <c r="DZ24" s="2" t="s">
        <v>3</v>
      </c>
      <c r="EA24" s="2" t="s">
        <v>3</v>
      </c>
      <c r="EB24" s="2" t="s">
        <v>3</v>
      </c>
      <c r="EC24" s="2" t="s">
        <v>3</v>
      </c>
      <c r="ED24" s="2"/>
      <c r="EE24" s="2">
        <v>35227734</v>
      </c>
      <c r="EF24" s="2">
        <v>2</v>
      </c>
      <c r="EG24" s="2" t="s">
        <v>21</v>
      </c>
      <c r="EH24" s="2">
        <v>1</v>
      </c>
      <c r="EI24" s="2" t="s">
        <v>22</v>
      </c>
      <c r="EJ24" s="2">
        <v>1</v>
      </c>
      <c r="EK24" s="2">
        <v>1001</v>
      </c>
      <c r="EL24" s="2" t="s">
        <v>23</v>
      </c>
      <c r="EM24" s="2" t="s">
        <v>24</v>
      </c>
      <c r="EN24" s="2"/>
      <c r="EO24" s="2" t="s">
        <v>3</v>
      </c>
      <c r="EP24" s="2"/>
      <c r="EQ24" s="2">
        <v>0</v>
      </c>
      <c r="ER24" s="2">
        <v>0</v>
      </c>
      <c r="ES24" s="2">
        <v>0</v>
      </c>
      <c r="ET24" s="2">
        <v>0</v>
      </c>
      <c r="EU24" s="2">
        <v>0</v>
      </c>
      <c r="EV24" s="2">
        <v>0</v>
      </c>
      <c r="EW24" s="2">
        <v>5.9</v>
      </c>
      <c r="EX24" s="2">
        <v>29.39</v>
      </c>
      <c r="EY24" s="2">
        <v>0</v>
      </c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>
        <v>0</v>
      </c>
      <c r="FR24" s="2">
        <v>0</v>
      </c>
      <c r="FS24" s="2">
        <v>0</v>
      </c>
      <c r="FT24" s="2"/>
      <c r="FU24" s="2"/>
      <c r="FV24" s="2"/>
      <c r="FW24" s="2"/>
      <c r="FX24" s="2">
        <v>92</v>
      </c>
      <c r="FY24" s="2">
        <v>46</v>
      </c>
      <c r="FZ24" s="2"/>
      <c r="GA24" s="2" t="s">
        <v>3</v>
      </c>
      <c r="GB24" s="2"/>
      <c r="GC24" s="2"/>
      <c r="GD24" s="2">
        <v>1</v>
      </c>
      <c r="GE24" s="2"/>
      <c r="GF24" s="2">
        <v>329302311</v>
      </c>
      <c r="GG24" s="2">
        <v>2</v>
      </c>
      <c r="GH24" s="2">
        <v>1</v>
      </c>
      <c r="GI24" s="2">
        <v>-2</v>
      </c>
      <c r="GJ24" s="2">
        <v>0</v>
      </c>
      <c r="GK24" s="2">
        <v>0</v>
      </c>
      <c r="GL24" s="2">
        <f t="shared" ref="GL24:GL40" si="27">ROUND(IF(AND(BH24=3,BI24=3,FS24&lt;&gt;0),P24,0),2)</f>
        <v>0</v>
      </c>
      <c r="GM24" s="2">
        <f t="shared" ref="GM24:GM40" si="28">ROUND(O24+X24+Y24,2)+GX24</f>
        <v>3442.47</v>
      </c>
      <c r="GN24" s="2">
        <f t="shared" ref="GN24:GN40" si="29">IF(OR(BI24=0,BI24=1),GM24-GX24,0)</f>
        <v>3442.47</v>
      </c>
      <c r="GO24" s="2">
        <f t="shared" ref="GO24:GO40" si="30">IF(BI24=2,GM24-GX24,0)</f>
        <v>0</v>
      </c>
      <c r="GP24" s="2">
        <f t="shared" ref="GP24:GP40" si="31">IF(BI24=4,GM24-GX24,0)</f>
        <v>0</v>
      </c>
      <c r="GQ24" s="2"/>
      <c r="GR24" s="2">
        <v>0</v>
      </c>
      <c r="GS24" s="2">
        <v>3</v>
      </c>
      <c r="GT24" s="2">
        <v>0</v>
      </c>
      <c r="GU24" s="2" t="s">
        <v>3</v>
      </c>
      <c r="GV24" s="2">
        <f t="shared" ref="GV24:GV40" si="32">ROUND((GT24),6)</f>
        <v>0</v>
      </c>
      <c r="GW24" s="2">
        <v>1</v>
      </c>
      <c r="GX24" s="2">
        <f t="shared" ref="GX24:GX40" si="33">ROUND(HC24*I24,2)</f>
        <v>0</v>
      </c>
      <c r="GY24" s="2"/>
      <c r="GZ24" s="2"/>
      <c r="HA24" s="2">
        <v>0</v>
      </c>
      <c r="HB24" s="2">
        <v>0</v>
      </c>
      <c r="HC24" s="2">
        <f t="shared" ref="HC24:HC40" si="34">GV24*GW24</f>
        <v>0</v>
      </c>
      <c r="HD24" s="2"/>
      <c r="HE24" s="2" t="s">
        <v>3</v>
      </c>
      <c r="HF24" s="2" t="s">
        <v>3</v>
      </c>
      <c r="HG24" s="2"/>
      <c r="HH24" s="2"/>
      <c r="HI24" s="2"/>
      <c r="HJ24" s="2"/>
      <c r="HK24" s="2"/>
      <c r="HL24" s="2"/>
      <c r="HM24" s="2" t="s">
        <v>3</v>
      </c>
      <c r="HN24" s="2" t="s">
        <v>25</v>
      </c>
      <c r="HO24" s="2" t="s">
        <v>26</v>
      </c>
      <c r="HP24" s="2" t="s">
        <v>23</v>
      </c>
      <c r="HQ24" s="2" t="s">
        <v>23</v>
      </c>
      <c r="HR24" s="2"/>
      <c r="HS24" s="2">
        <v>0</v>
      </c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>
        <v>0</v>
      </c>
      <c r="IL24" s="2"/>
      <c r="IM24" s="2"/>
      <c r="IN24" s="2"/>
      <c r="IO24" s="2"/>
      <c r="IP24" s="2"/>
      <c r="IQ24" s="2"/>
      <c r="IR24" s="2"/>
      <c r="IS24" s="2"/>
      <c r="IT24" s="2"/>
      <c r="IU24" s="2"/>
    </row>
    <row r="25" spans="1:255">
      <c r="A25" s="2">
        <v>17</v>
      </c>
      <c r="B25" s="2">
        <v>1</v>
      </c>
      <c r="C25" s="2">
        <f>ROW(SmtRes!A13)</f>
        <v>13</v>
      </c>
      <c r="D25" s="2">
        <f>ROW(EtalonRes!A13)</f>
        <v>13</v>
      </c>
      <c r="E25" s="2" t="s">
        <v>27</v>
      </c>
      <c r="F25" s="2" t="s">
        <v>28</v>
      </c>
      <c r="G25" s="2" t="s">
        <v>29</v>
      </c>
      <c r="H25" s="2" t="s">
        <v>30</v>
      </c>
      <c r="I25" s="2">
        <f>ROUND(ROUND(10/100,5),7)</f>
        <v>0.1</v>
      </c>
      <c r="J25" s="2">
        <v>0</v>
      </c>
      <c r="K25" s="2">
        <f>ROUND(ROUND(10/100,5),7)</f>
        <v>0.1</v>
      </c>
      <c r="L25" s="2"/>
      <c r="M25" s="2"/>
      <c r="N25" s="2"/>
      <c r="O25" s="2">
        <f t="shared" si="14"/>
        <v>12131.52</v>
      </c>
      <c r="P25" s="2">
        <f>SUMIF(SmtRes!AQ4:'SmtRes'!AQ13,"=1",SmtRes!DF4:'SmtRes'!DF13)</f>
        <v>0</v>
      </c>
      <c r="Q25" s="2">
        <f>SUMIF(SmtRes!AQ4:'SmtRes'!AQ13,"=1",SmtRes!DG4:'SmtRes'!DG13)</f>
        <v>4917.5999999999995</v>
      </c>
      <c r="R25" s="2">
        <f>SUMIF(SmtRes!AQ4:'SmtRes'!AQ13,"=1",SmtRes!DH4:'SmtRes'!DH13)</f>
        <v>718.31000000000006</v>
      </c>
      <c r="S25" s="2">
        <f>SUMIF(SmtRes!AQ4:'SmtRes'!AQ13,"=1",SmtRes!DI4:'SmtRes'!DI13)</f>
        <v>6495.61</v>
      </c>
      <c r="T25" s="2">
        <f t="shared" si="15"/>
        <v>0</v>
      </c>
      <c r="U25" s="2">
        <f>SUMIF(SmtRes!AQ4:'SmtRes'!AQ13,"=1",SmtRes!CV4:'SmtRes'!CV13)</f>
        <v>15.007999999999999</v>
      </c>
      <c r="V25" s="2">
        <f>SUMIF(SmtRes!AQ4:'SmtRes'!AQ13,"=1",SmtRes!CW4:'SmtRes'!CW13)</f>
        <v>1.0304</v>
      </c>
      <c r="W25" s="2">
        <f t="shared" si="16"/>
        <v>0</v>
      </c>
      <c r="X25" s="2">
        <f t="shared" si="17"/>
        <v>8440.2900000000009</v>
      </c>
      <c r="Y25" s="2">
        <f t="shared" si="18"/>
        <v>5338.3</v>
      </c>
      <c r="Z25" s="2"/>
      <c r="AA25" s="2">
        <v>38182922</v>
      </c>
      <c r="AB25" s="2">
        <f t="shared" si="19"/>
        <v>108890.13056000001</v>
      </c>
      <c r="AC25" s="2">
        <f>ROUND((0),6)</f>
        <v>0</v>
      </c>
      <c r="AD25" s="2">
        <f>ROUND((((SUM(SmtRes!BR4:'SmtRes'!BR13))-(SUM(SmtRes!BS4:'SmtRes'!BS13)))+AE25),6)</f>
        <v>43934.00576</v>
      </c>
      <c r="AE25" s="2">
        <f>ROUND((SUM(SmtRes!BS4:'SmtRes'!BS13)),6)</f>
        <v>7183.1110399999998</v>
      </c>
      <c r="AF25" s="2">
        <f>ROUND((SUM(SmtRes!BT4:'SmtRes'!BT13)),6)</f>
        <v>64956.124799999998</v>
      </c>
      <c r="AG25" s="2">
        <f t="shared" si="20"/>
        <v>0</v>
      </c>
      <c r="AH25" s="2">
        <f>(SUM(SmtRes!BU4:'SmtRes'!BU13))</f>
        <v>150.08000000000001</v>
      </c>
      <c r="AI25" s="2">
        <f>(SUM(SmtRes!BV4:'SmtRes'!BV13))</f>
        <v>10.304000000000002</v>
      </c>
      <c r="AJ25" s="2">
        <f t="shared" si="21"/>
        <v>0</v>
      </c>
      <c r="AK25" s="2">
        <v>168272.22925999999</v>
      </c>
      <c r="AL25" s="2">
        <v>23180.67726</v>
      </c>
      <c r="AM25" s="2">
        <v>54917.507200000007</v>
      </c>
      <c r="AN25" s="2">
        <v>8978.8888000000006</v>
      </c>
      <c r="AO25" s="2">
        <v>81195.156000000003</v>
      </c>
      <c r="AP25" s="2">
        <v>0</v>
      </c>
      <c r="AQ25" s="2">
        <v>187.6</v>
      </c>
      <c r="AR25" s="2">
        <v>12.88</v>
      </c>
      <c r="AS25" s="2">
        <v>0</v>
      </c>
      <c r="AT25" s="2">
        <v>117</v>
      </c>
      <c r="AU25" s="2">
        <v>74</v>
      </c>
      <c r="AV25" s="2">
        <v>1</v>
      </c>
      <c r="AW25" s="2">
        <v>1</v>
      </c>
      <c r="AX25" s="2"/>
      <c r="AY25" s="2"/>
      <c r="AZ25" s="2">
        <v>1</v>
      </c>
      <c r="BA25" s="2">
        <v>1</v>
      </c>
      <c r="BB25" s="2">
        <v>1</v>
      </c>
      <c r="BC25" s="2">
        <v>1</v>
      </c>
      <c r="BD25" s="2" t="s">
        <v>3</v>
      </c>
      <c r="BE25" s="2" t="s">
        <v>3</v>
      </c>
      <c r="BF25" s="2" t="s">
        <v>3</v>
      </c>
      <c r="BG25" s="2" t="s">
        <v>3</v>
      </c>
      <c r="BH25" s="2">
        <v>0</v>
      </c>
      <c r="BI25" s="2">
        <v>1</v>
      </c>
      <c r="BJ25" s="2" t="s">
        <v>31</v>
      </c>
      <c r="BK25" s="2"/>
      <c r="BL25" s="2"/>
      <c r="BM25" s="2">
        <v>23001</v>
      </c>
      <c r="BN25" s="2">
        <v>0</v>
      </c>
      <c r="BO25" s="2" t="s">
        <v>3</v>
      </c>
      <c r="BP25" s="2">
        <v>0</v>
      </c>
      <c r="BQ25" s="2">
        <v>2</v>
      </c>
      <c r="BR25" s="2">
        <v>0</v>
      </c>
      <c r="BS25" s="2">
        <v>1</v>
      </c>
      <c r="BT25" s="2">
        <v>1</v>
      </c>
      <c r="BU25" s="2">
        <v>1</v>
      </c>
      <c r="BV25" s="2">
        <v>1</v>
      </c>
      <c r="BW25" s="2">
        <v>1</v>
      </c>
      <c r="BX25" s="2">
        <v>1</v>
      </c>
      <c r="BY25" s="2" t="s">
        <v>3</v>
      </c>
      <c r="BZ25" s="2">
        <v>117</v>
      </c>
      <c r="CA25" s="2">
        <v>74</v>
      </c>
      <c r="CB25" s="2" t="s">
        <v>3</v>
      </c>
      <c r="CC25" s="2"/>
      <c r="CD25" s="2"/>
      <c r="CE25" s="2">
        <v>0</v>
      </c>
      <c r="CF25" s="2">
        <v>0</v>
      </c>
      <c r="CG25" s="2">
        <v>0</v>
      </c>
      <c r="CH25" s="2"/>
      <c r="CI25" s="2"/>
      <c r="CJ25" s="2"/>
      <c r="CK25" s="2"/>
      <c r="CL25" s="2"/>
      <c r="CM25" s="2">
        <v>0</v>
      </c>
      <c r="CN25" s="2" t="s">
        <v>32</v>
      </c>
      <c r="CO25" s="2">
        <v>0</v>
      </c>
      <c r="CP25" s="2">
        <f t="shared" si="22"/>
        <v>12131.519999999999</v>
      </c>
      <c r="CQ25" s="2">
        <f>SUMIF(SmtRes!AQ4:'SmtRes'!AQ13,"=1",SmtRes!AA4:'SmtRes'!AA13)</f>
        <v>40551.019999999997</v>
      </c>
      <c r="CR25" s="2">
        <f>SUMIF(SmtRes!AQ4:'SmtRes'!AQ13,"=1",SmtRes!AB4:'SmtRes'!AB13)</f>
        <v>5584.83</v>
      </c>
      <c r="CS25" s="2">
        <f>SUMIF(SmtRes!AQ4:'SmtRes'!AQ13,"=1",SmtRes!AC4:'SmtRes'!AC13)</f>
        <v>1140.1600000000001</v>
      </c>
      <c r="CT25" s="2">
        <f>SUMIF(SmtRes!AQ4:'SmtRes'!AQ13,"=1",SmtRes!AD4:'SmtRes'!AD13)</f>
        <v>432.81</v>
      </c>
      <c r="CU25" s="2">
        <f t="shared" si="23"/>
        <v>0</v>
      </c>
      <c r="CV25" s="2">
        <f>SUMIF(SmtRes!AQ4:'SmtRes'!AQ13,"=1",SmtRes!BU4:'SmtRes'!BU13)</f>
        <v>150.08000000000001</v>
      </c>
      <c r="CW25" s="2">
        <f>SUMIF(SmtRes!AQ4:'SmtRes'!AQ13,"=1",SmtRes!BV4:'SmtRes'!BV13)</f>
        <v>10.304000000000002</v>
      </c>
      <c r="CX25" s="2">
        <f t="shared" si="24"/>
        <v>0</v>
      </c>
      <c r="CY25" s="2">
        <f t="shared" si="25"/>
        <v>8440.2864000000009</v>
      </c>
      <c r="CZ25" s="2">
        <f t="shared" si="26"/>
        <v>5338.3008</v>
      </c>
      <c r="DA25" s="2"/>
      <c r="DB25" s="2">
        <v>1</v>
      </c>
      <c r="DC25" s="2" t="s">
        <v>3</v>
      </c>
      <c r="DD25" s="2" t="s">
        <v>33</v>
      </c>
      <c r="DE25" s="2" t="s">
        <v>34</v>
      </c>
      <c r="DF25" s="2" t="s">
        <v>34</v>
      </c>
      <c r="DG25" s="2" t="s">
        <v>34</v>
      </c>
      <c r="DH25" s="2" t="s">
        <v>3</v>
      </c>
      <c r="DI25" s="2" t="s">
        <v>34</v>
      </c>
      <c r="DJ25" s="2" t="s">
        <v>34</v>
      </c>
      <c r="DK25" s="2" t="s">
        <v>3</v>
      </c>
      <c r="DL25" s="2" t="s">
        <v>3</v>
      </c>
      <c r="DM25" s="2" t="s">
        <v>3</v>
      </c>
      <c r="DN25" s="2">
        <v>0</v>
      </c>
      <c r="DO25" s="2">
        <v>0</v>
      </c>
      <c r="DP25" s="2">
        <v>1</v>
      </c>
      <c r="DQ25" s="2">
        <v>1</v>
      </c>
      <c r="DR25" s="2"/>
      <c r="DS25" s="2"/>
      <c r="DT25" s="2"/>
      <c r="DU25" s="2">
        <v>1003</v>
      </c>
      <c r="DV25" s="2" t="s">
        <v>30</v>
      </c>
      <c r="DW25" s="2" t="s">
        <v>30</v>
      </c>
      <c r="DX25" s="2">
        <v>100</v>
      </c>
      <c r="DY25" s="2"/>
      <c r="DZ25" s="2" t="s">
        <v>3</v>
      </c>
      <c r="EA25" s="2" t="s">
        <v>3</v>
      </c>
      <c r="EB25" s="2" t="s">
        <v>3</v>
      </c>
      <c r="EC25" s="2" t="s">
        <v>3</v>
      </c>
      <c r="ED25" s="2"/>
      <c r="EE25" s="2">
        <v>35227794</v>
      </c>
      <c r="EF25" s="2">
        <v>2</v>
      </c>
      <c r="EG25" s="2" t="s">
        <v>21</v>
      </c>
      <c r="EH25" s="2">
        <v>18</v>
      </c>
      <c r="EI25" s="2" t="s">
        <v>35</v>
      </c>
      <c r="EJ25" s="2">
        <v>1</v>
      </c>
      <c r="EK25" s="2">
        <v>23001</v>
      </c>
      <c r="EL25" s="2" t="s">
        <v>35</v>
      </c>
      <c r="EM25" s="2" t="s">
        <v>36</v>
      </c>
      <c r="EN25" s="2"/>
      <c r="EO25" s="2" t="s">
        <v>37</v>
      </c>
      <c r="EP25" s="2"/>
      <c r="EQ25" s="2">
        <v>0</v>
      </c>
      <c r="ER25" s="2">
        <v>0</v>
      </c>
      <c r="ES25" s="2">
        <v>0</v>
      </c>
      <c r="ET25" s="2">
        <v>0</v>
      </c>
      <c r="EU25" s="2">
        <v>0</v>
      </c>
      <c r="EV25" s="2">
        <v>0</v>
      </c>
      <c r="EW25" s="2">
        <v>187.6</v>
      </c>
      <c r="EX25" s="2">
        <v>12.88</v>
      </c>
      <c r="EY25" s="2">
        <v>0</v>
      </c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>
        <v>0</v>
      </c>
      <c r="FR25" s="2">
        <v>0</v>
      </c>
      <c r="FS25" s="2">
        <v>0</v>
      </c>
      <c r="FT25" s="2"/>
      <c r="FU25" s="2"/>
      <c r="FV25" s="2"/>
      <c r="FW25" s="2"/>
      <c r="FX25" s="2">
        <v>117</v>
      </c>
      <c r="FY25" s="2">
        <v>74</v>
      </c>
      <c r="FZ25" s="2"/>
      <c r="GA25" s="2" t="s">
        <v>3</v>
      </c>
      <c r="GB25" s="2"/>
      <c r="GC25" s="2"/>
      <c r="GD25" s="2">
        <v>1</v>
      </c>
      <c r="GE25" s="2"/>
      <c r="GF25" s="2">
        <v>751095627</v>
      </c>
      <c r="GG25" s="2">
        <v>2</v>
      </c>
      <c r="GH25" s="2">
        <v>1</v>
      </c>
      <c r="GI25" s="2">
        <v>-2</v>
      </c>
      <c r="GJ25" s="2">
        <v>0</v>
      </c>
      <c r="GK25" s="2">
        <v>0</v>
      </c>
      <c r="GL25" s="2">
        <f t="shared" si="27"/>
        <v>0</v>
      </c>
      <c r="GM25" s="2">
        <f t="shared" si="28"/>
        <v>25910.11</v>
      </c>
      <c r="GN25" s="2">
        <f t="shared" si="29"/>
        <v>25910.11</v>
      </c>
      <c r="GO25" s="2">
        <f t="shared" si="30"/>
        <v>0</v>
      </c>
      <c r="GP25" s="2">
        <f t="shared" si="31"/>
        <v>0</v>
      </c>
      <c r="GQ25" s="2"/>
      <c r="GR25" s="2">
        <v>0</v>
      </c>
      <c r="GS25" s="2">
        <v>3</v>
      </c>
      <c r="GT25" s="2">
        <v>0</v>
      </c>
      <c r="GU25" s="2" t="s">
        <v>3</v>
      </c>
      <c r="GV25" s="2">
        <f t="shared" si="32"/>
        <v>0</v>
      </c>
      <c r="GW25" s="2">
        <v>1</v>
      </c>
      <c r="GX25" s="2">
        <f t="shared" si="33"/>
        <v>0</v>
      </c>
      <c r="GY25" s="2"/>
      <c r="GZ25" s="2"/>
      <c r="HA25" s="2">
        <v>0</v>
      </c>
      <c r="HB25" s="2">
        <v>0</v>
      </c>
      <c r="HC25" s="2">
        <f t="shared" si="34"/>
        <v>0</v>
      </c>
      <c r="HD25" s="2"/>
      <c r="HE25" s="2" t="s">
        <v>3</v>
      </c>
      <c r="HF25" s="2" t="s">
        <v>3</v>
      </c>
      <c r="HG25" s="2"/>
      <c r="HH25" s="2"/>
      <c r="HI25" s="2"/>
      <c r="HJ25" s="2"/>
      <c r="HK25" s="2"/>
      <c r="HL25" s="2"/>
      <c r="HM25" s="2" t="s">
        <v>3</v>
      </c>
      <c r="HN25" s="2" t="s">
        <v>38</v>
      </c>
      <c r="HO25" s="2" t="s">
        <v>39</v>
      </c>
      <c r="HP25" s="2" t="s">
        <v>35</v>
      </c>
      <c r="HQ25" s="2" t="s">
        <v>35</v>
      </c>
      <c r="HR25" s="2"/>
      <c r="HS25" s="2">
        <v>0</v>
      </c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>
        <v>0</v>
      </c>
      <c r="IL25" s="2"/>
      <c r="IM25" s="2"/>
      <c r="IN25" s="2"/>
      <c r="IO25" s="2"/>
      <c r="IP25" s="2"/>
      <c r="IQ25" s="2"/>
      <c r="IR25" s="2"/>
      <c r="IS25" s="2"/>
      <c r="IT25" s="2"/>
      <c r="IU25" s="2"/>
    </row>
    <row r="26" spans="1:255">
      <c r="A26" s="2">
        <v>18</v>
      </c>
      <c r="B26" s="2">
        <v>1</v>
      </c>
      <c r="C26" s="2">
        <v>13</v>
      </c>
      <c r="D26" s="2"/>
      <c r="E26" s="2" t="s">
        <v>40</v>
      </c>
      <c r="F26" s="2" t="s">
        <v>41</v>
      </c>
      <c r="G26" s="2" t="s">
        <v>42</v>
      </c>
      <c r="H26" s="2" t="s">
        <v>43</v>
      </c>
      <c r="I26" s="2">
        <f>I25*J26</f>
        <v>0</v>
      </c>
      <c r="J26" s="2">
        <v>0</v>
      </c>
      <c r="K26" s="2">
        <v>99.7</v>
      </c>
      <c r="L26" s="2"/>
      <c r="M26" s="2"/>
      <c r="N26" s="2"/>
      <c r="O26" s="2">
        <f t="shared" si="14"/>
        <v>0</v>
      </c>
      <c r="P26" s="2">
        <f>ROUND(CQ26*I26,2)</f>
        <v>0</v>
      </c>
      <c r="Q26" s="2">
        <f>ROUND(CR26*I26,2)</f>
        <v>0</v>
      </c>
      <c r="R26" s="2">
        <f>ROUND(CS26*I26,2)</f>
        <v>0</v>
      </c>
      <c r="S26" s="2">
        <f>ROUND(CT26*I26,2)</f>
        <v>0</v>
      </c>
      <c r="T26" s="2">
        <f t="shared" si="15"/>
        <v>0</v>
      </c>
      <c r="U26" s="2">
        <f>ROUND(CV26*I26,7)</f>
        <v>0</v>
      </c>
      <c r="V26" s="2">
        <f>ROUND(CW26*I26,7)</f>
        <v>0</v>
      </c>
      <c r="W26" s="2">
        <f t="shared" si="16"/>
        <v>0</v>
      </c>
      <c r="X26" s="2">
        <f t="shared" si="17"/>
        <v>0</v>
      </c>
      <c r="Y26" s="2">
        <f t="shared" si="18"/>
        <v>0</v>
      </c>
      <c r="Z26" s="2"/>
      <c r="AA26" s="2">
        <v>38182922</v>
      </c>
      <c r="AB26" s="2">
        <f t="shared" si="19"/>
        <v>0</v>
      </c>
      <c r="AC26" s="2">
        <f>ROUND((ES26),6)</f>
        <v>0</v>
      </c>
      <c r="AD26" s="2">
        <f>ROUND((((ET26)-(EU26))+AE26),6)</f>
        <v>0</v>
      </c>
      <c r="AE26" s="2">
        <f>ROUND((EU26),6)</f>
        <v>0</v>
      </c>
      <c r="AF26" s="2">
        <f>ROUND((EV26),6)</f>
        <v>0</v>
      </c>
      <c r="AG26" s="2">
        <f t="shared" si="20"/>
        <v>0</v>
      </c>
      <c r="AH26" s="2">
        <f>(EW26)</f>
        <v>0</v>
      </c>
      <c r="AI26" s="2">
        <f>(EX26)</f>
        <v>0</v>
      </c>
      <c r="AJ26" s="2">
        <f t="shared" si="21"/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117</v>
      </c>
      <c r="AU26" s="2">
        <v>74</v>
      </c>
      <c r="AV26" s="2">
        <v>1</v>
      </c>
      <c r="AW26" s="2">
        <v>1</v>
      </c>
      <c r="AX26" s="2"/>
      <c r="AY26" s="2"/>
      <c r="AZ26" s="2">
        <v>1</v>
      </c>
      <c r="BA26" s="2">
        <v>1</v>
      </c>
      <c r="BB26" s="2">
        <v>1</v>
      </c>
      <c r="BC26" s="2">
        <v>1</v>
      </c>
      <c r="BD26" s="2" t="s">
        <v>3</v>
      </c>
      <c r="BE26" s="2" t="s">
        <v>3</v>
      </c>
      <c r="BF26" s="2" t="s">
        <v>3</v>
      </c>
      <c r="BG26" s="2" t="s">
        <v>3</v>
      </c>
      <c r="BH26" s="2">
        <v>3</v>
      </c>
      <c r="BI26" s="2">
        <v>1</v>
      </c>
      <c r="BJ26" s="2" t="s">
        <v>3</v>
      </c>
      <c r="BK26" s="2"/>
      <c r="BL26" s="2"/>
      <c r="BM26" s="2">
        <v>23001</v>
      </c>
      <c r="BN26" s="2">
        <v>0</v>
      </c>
      <c r="BO26" s="2" t="s">
        <v>3</v>
      </c>
      <c r="BP26" s="2">
        <v>0</v>
      </c>
      <c r="BQ26" s="2">
        <v>2</v>
      </c>
      <c r="BR26" s="2">
        <v>0</v>
      </c>
      <c r="BS26" s="2">
        <v>1</v>
      </c>
      <c r="BT26" s="2">
        <v>1</v>
      </c>
      <c r="BU26" s="2">
        <v>1</v>
      </c>
      <c r="BV26" s="2">
        <v>1</v>
      </c>
      <c r="BW26" s="2">
        <v>1</v>
      </c>
      <c r="BX26" s="2">
        <v>1</v>
      </c>
      <c r="BY26" s="2" t="s">
        <v>3</v>
      </c>
      <c r="BZ26" s="2">
        <v>117</v>
      </c>
      <c r="CA26" s="2">
        <v>74</v>
      </c>
      <c r="CB26" s="2" t="s">
        <v>3</v>
      </c>
      <c r="CC26" s="2"/>
      <c r="CD26" s="2"/>
      <c r="CE26" s="2">
        <v>0</v>
      </c>
      <c r="CF26" s="2">
        <v>0</v>
      </c>
      <c r="CG26" s="2">
        <v>0</v>
      </c>
      <c r="CH26" s="2"/>
      <c r="CI26" s="2"/>
      <c r="CJ26" s="2"/>
      <c r="CK26" s="2"/>
      <c r="CL26" s="2"/>
      <c r="CM26" s="2">
        <v>0</v>
      </c>
      <c r="CN26" s="2" t="s">
        <v>44</v>
      </c>
      <c r="CO26" s="2">
        <v>0</v>
      </c>
      <c r="CP26" s="2">
        <f t="shared" si="22"/>
        <v>0</v>
      </c>
      <c r="CQ26" s="2">
        <f>ROUND(AL26*BC26,2)</f>
        <v>0</v>
      </c>
      <c r="CR26" s="2">
        <f>ROUND(AM26*BB26,2)</f>
        <v>0</v>
      </c>
      <c r="CS26" s="2">
        <f>ROUND(AN26*BS26,2)</f>
        <v>0</v>
      </c>
      <c r="CT26" s="2">
        <f>ROUND(AO26*BA26,2)</f>
        <v>0</v>
      </c>
      <c r="CU26" s="2">
        <f t="shared" si="23"/>
        <v>0</v>
      </c>
      <c r="CV26" s="2">
        <f>AH26</f>
        <v>0</v>
      </c>
      <c r="CW26" s="2">
        <f>AI26</f>
        <v>0</v>
      </c>
      <c r="CX26" s="2">
        <f t="shared" si="24"/>
        <v>0</v>
      </c>
      <c r="CY26" s="2">
        <f t="shared" si="25"/>
        <v>0</v>
      </c>
      <c r="CZ26" s="2">
        <f t="shared" si="26"/>
        <v>0</v>
      </c>
      <c r="DA26" s="2"/>
      <c r="DB26" s="2"/>
      <c r="DC26" s="2" t="s">
        <v>3</v>
      </c>
      <c r="DD26" s="2" t="s">
        <v>3</v>
      </c>
      <c r="DE26" s="2" t="s">
        <v>3</v>
      </c>
      <c r="DF26" s="2" t="s">
        <v>3</v>
      </c>
      <c r="DG26" s="2" t="s">
        <v>3</v>
      </c>
      <c r="DH26" s="2" t="s">
        <v>3</v>
      </c>
      <c r="DI26" s="2" t="s">
        <v>3</v>
      </c>
      <c r="DJ26" s="2" t="s">
        <v>3</v>
      </c>
      <c r="DK26" s="2" t="s">
        <v>3</v>
      </c>
      <c r="DL26" s="2" t="s">
        <v>3</v>
      </c>
      <c r="DM26" s="2" t="s">
        <v>3</v>
      </c>
      <c r="DN26" s="2">
        <v>0</v>
      </c>
      <c r="DO26" s="2">
        <v>0</v>
      </c>
      <c r="DP26" s="2">
        <v>1</v>
      </c>
      <c r="DQ26" s="2">
        <v>1</v>
      </c>
      <c r="DR26" s="2"/>
      <c r="DS26" s="2"/>
      <c r="DT26" s="2"/>
      <c r="DU26" s="2">
        <v>1003</v>
      </c>
      <c r="DV26" s="2" t="s">
        <v>43</v>
      </c>
      <c r="DW26" s="2" t="s">
        <v>43</v>
      </c>
      <c r="DX26" s="2">
        <v>1</v>
      </c>
      <c r="DY26" s="2"/>
      <c r="DZ26" s="2" t="s">
        <v>3</v>
      </c>
      <c r="EA26" s="2" t="s">
        <v>3</v>
      </c>
      <c r="EB26" s="2" t="s">
        <v>3</v>
      </c>
      <c r="EC26" s="2" t="s">
        <v>3</v>
      </c>
      <c r="ED26" s="2"/>
      <c r="EE26" s="2">
        <v>35227794</v>
      </c>
      <c r="EF26" s="2">
        <v>2</v>
      </c>
      <c r="EG26" s="2" t="s">
        <v>21</v>
      </c>
      <c r="EH26" s="2">
        <v>18</v>
      </c>
      <c r="EI26" s="2" t="s">
        <v>35</v>
      </c>
      <c r="EJ26" s="2">
        <v>1</v>
      </c>
      <c r="EK26" s="2">
        <v>23001</v>
      </c>
      <c r="EL26" s="2" t="s">
        <v>35</v>
      </c>
      <c r="EM26" s="2" t="s">
        <v>36</v>
      </c>
      <c r="EN26" s="2"/>
      <c r="EO26" s="2" t="s">
        <v>45</v>
      </c>
      <c r="EP26" s="2"/>
      <c r="EQ26" s="2">
        <v>0</v>
      </c>
      <c r="ER26" s="2">
        <v>0</v>
      </c>
      <c r="ES26" s="2">
        <v>0</v>
      </c>
      <c r="ET26" s="2">
        <v>0</v>
      </c>
      <c r="EU26" s="2">
        <v>0</v>
      </c>
      <c r="EV26" s="2">
        <v>0</v>
      </c>
      <c r="EW26" s="2">
        <v>0</v>
      </c>
      <c r="EX26" s="2">
        <v>0</v>
      </c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>
        <v>0</v>
      </c>
      <c r="FR26" s="2">
        <v>0</v>
      </c>
      <c r="FS26" s="2">
        <v>0</v>
      </c>
      <c r="FT26" s="2"/>
      <c r="FU26" s="2"/>
      <c r="FV26" s="2"/>
      <c r="FW26" s="2"/>
      <c r="FX26" s="2">
        <v>117</v>
      </c>
      <c r="FY26" s="2">
        <v>74</v>
      </c>
      <c r="FZ26" s="2"/>
      <c r="GA26" s="2" t="s">
        <v>3</v>
      </c>
      <c r="GB26" s="2"/>
      <c r="GC26" s="2"/>
      <c r="GD26" s="2">
        <v>1</v>
      </c>
      <c r="GE26" s="2"/>
      <c r="GF26" s="2">
        <v>1219364707</v>
      </c>
      <c r="GG26" s="2">
        <v>2</v>
      </c>
      <c r="GH26" s="2">
        <v>1</v>
      </c>
      <c r="GI26" s="2">
        <v>-2</v>
      </c>
      <c r="GJ26" s="2">
        <v>0</v>
      </c>
      <c r="GK26" s="2">
        <v>0</v>
      </c>
      <c r="GL26" s="2">
        <f t="shared" si="27"/>
        <v>0</v>
      </c>
      <c r="GM26" s="2">
        <f t="shared" si="28"/>
        <v>0</v>
      </c>
      <c r="GN26" s="2">
        <f t="shared" si="29"/>
        <v>0</v>
      </c>
      <c r="GO26" s="2">
        <f t="shared" si="30"/>
        <v>0</v>
      </c>
      <c r="GP26" s="2">
        <f t="shared" si="31"/>
        <v>0</v>
      </c>
      <c r="GQ26" s="2"/>
      <c r="GR26" s="2">
        <v>0</v>
      </c>
      <c r="GS26" s="2">
        <v>3</v>
      </c>
      <c r="GT26" s="2">
        <v>0</v>
      </c>
      <c r="GU26" s="2" t="s">
        <v>3</v>
      </c>
      <c r="GV26" s="2">
        <f t="shared" si="32"/>
        <v>0</v>
      </c>
      <c r="GW26" s="2">
        <v>1</v>
      </c>
      <c r="GX26" s="2">
        <f t="shared" si="33"/>
        <v>0</v>
      </c>
      <c r="GY26" s="2"/>
      <c r="GZ26" s="2"/>
      <c r="HA26" s="2">
        <v>0</v>
      </c>
      <c r="HB26" s="2">
        <v>0</v>
      </c>
      <c r="HC26" s="2">
        <f t="shared" si="34"/>
        <v>0</v>
      </c>
      <c r="HD26" s="2"/>
      <c r="HE26" s="2" t="s">
        <v>3</v>
      </c>
      <c r="HF26" s="2" t="s">
        <v>3</v>
      </c>
      <c r="HG26" s="2"/>
      <c r="HH26" s="2"/>
      <c r="HI26" s="2"/>
      <c r="HJ26" s="2"/>
      <c r="HK26" s="2"/>
      <c r="HL26" s="2"/>
      <c r="HM26" s="2" t="s">
        <v>33</v>
      </c>
      <c r="HN26" s="2" t="s">
        <v>38</v>
      </c>
      <c r="HO26" s="2" t="s">
        <v>39</v>
      </c>
      <c r="HP26" s="2" t="s">
        <v>35</v>
      </c>
      <c r="HQ26" s="2" t="s">
        <v>35</v>
      </c>
      <c r="HR26" s="2"/>
      <c r="HS26" s="2">
        <v>0</v>
      </c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>
        <v>0</v>
      </c>
      <c r="IL26" s="2"/>
      <c r="IM26" s="2"/>
      <c r="IN26" s="2"/>
      <c r="IO26" s="2"/>
      <c r="IP26" s="2"/>
      <c r="IQ26" s="2"/>
      <c r="IR26" s="2"/>
      <c r="IS26" s="2"/>
      <c r="IT26" s="2"/>
      <c r="IU26" s="2"/>
    </row>
    <row r="27" spans="1:255">
      <c r="A27" s="2">
        <v>17</v>
      </c>
      <c r="B27" s="2">
        <v>1</v>
      </c>
      <c r="C27" s="2">
        <f>ROW(SmtRes!A20)</f>
        <v>20</v>
      </c>
      <c r="D27" s="2">
        <f>ROW(EtalonRes!A20)</f>
        <v>20</v>
      </c>
      <c r="E27" s="2" t="s">
        <v>46</v>
      </c>
      <c r="F27" s="2" t="s">
        <v>47</v>
      </c>
      <c r="G27" s="2" t="s">
        <v>48</v>
      </c>
      <c r="H27" s="2" t="s">
        <v>49</v>
      </c>
      <c r="I27" s="2">
        <f>ROUND(ROUND(1,5),7)</f>
        <v>1</v>
      </c>
      <c r="J27" s="2">
        <v>0</v>
      </c>
      <c r="K27" s="2">
        <f>ROUND(ROUND(1,5),7)</f>
        <v>1</v>
      </c>
      <c r="L27" s="2"/>
      <c r="M27" s="2"/>
      <c r="N27" s="2"/>
      <c r="O27" s="2">
        <f t="shared" si="14"/>
        <v>5725.33</v>
      </c>
      <c r="P27" s="2">
        <f>SUMIF(SmtRes!AQ14:'SmtRes'!AQ20,"=1",SmtRes!DF14:'SmtRes'!DF20)</f>
        <v>733.41</v>
      </c>
      <c r="Q27" s="2">
        <f>SUMIF(SmtRes!AQ14:'SmtRes'!AQ20,"=1",SmtRes!DG14:'SmtRes'!DG20)</f>
        <v>3701.3399999999997</v>
      </c>
      <c r="R27" s="2">
        <f>SUMIF(SmtRes!AQ14:'SmtRes'!AQ20,"=1",SmtRes!DH14:'SmtRes'!DH20)</f>
        <v>530.51</v>
      </c>
      <c r="S27" s="2">
        <f>SUMIF(SmtRes!AQ14:'SmtRes'!AQ20,"=1",SmtRes!DI14:'SmtRes'!DI20)</f>
        <v>760.07</v>
      </c>
      <c r="T27" s="2">
        <f t="shared" si="15"/>
        <v>0</v>
      </c>
      <c r="U27" s="2">
        <f>SUMIF(SmtRes!AQ14:'SmtRes'!AQ20,"=1",SmtRes!CV14:'SmtRes'!CV20)</f>
        <v>1.59</v>
      </c>
      <c r="V27" s="2">
        <f>SUMIF(SmtRes!AQ14:'SmtRes'!AQ20,"=1",SmtRes!CW14:'SmtRes'!CW20)</f>
        <v>0.75</v>
      </c>
      <c r="W27" s="2">
        <f t="shared" si="16"/>
        <v>0</v>
      </c>
      <c r="X27" s="2">
        <f t="shared" si="17"/>
        <v>1432.54</v>
      </c>
      <c r="Y27" s="2">
        <f t="shared" si="18"/>
        <v>774.35</v>
      </c>
      <c r="Z27" s="2"/>
      <c r="AA27" s="2">
        <v>38182922</v>
      </c>
      <c r="AB27" s="2">
        <f t="shared" si="19"/>
        <v>4824.081228</v>
      </c>
      <c r="AC27" s="2">
        <f>ROUND((SUM(SmtRes!BQ14:'SmtRes'!BQ20)),6)</f>
        <v>759.429528</v>
      </c>
      <c r="AD27" s="2">
        <f>ROUND((((SUM(SmtRes!BR14:'SmtRes'!BR20))-(SUM(SmtRes!BS14:'SmtRes'!BS20)))+AE27),6)</f>
        <v>3304.5839999999998</v>
      </c>
      <c r="AE27" s="2">
        <f>ROUND((SUM(SmtRes!BS14:'SmtRes'!BS20)),6)</f>
        <v>530.51250000000005</v>
      </c>
      <c r="AF27" s="2">
        <f>ROUND((SUM(SmtRes!BT14:'SmtRes'!BT20)),6)</f>
        <v>760.06769999999995</v>
      </c>
      <c r="AG27" s="2">
        <f t="shared" si="20"/>
        <v>0</v>
      </c>
      <c r="AH27" s="2">
        <f>(SUM(SmtRes!BU14:'SmtRes'!BU20))</f>
        <v>1.59</v>
      </c>
      <c r="AI27" s="2">
        <f>(SUM(SmtRes!BV14:'SmtRes'!BV20))</f>
        <v>0.75</v>
      </c>
      <c r="AJ27" s="2">
        <f t="shared" si="21"/>
        <v>0</v>
      </c>
      <c r="AK27" s="2">
        <v>5354.5937279999998</v>
      </c>
      <c r="AL27" s="2">
        <v>759.42952800000012</v>
      </c>
      <c r="AM27" s="2">
        <v>3304.5840000000003</v>
      </c>
      <c r="AN27" s="2">
        <v>530.51250000000005</v>
      </c>
      <c r="AO27" s="2">
        <v>760.06769999999995</v>
      </c>
      <c r="AP27" s="2">
        <v>0</v>
      </c>
      <c r="AQ27" s="2">
        <v>1.59</v>
      </c>
      <c r="AR27" s="2">
        <v>0.75</v>
      </c>
      <c r="AS27" s="2">
        <v>0</v>
      </c>
      <c r="AT27" s="2">
        <v>111</v>
      </c>
      <c r="AU27" s="2">
        <v>60</v>
      </c>
      <c r="AV27" s="2">
        <v>1</v>
      </c>
      <c r="AW27" s="2">
        <v>1</v>
      </c>
      <c r="AX27" s="2"/>
      <c r="AY27" s="2"/>
      <c r="AZ27" s="2">
        <v>1</v>
      </c>
      <c r="BA27" s="2">
        <v>1</v>
      </c>
      <c r="BB27" s="2">
        <v>1</v>
      </c>
      <c r="BC27" s="2">
        <v>1</v>
      </c>
      <c r="BD27" s="2" t="s">
        <v>3</v>
      </c>
      <c r="BE27" s="2" t="s">
        <v>3</v>
      </c>
      <c r="BF27" s="2" t="s">
        <v>3</v>
      </c>
      <c r="BG27" s="2" t="s">
        <v>3</v>
      </c>
      <c r="BH27" s="2">
        <v>0</v>
      </c>
      <c r="BI27" s="2">
        <v>1</v>
      </c>
      <c r="BJ27" s="2" t="s">
        <v>50</v>
      </c>
      <c r="BK27" s="2"/>
      <c r="BL27" s="2"/>
      <c r="BM27" s="2">
        <v>25001</v>
      </c>
      <c r="BN27" s="2">
        <v>0</v>
      </c>
      <c r="BO27" s="2" t="s">
        <v>3</v>
      </c>
      <c r="BP27" s="2">
        <v>0</v>
      </c>
      <c r="BQ27" s="2">
        <v>2</v>
      </c>
      <c r="BR27" s="2">
        <v>0</v>
      </c>
      <c r="BS27" s="2">
        <v>1</v>
      </c>
      <c r="BT27" s="2">
        <v>1</v>
      </c>
      <c r="BU27" s="2">
        <v>1</v>
      </c>
      <c r="BV27" s="2">
        <v>1</v>
      </c>
      <c r="BW27" s="2">
        <v>1</v>
      </c>
      <c r="BX27" s="2">
        <v>1</v>
      </c>
      <c r="BY27" s="2" t="s">
        <v>3</v>
      </c>
      <c r="BZ27" s="2">
        <v>111</v>
      </c>
      <c r="CA27" s="2">
        <v>60</v>
      </c>
      <c r="CB27" s="2" t="s">
        <v>3</v>
      </c>
      <c r="CC27" s="2"/>
      <c r="CD27" s="2"/>
      <c r="CE27" s="2">
        <v>0</v>
      </c>
      <c r="CF27" s="2">
        <v>0</v>
      </c>
      <c r="CG27" s="2">
        <v>0</v>
      </c>
      <c r="CH27" s="2"/>
      <c r="CI27" s="2"/>
      <c r="CJ27" s="2"/>
      <c r="CK27" s="2"/>
      <c r="CL27" s="2"/>
      <c r="CM27" s="2">
        <v>0</v>
      </c>
      <c r="CN27" s="2" t="s">
        <v>3</v>
      </c>
      <c r="CO27" s="2">
        <v>0</v>
      </c>
      <c r="CP27" s="2">
        <f t="shared" si="22"/>
        <v>5725.33</v>
      </c>
      <c r="CQ27" s="2">
        <f>SUMIF(SmtRes!AQ14:'SmtRes'!AQ20,"=1",SmtRes!AA14:'SmtRes'!AA20)</f>
        <v>13470.1</v>
      </c>
      <c r="CR27" s="2">
        <f>SUMIF(SmtRes!AQ14:'SmtRes'!AQ20,"=1",SmtRes!AB14:'SmtRes'!AB20)</f>
        <v>4937.34</v>
      </c>
      <c r="CS27" s="2">
        <f>SUMIF(SmtRes!AQ14:'SmtRes'!AQ20,"=1",SmtRes!AC14:'SmtRes'!AC20)</f>
        <v>707.35</v>
      </c>
      <c r="CT27" s="2">
        <f>SUMIF(SmtRes!AQ14:'SmtRes'!AQ20,"=1",SmtRes!AD14:'SmtRes'!AD20)</f>
        <v>478.03</v>
      </c>
      <c r="CU27" s="2">
        <f t="shared" si="23"/>
        <v>0</v>
      </c>
      <c r="CV27" s="2">
        <f>SUMIF(SmtRes!AQ14:'SmtRes'!AQ20,"=1",SmtRes!BU14:'SmtRes'!BU20)</f>
        <v>1.59</v>
      </c>
      <c r="CW27" s="2">
        <f>SUMIF(SmtRes!AQ14:'SmtRes'!AQ20,"=1",SmtRes!BV14:'SmtRes'!BV20)</f>
        <v>0.75</v>
      </c>
      <c r="CX27" s="2">
        <f t="shared" si="24"/>
        <v>0</v>
      </c>
      <c r="CY27" s="2">
        <f t="shared" si="25"/>
        <v>1432.5438000000001</v>
      </c>
      <c r="CZ27" s="2">
        <f t="shared" si="26"/>
        <v>774.34799999999984</v>
      </c>
      <c r="DA27" s="2"/>
      <c r="DB27" s="2"/>
      <c r="DC27" s="2" t="s">
        <v>3</v>
      </c>
      <c r="DD27" s="2" t="s">
        <v>3</v>
      </c>
      <c r="DE27" s="2" t="s">
        <v>3</v>
      </c>
      <c r="DF27" s="2" t="s">
        <v>3</v>
      </c>
      <c r="DG27" s="2" t="s">
        <v>3</v>
      </c>
      <c r="DH27" s="2" t="s">
        <v>3</v>
      </c>
      <c r="DI27" s="2" t="s">
        <v>3</v>
      </c>
      <c r="DJ27" s="2" t="s">
        <v>3</v>
      </c>
      <c r="DK27" s="2" t="s">
        <v>3</v>
      </c>
      <c r="DL27" s="2" t="s">
        <v>3</v>
      </c>
      <c r="DM27" s="2" t="s">
        <v>3</v>
      </c>
      <c r="DN27" s="2">
        <v>0</v>
      </c>
      <c r="DO27" s="2">
        <v>0</v>
      </c>
      <c r="DP27" s="2">
        <v>1</v>
      </c>
      <c r="DQ27" s="2">
        <v>1</v>
      </c>
      <c r="DR27" s="2"/>
      <c r="DS27" s="2"/>
      <c r="DT27" s="2"/>
      <c r="DU27" s="2">
        <v>1013</v>
      </c>
      <c r="DV27" s="2" t="s">
        <v>49</v>
      </c>
      <c r="DW27" s="2" t="s">
        <v>49</v>
      </c>
      <c r="DX27" s="2">
        <v>1</v>
      </c>
      <c r="DY27" s="2"/>
      <c r="DZ27" s="2" t="s">
        <v>3</v>
      </c>
      <c r="EA27" s="2" t="s">
        <v>3</v>
      </c>
      <c r="EB27" s="2" t="s">
        <v>3</v>
      </c>
      <c r="EC27" s="2" t="s">
        <v>3</v>
      </c>
      <c r="ED27" s="2"/>
      <c r="EE27" s="2">
        <v>35227796</v>
      </c>
      <c r="EF27" s="2">
        <v>2</v>
      </c>
      <c r="EG27" s="2" t="s">
        <v>21</v>
      </c>
      <c r="EH27" s="2">
        <v>19</v>
      </c>
      <c r="EI27" s="2" t="s">
        <v>51</v>
      </c>
      <c r="EJ27" s="2">
        <v>1</v>
      </c>
      <c r="EK27" s="2">
        <v>25001</v>
      </c>
      <c r="EL27" s="2" t="s">
        <v>52</v>
      </c>
      <c r="EM27" s="2" t="s">
        <v>53</v>
      </c>
      <c r="EN27" s="2"/>
      <c r="EO27" s="2" t="s">
        <v>3</v>
      </c>
      <c r="EP27" s="2"/>
      <c r="EQ27" s="2">
        <v>0</v>
      </c>
      <c r="ER27" s="2">
        <v>0</v>
      </c>
      <c r="ES27" s="2">
        <v>0</v>
      </c>
      <c r="ET27" s="2">
        <v>0</v>
      </c>
      <c r="EU27" s="2">
        <v>0</v>
      </c>
      <c r="EV27" s="2">
        <v>0</v>
      </c>
      <c r="EW27" s="2">
        <v>1.59</v>
      </c>
      <c r="EX27" s="2">
        <v>0.75</v>
      </c>
      <c r="EY27" s="2">
        <v>0</v>
      </c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>
        <v>0</v>
      </c>
      <c r="FR27" s="2">
        <v>0</v>
      </c>
      <c r="FS27" s="2">
        <v>0</v>
      </c>
      <c r="FT27" s="2"/>
      <c r="FU27" s="2"/>
      <c r="FV27" s="2"/>
      <c r="FW27" s="2"/>
      <c r="FX27" s="2">
        <v>111</v>
      </c>
      <c r="FY27" s="2">
        <v>60</v>
      </c>
      <c r="FZ27" s="2"/>
      <c r="GA27" s="2" t="s">
        <v>3</v>
      </c>
      <c r="GB27" s="2"/>
      <c r="GC27" s="2"/>
      <c r="GD27" s="2">
        <v>1</v>
      </c>
      <c r="GE27" s="2"/>
      <c r="GF27" s="2">
        <v>1586047166</v>
      </c>
      <c r="GG27" s="2">
        <v>2</v>
      </c>
      <c r="GH27" s="2">
        <v>1</v>
      </c>
      <c r="GI27" s="2">
        <v>-2</v>
      </c>
      <c r="GJ27" s="2">
        <v>0</v>
      </c>
      <c r="GK27" s="2">
        <v>0</v>
      </c>
      <c r="GL27" s="2">
        <f t="shared" si="27"/>
        <v>0</v>
      </c>
      <c r="GM27" s="2">
        <f t="shared" si="28"/>
        <v>7932.22</v>
      </c>
      <c r="GN27" s="2">
        <f t="shared" si="29"/>
        <v>7932.22</v>
      </c>
      <c r="GO27" s="2">
        <f t="shared" si="30"/>
        <v>0</v>
      </c>
      <c r="GP27" s="2">
        <f t="shared" si="31"/>
        <v>0</v>
      </c>
      <c r="GQ27" s="2"/>
      <c r="GR27" s="2">
        <v>0</v>
      </c>
      <c r="GS27" s="2">
        <v>3</v>
      </c>
      <c r="GT27" s="2">
        <v>0</v>
      </c>
      <c r="GU27" s="2" t="s">
        <v>3</v>
      </c>
      <c r="GV27" s="2">
        <f t="shared" si="32"/>
        <v>0</v>
      </c>
      <c r="GW27" s="2">
        <v>1</v>
      </c>
      <c r="GX27" s="2">
        <f t="shared" si="33"/>
        <v>0</v>
      </c>
      <c r="GY27" s="2"/>
      <c r="GZ27" s="2"/>
      <c r="HA27" s="2">
        <v>0</v>
      </c>
      <c r="HB27" s="2">
        <v>0</v>
      </c>
      <c r="HC27" s="2">
        <f t="shared" si="34"/>
        <v>0</v>
      </c>
      <c r="HD27" s="2"/>
      <c r="HE27" s="2" t="s">
        <v>3</v>
      </c>
      <c r="HF27" s="2" t="s">
        <v>3</v>
      </c>
      <c r="HG27" s="2"/>
      <c r="HH27" s="2"/>
      <c r="HI27" s="2"/>
      <c r="HJ27" s="2"/>
      <c r="HK27" s="2"/>
      <c r="HL27" s="2"/>
      <c r="HM27" s="2" t="s">
        <v>3</v>
      </c>
      <c r="HN27" s="2" t="s">
        <v>54</v>
      </c>
      <c r="HO27" s="2" t="s">
        <v>55</v>
      </c>
      <c r="HP27" s="2" t="s">
        <v>51</v>
      </c>
      <c r="HQ27" s="2" t="s">
        <v>51</v>
      </c>
      <c r="HR27" s="2"/>
      <c r="HS27" s="2">
        <v>0</v>
      </c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>
        <v>0</v>
      </c>
      <c r="IL27" s="2"/>
      <c r="IM27" s="2"/>
      <c r="IN27" s="2"/>
      <c r="IO27" s="2"/>
      <c r="IP27" s="2"/>
      <c r="IQ27" s="2"/>
      <c r="IR27" s="2"/>
      <c r="IS27" s="2"/>
      <c r="IT27" s="2"/>
      <c r="IU27" s="2"/>
    </row>
    <row r="28" spans="1:255">
      <c r="A28" s="2">
        <v>17</v>
      </c>
      <c r="B28" s="2">
        <v>1</v>
      </c>
      <c r="C28" s="2">
        <f>ROW(SmtRes!A30)</f>
        <v>30</v>
      </c>
      <c r="D28" s="2">
        <f>ROW(EtalonRes!A30)</f>
        <v>30</v>
      </c>
      <c r="E28" s="2" t="s">
        <v>56</v>
      </c>
      <c r="F28" s="2" t="s">
        <v>28</v>
      </c>
      <c r="G28" s="2" t="s">
        <v>57</v>
      </c>
      <c r="H28" s="2" t="s">
        <v>30</v>
      </c>
      <c r="I28" s="2">
        <f>ROUND(ROUND(10/100,5),7)</f>
        <v>0.1</v>
      </c>
      <c r="J28" s="2">
        <v>0</v>
      </c>
      <c r="K28" s="2">
        <f>ROUND(ROUND(10/100,5),7)</f>
        <v>0.1</v>
      </c>
      <c r="L28" s="2"/>
      <c r="M28" s="2"/>
      <c r="N28" s="2"/>
      <c r="O28" s="2">
        <f t="shared" si="14"/>
        <v>18026.59</v>
      </c>
      <c r="P28" s="2">
        <f>SUMIF(SmtRes!AQ21:'SmtRes'!AQ30,"=1",SmtRes!DF21:'SmtRes'!DF30)</f>
        <v>2862.18</v>
      </c>
      <c r="Q28" s="2">
        <f>SUMIF(SmtRes!AQ21:'SmtRes'!AQ30,"=1",SmtRes!DG21:'SmtRes'!DG30)</f>
        <v>6147.01</v>
      </c>
      <c r="R28" s="2">
        <f>SUMIF(SmtRes!AQ21:'SmtRes'!AQ30,"=1",SmtRes!DH21:'SmtRes'!DH30)</f>
        <v>897.88</v>
      </c>
      <c r="S28" s="2">
        <f>SUMIF(SmtRes!AQ21:'SmtRes'!AQ30,"=1",SmtRes!DI21:'SmtRes'!DI30)</f>
        <v>8119.52</v>
      </c>
      <c r="T28" s="2">
        <f t="shared" si="15"/>
        <v>0</v>
      </c>
      <c r="U28" s="2">
        <f>SUMIF(SmtRes!AQ21:'SmtRes'!AQ30,"=1",SmtRes!CV21:'SmtRes'!CV30)</f>
        <v>18.760000000000002</v>
      </c>
      <c r="V28" s="2">
        <f>SUMIF(SmtRes!AQ21:'SmtRes'!AQ30,"=1",SmtRes!CW21:'SmtRes'!CW30)</f>
        <v>1.288</v>
      </c>
      <c r="W28" s="2">
        <f t="shared" si="16"/>
        <v>0</v>
      </c>
      <c r="X28" s="2">
        <f t="shared" si="17"/>
        <v>10550.36</v>
      </c>
      <c r="Y28" s="2">
        <f t="shared" si="18"/>
        <v>6672.88</v>
      </c>
      <c r="Z28" s="2"/>
      <c r="AA28" s="2">
        <v>38182922</v>
      </c>
      <c r="AB28" s="2">
        <f t="shared" si="19"/>
        <v>159293.34046000001</v>
      </c>
      <c r="AC28" s="2">
        <f>ROUND((SUM(SmtRes!BQ21:'SmtRes'!BQ30)),6)</f>
        <v>23180.67726</v>
      </c>
      <c r="AD28" s="2">
        <f>ROUND((((SUM(SmtRes!BR21:'SmtRes'!BR30))-(SUM(SmtRes!BS21:'SmtRes'!BS30)))+AE28),6)</f>
        <v>54917.5072</v>
      </c>
      <c r="AE28" s="2">
        <f>ROUND((SUM(SmtRes!BS21:'SmtRes'!BS30)),6)</f>
        <v>8978.8888000000006</v>
      </c>
      <c r="AF28" s="2">
        <f>ROUND((SUM(SmtRes!BT21:'SmtRes'!BT30)),6)</f>
        <v>81195.156000000003</v>
      </c>
      <c r="AG28" s="2">
        <f t="shared" si="20"/>
        <v>0</v>
      </c>
      <c r="AH28" s="2">
        <f>(SUM(SmtRes!BU21:'SmtRes'!BU30))</f>
        <v>187.6</v>
      </c>
      <c r="AI28" s="2">
        <f>(SUM(SmtRes!BV21:'SmtRes'!BV30))</f>
        <v>12.88</v>
      </c>
      <c r="AJ28" s="2">
        <f t="shared" si="21"/>
        <v>0</v>
      </c>
      <c r="AK28" s="2">
        <v>168272.22925999999</v>
      </c>
      <c r="AL28" s="2">
        <v>23180.67726</v>
      </c>
      <c r="AM28" s="2">
        <v>54917.507200000007</v>
      </c>
      <c r="AN28" s="2">
        <v>8978.8888000000006</v>
      </c>
      <c r="AO28" s="2">
        <v>81195.156000000003</v>
      </c>
      <c r="AP28" s="2">
        <v>0</v>
      </c>
      <c r="AQ28" s="2">
        <v>187.6</v>
      </c>
      <c r="AR28" s="2">
        <v>12.88</v>
      </c>
      <c r="AS28" s="2">
        <v>0</v>
      </c>
      <c r="AT28" s="2">
        <v>117</v>
      </c>
      <c r="AU28" s="2">
        <v>74</v>
      </c>
      <c r="AV28" s="2">
        <v>1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1</v>
      </c>
      <c r="BJ28" s="2" t="s">
        <v>31</v>
      </c>
      <c r="BK28" s="2"/>
      <c r="BL28" s="2"/>
      <c r="BM28" s="2">
        <v>23001</v>
      </c>
      <c r="BN28" s="2">
        <v>0</v>
      </c>
      <c r="BO28" s="2" t="s">
        <v>3</v>
      </c>
      <c r="BP28" s="2">
        <v>0</v>
      </c>
      <c r="BQ28" s="2">
        <v>2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117</v>
      </c>
      <c r="CA28" s="2">
        <v>74</v>
      </c>
      <c r="CB28" s="2" t="s">
        <v>3</v>
      </c>
      <c r="CC28" s="2"/>
      <c r="CD28" s="2"/>
      <c r="CE28" s="2">
        <v>0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3</v>
      </c>
      <c r="CO28" s="2">
        <v>0</v>
      </c>
      <c r="CP28" s="2">
        <f t="shared" si="22"/>
        <v>18026.59</v>
      </c>
      <c r="CQ28" s="2">
        <f>SUMIF(SmtRes!AQ21:'SmtRes'!AQ30,"=1",SmtRes!AA21:'SmtRes'!AA30)</f>
        <v>40551.019999999997</v>
      </c>
      <c r="CR28" s="2">
        <f>SUMIF(SmtRes!AQ21:'SmtRes'!AQ30,"=1",SmtRes!AB21:'SmtRes'!AB30)</f>
        <v>5584.83</v>
      </c>
      <c r="CS28" s="2">
        <f>SUMIF(SmtRes!AQ21:'SmtRes'!AQ30,"=1",SmtRes!AC21:'SmtRes'!AC30)</f>
        <v>1140.1600000000001</v>
      </c>
      <c r="CT28" s="2">
        <f>SUMIF(SmtRes!AQ21:'SmtRes'!AQ30,"=1",SmtRes!AD21:'SmtRes'!AD30)</f>
        <v>432.81</v>
      </c>
      <c r="CU28" s="2">
        <f t="shared" si="23"/>
        <v>0</v>
      </c>
      <c r="CV28" s="2">
        <f>SUMIF(SmtRes!AQ21:'SmtRes'!AQ30,"=1",SmtRes!BU21:'SmtRes'!BU30)</f>
        <v>187.6</v>
      </c>
      <c r="CW28" s="2">
        <f>SUMIF(SmtRes!AQ21:'SmtRes'!AQ30,"=1",SmtRes!BV21:'SmtRes'!BV30)</f>
        <v>12.88</v>
      </c>
      <c r="CX28" s="2">
        <f t="shared" si="24"/>
        <v>0</v>
      </c>
      <c r="CY28" s="2">
        <f t="shared" si="25"/>
        <v>10550.358</v>
      </c>
      <c r="CZ28" s="2">
        <f t="shared" si="26"/>
        <v>6672.8760000000002</v>
      </c>
      <c r="DA28" s="2"/>
      <c r="DB28" s="2"/>
      <c r="DC28" s="2" t="s">
        <v>3</v>
      </c>
      <c r="DD28" s="2" t="s">
        <v>3</v>
      </c>
      <c r="DE28" s="2" t="s">
        <v>3</v>
      </c>
      <c r="DF28" s="2" t="s">
        <v>3</v>
      </c>
      <c r="DG28" s="2" t="s">
        <v>3</v>
      </c>
      <c r="DH28" s="2" t="s">
        <v>3</v>
      </c>
      <c r="DI28" s="2" t="s">
        <v>3</v>
      </c>
      <c r="DJ28" s="2" t="s">
        <v>3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1003</v>
      </c>
      <c r="DV28" s="2" t="s">
        <v>30</v>
      </c>
      <c r="DW28" s="2" t="s">
        <v>30</v>
      </c>
      <c r="DX28" s="2">
        <v>100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35227794</v>
      </c>
      <c r="EF28" s="2">
        <v>2</v>
      </c>
      <c r="EG28" s="2" t="s">
        <v>21</v>
      </c>
      <c r="EH28" s="2">
        <v>18</v>
      </c>
      <c r="EI28" s="2" t="s">
        <v>35</v>
      </c>
      <c r="EJ28" s="2">
        <v>1</v>
      </c>
      <c r="EK28" s="2">
        <v>23001</v>
      </c>
      <c r="EL28" s="2" t="s">
        <v>35</v>
      </c>
      <c r="EM28" s="2" t="s">
        <v>36</v>
      </c>
      <c r="EN28" s="2"/>
      <c r="EO28" s="2" t="s">
        <v>3</v>
      </c>
      <c r="EP28" s="2"/>
      <c r="EQ28" s="2">
        <v>0</v>
      </c>
      <c r="ER28" s="2">
        <v>0</v>
      </c>
      <c r="ES28" s="2">
        <v>0</v>
      </c>
      <c r="ET28" s="2">
        <v>0</v>
      </c>
      <c r="EU28" s="2">
        <v>0</v>
      </c>
      <c r="EV28" s="2">
        <v>0</v>
      </c>
      <c r="EW28" s="2">
        <v>187.6</v>
      </c>
      <c r="EX28" s="2">
        <v>12.88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117</v>
      </c>
      <c r="FY28" s="2">
        <v>74</v>
      </c>
      <c r="FZ28" s="2"/>
      <c r="GA28" s="2" t="s">
        <v>3</v>
      </c>
      <c r="GB28" s="2"/>
      <c r="GC28" s="2"/>
      <c r="GD28" s="2">
        <v>1</v>
      </c>
      <c r="GE28" s="2"/>
      <c r="GF28" s="2">
        <v>1846504045</v>
      </c>
      <c r="GG28" s="2">
        <v>2</v>
      </c>
      <c r="GH28" s="2">
        <v>1</v>
      </c>
      <c r="GI28" s="2">
        <v>-2</v>
      </c>
      <c r="GJ28" s="2">
        <v>0</v>
      </c>
      <c r="GK28" s="2">
        <v>0</v>
      </c>
      <c r="GL28" s="2">
        <f t="shared" si="27"/>
        <v>0</v>
      </c>
      <c r="GM28" s="2">
        <f t="shared" si="28"/>
        <v>35249.83</v>
      </c>
      <c r="GN28" s="2">
        <f t="shared" si="29"/>
        <v>35249.83</v>
      </c>
      <c r="GO28" s="2">
        <f t="shared" si="30"/>
        <v>0</v>
      </c>
      <c r="GP28" s="2">
        <f t="shared" si="31"/>
        <v>0</v>
      </c>
      <c r="GQ28" s="2"/>
      <c r="GR28" s="2">
        <v>0</v>
      </c>
      <c r="GS28" s="2">
        <v>3</v>
      </c>
      <c r="GT28" s="2">
        <v>0</v>
      </c>
      <c r="GU28" s="2" t="s">
        <v>3</v>
      </c>
      <c r="GV28" s="2">
        <f t="shared" si="32"/>
        <v>0</v>
      </c>
      <c r="GW28" s="2">
        <v>1</v>
      </c>
      <c r="GX28" s="2">
        <f t="shared" si="33"/>
        <v>0</v>
      </c>
      <c r="GY28" s="2"/>
      <c r="GZ28" s="2"/>
      <c r="HA28" s="2">
        <v>0</v>
      </c>
      <c r="HB28" s="2">
        <v>0</v>
      </c>
      <c r="HC28" s="2">
        <f t="shared" si="34"/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38</v>
      </c>
      <c r="HO28" s="2" t="s">
        <v>39</v>
      </c>
      <c r="HP28" s="2" t="s">
        <v>35</v>
      </c>
      <c r="HQ28" s="2" t="s">
        <v>35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>
      <c r="A29" s="2">
        <v>18</v>
      </c>
      <c r="B29" s="2">
        <v>1</v>
      </c>
      <c r="C29" s="2">
        <v>30</v>
      </c>
      <c r="D29" s="2"/>
      <c r="E29" s="2" t="s">
        <v>58</v>
      </c>
      <c r="F29" s="2" t="s">
        <v>41</v>
      </c>
      <c r="G29" s="2" t="s">
        <v>42</v>
      </c>
      <c r="H29" s="2" t="s">
        <v>43</v>
      </c>
      <c r="I29" s="2">
        <f>I28*J29</f>
        <v>9.9700000000000006</v>
      </c>
      <c r="J29" s="2">
        <v>99.7</v>
      </c>
      <c r="K29" s="2">
        <v>99.7</v>
      </c>
      <c r="L29" s="2"/>
      <c r="M29" s="2"/>
      <c r="N29" s="2"/>
      <c r="O29" s="2">
        <f t="shared" si="14"/>
        <v>0</v>
      </c>
      <c r="P29" s="2">
        <f>ROUND(CQ29*I29,2)</f>
        <v>0</v>
      </c>
      <c r="Q29" s="2">
        <f>ROUND(CR29*I29,2)</f>
        <v>0</v>
      </c>
      <c r="R29" s="2">
        <f>ROUND(CS29*I29,2)</f>
        <v>0</v>
      </c>
      <c r="S29" s="2">
        <f>ROUND(CT29*I29,2)</f>
        <v>0</v>
      </c>
      <c r="T29" s="2">
        <f t="shared" si="15"/>
        <v>0</v>
      </c>
      <c r="U29" s="2">
        <f>ROUND(CV29*I29,7)</f>
        <v>0</v>
      </c>
      <c r="V29" s="2">
        <f>ROUND(CW29*I29,7)</f>
        <v>0</v>
      </c>
      <c r="W29" s="2">
        <f t="shared" si="16"/>
        <v>0</v>
      </c>
      <c r="X29" s="2">
        <f t="shared" si="17"/>
        <v>0</v>
      </c>
      <c r="Y29" s="2">
        <f t="shared" si="18"/>
        <v>0</v>
      </c>
      <c r="Z29" s="2"/>
      <c r="AA29" s="2">
        <v>38182922</v>
      </c>
      <c r="AB29" s="2">
        <f t="shared" si="19"/>
        <v>0</v>
      </c>
      <c r="AC29" s="2">
        <f>ROUND((ES29),6)</f>
        <v>0</v>
      </c>
      <c r="AD29" s="2">
        <f>ROUND((((ET29)-(EU29))+AE29),6)</f>
        <v>0</v>
      </c>
      <c r="AE29" s="2">
        <f>ROUND((EU29),6)</f>
        <v>0</v>
      </c>
      <c r="AF29" s="2">
        <f>ROUND((EV29),6)</f>
        <v>0</v>
      </c>
      <c r="AG29" s="2">
        <f t="shared" si="20"/>
        <v>0</v>
      </c>
      <c r="AH29" s="2">
        <f>(EW29)</f>
        <v>0</v>
      </c>
      <c r="AI29" s="2">
        <f>(EX29)</f>
        <v>0</v>
      </c>
      <c r="AJ29" s="2">
        <f t="shared" si="21"/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117</v>
      </c>
      <c r="AU29" s="2">
        <v>74</v>
      </c>
      <c r="AV29" s="2">
        <v>1</v>
      </c>
      <c r="AW29" s="2">
        <v>1</v>
      </c>
      <c r="AX29" s="2"/>
      <c r="AY29" s="2"/>
      <c r="AZ29" s="2">
        <v>1</v>
      </c>
      <c r="BA29" s="2">
        <v>1</v>
      </c>
      <c r="BB29" s="2">
        <v>1</v>
      </c>
      <c r="BC29" s="2">
        <v>1</v>
      </c>
      <c r="BD29" s="2" t="s">
        <v>3</v>
      </c>
      <c r="BE29" s="2" t="s">
        <v>3</v>
      </c>
      <c r="BF29" s="2" t="s">
        <v>3</v>
      </c>
      <c r="BG29" s="2" t="s">
        <v>3</v>
      </c>
      <c r="BH29" s="2">
        <v>3</v>
      </c>
      <c r="BI29" s="2">
        <v>1</v>
      </c>
      <c r="BJ29" s="2" t="s">
        <v>3</v>
      </c>
      <c r="BK29" s="2"/>
      <c r="BL29" s="2"/>
      <c r="BM29" s="2">
        <v>23001</v>
      </c>
      <c r="BN29" s="2">
        <v>0</v>
      </c>
      <c r="BO29" s="2" t="s">
        <v>3</v>
      </c>
      <c r="BP29" s="2">
        <v>0</v>
      </c>
      <c r="BQ29" s="2">
        <v>2</v>
      </c>
      <c r="BR29" s="2">
        <v>0</v>
      </c>
      <c r="BS29" s="2">
        <v>1</v>
      </c>
      <c r="BT29" s="2">
        <v>1</v>
      </c>
      <c r="BU29" s="2">
        <v>1</v>
      </c>
      <c r="BV29" s="2">
        <v>1</v>
      </c>
      <c r="BW29" s="2">
        <v>1</v>
      </c>
      <c r="BX29" s="2">
        <v>1</v>
      </c>
      <c r="BY29" s="2" t="s">
        <v>3</v>
      </c>
      <c r="BZ29" s="2">
        <v>117</v>
      </c>
      <c r="CA29" s="2">
        <v>74</v>
      </c>
      <c r="CB29" s="2" t="s">
        <v>3</v>
      </c>
      <c r="CC29" s="2"/>
      <c r="CD29" s="2"/>
      <c r="CE29" s="2">
        <v>0</v>
      </c>
      <c r="CF29" s="2">
        <v>0</v>
      </c>
      <c r="CG29" s="2">
        <v>0</v>
      </c>
      <c r="CH29" s="2"/>
      <c r="CI29" s="2"/>
      <c r="CJ29" s="2"/>
      <c r="CK29" s="2"/>
      <c r="CL29" s="2"/>
      <c r="CM29" s="2">
        <v>0</v>
      </c>
      <c r="CN29" s="2" t="s">
        <v>3</v>
      </c>
      <c r="CO29" s="2">
        <v>0</v>
      </c>
      <c r="CP29" s="2">
        <f t="shared" si="22"/>
        <v>0</v>
      </c>
      <c r="CQ29" s="2">
        <f>ROUND(AL29*BC29,2)</f>
        <v>0</v>
      </c>
      <c r="CR29" s="2">
        <f>ROUND(AM29*BB29,2)</f>
        <v>0</v>
      </c>
      <c r="CS29" s="2">
        <f>ROUND(AN29*BS29,2)</f>
        <v>0</v>
      </c>
      <c r="CT29" s="2">
        <f>ROUND(AO29*BA29,2)</f>
        <v>0</v>
      </c>
      <c r="CU29" s="2">
        <f t="shared" si="23"/>
        <v>0</v>
      </c>
      <c r="CV29" s="2">
        <f>AH29</f>
        <v>0</v>
      </c>
      <c r="CW29" s="2">
        <f>AI29</f>
        <v>0</v>
      </c>
      <c r="CX29" s="2">
        <f t="shared" si="24"/>
        <v>0</v>
      </c>
      <c r="CY29" s="2">
        <f t="shared" si="25"/>
        <v>0</v>
      </c>
      <c r="CZ29" s="2">
        <f t="shared" si="26"/>
        <v>0</v>
      </c>
      <c r="DA29" s="2"/>
      <c r="DB29" s="2"/>
      <c r="DC29" s="2" t="s">
        <v>3</v>
      </c>
      <c r="DD29" s="2" t="s">
        <v>3</v>
      </c>
      <c r="DE29" s="2" t="s">
        <v>3</v>
      </c>
      <c r="DF29" s="2" t="s">
        <v>3</v>
      </c>
      <c r="DG29" s="2" t="s">
        <v>3</v>
      </c>
      <c r="DH29" s="2" t="s">
        <v>3</v>
      </c>
      <c r="DI29" s="2" t="s">
        <v>3</v>
      </c>
      <c r="DJ29" s="2" t="s">
        <v>3</v>
      </c>
      <c r="DK29" s="2" t="s">
        <v>3</v>
      </c>
      <c r="DL29" s="2" t="s">
        <v>3</v>
      </c>
      <c r="DM29" s="2" t="s">
        <v>3</v>
      </c>
      <c r="DN29" s="2">
        <v>0</v>
      </c>
      <c r="DO29" s="2">
        <v>0</v>
      </c>
      <c r="DP29" s="2">
        <v>1</v>
      </c>
      <c r="DQ29" s="2">
        <v>1</v>
      </c>
      <c r="DR29" s="2"/>
      <c r="DS29" s="2"/>
      <c r="DT29" s="2"/>
      <c r="DU29" s="2">
        <v>1003</v>
      </c>
      <c r="DV29" s="2" t="s">
        <v>43</v>
      </c>
      <c r="DW29" s="2" t="s">
        <v>43</v>
      </c>
      <c r="DX29" s="2">
        <v>1</v>
      </c>
      <c r="DY29" s="2"/>
      <c r="DZ29" s="2" t="s">
        <v>3</v>
      </c>
      <c r="EA29" s="2" t="s">
        <v>3</v>
      </c>
      <c r="EB29" s="2" t="s">
        <v>3</v>
      </c>
      <c r="EC29" s="2" t="s">
        <v>3</v>
      </c>
      <c r="ED29" s="2"/>
      <c r="EE29" s="2">
        <v>35227794</v>
      </c>
      <c r="EF29" s="2">
        <v>2</v>
      </c>
      <c r="EG29" s="2" t="s">
        <v>21</v>
      </c>
      <c r="EH29" s="2">
        <v>18</v>
      </c>
      <c r="EI29" s="2" t="s">
        <v>35</v>
      </c>
      <c r="EJ29" s="2">
        <v>1</v>
      </c>
      <c r="EK29" s="2">
        <v>23001</v>
      </c>
      <c r="EL29" s="2" t="s">
        <v>35</v>
      </c>
      <c r="EM29" s="2" t="s">
        <v>36</v>
      </c>
      <c r="EN29" s="2"/>
      <c r="EO29" s="2" t="s">
        <v>3</v>
      </c>
      <c r="EP29" s="2"/>
      <c r="EQ29" s="2">
        <v>0</v>
      </c>
      <c r="ER29" s="2">
        <v>0</v>
      </c>
      <c r="ES29" s="2">
        <v>0</v>
      </c>
      <c r="ET29" s="2">
        <v>0</v>
      </c>
      <c r="EU29" s="2">
        <v>0</v>
      </c>
      <c r="EV29" s="2">
        <v>0</v>
      </c>
      <c r="EW29" s="2">
        <v>0</v>
      </c>
      <c r="EX29" s="2">
        <v>0</v>
      </c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>
        <v>0</v>
      </c>
      <c r="FR29" s="2">
        <v>0</v>
      </c>
      <c r="FS29" s="2">
        <v>0</v>
      </c>
      <c r="FT29" s="2"/>
      <c r="FU29" s="2"/>
      <c r="FV29" s="2"/>
      <c r="FW29" s="2"/>
      <c r="FX29" s="2">
        <v>117</v>
      </c>
      <c r="FY29" s="2">
        <v>74</v>
      </c>
      <c r="FZ29" s="2"/>
      <c r="GA29" s="2" t="s">
        <v>3</v>
      </c>
      <c r="GB29" s="2"/>
      <c r="GC29" s="2"/>
      <c r="GD29" s="2">
        <v>1</v>
      </c>
      <c r="GE29" s="2"/>
      <c r="GF29" s="2">
        <v>1219364707</v>
      </c>
      <c r="GG29" s="2">
        <v>2</v>
      </c>
      <c r="GH29" s="2">
        <v>1</v>
      </c>
      <c r="GI29" s="2">
        <v>-2</v>
      </c>
      <c r="GJ29" s="2">
        <v>0</v>
      </c>
      <c r="GK29" s="2">
        <v>0</v>
      </c>
      <c r="GL29" s="2">
        <f t="shared" si="27"/>
        <v>0</v>
      </c>
      <c r="GM29" s="2">
        <f t="shared" si="28"/>
        <v>0</v>
      </c>
      <c r="GN29" s="2">
        <f t="shared" si="29"/>
        <v>0</v>
      </c>
      <c r="GO29" s="2">
        <f t="shared" si="30"/>
        <v>0</v>
      </c>
      <c r="GP29" s="2">
        <f t="shared" si="31"/>
        <v>0</v>
      </c>
      <c r="GQ29" s="2"/>
      <c r="GR29" s="2">
        <v>0</v>
      </c>
      <c r="GS29" s="2">
        <v>3</v>
      </c>
      <c r="GT29" s="2">
        <v>0</v>
      </c>
      <c r="GU29" s="2" t="s">
        <v>3</v>
      </c>
      <c r="GV29" s="2">
        <f t="shared" si="32"/>
        <v>0</v>
      </c>
      <c r="GW29" s="2">
        <v>1</v>
      </c>
      <c r="GX29" s="2">
        <f t="shared" si="33"/>
        <v>0</v>
      </c>
      <c r="GY29" s="2"/>
      <c r="GZ29" s="2"/>
      <c r="HA29" s="2">
        <v>0</v>
      </c>
      <c r="HB29" s="2">
        <v>0</v>
      </c>
      <c r="HC29" s="2">
        <f t="shared" si="34"/>
        <v>0</v>
      </c>
      <c r="HD29" s="2"/>
      <c r="HE29" s="2" t="s">
        <v>3</v>
      </c>
      <c r="HF29" s="2" t="s">
        <v>3</v>
      </c>
      <c r="HG29" s="2"/>
      <c r="HH29" s="2"/>
      <c r="HI29" s="2"/>
      <c r="HJ29" s="2"/>
      <c r="HK29" s="2"/>
      <c r="HL29" s="2"/>
      <c r="HM29" s="2" t="s">
        <v>3</v>
      </c>
      <c r="HN29" s="2" t="s">
        <v>38</v>
      </c>
      <c r="HO29" s="2" t="s">
        <v>39</v>
      </c>
      <c r="HP29" s="2" t="s">
        <v>35</v>
      </c>
      <c r="HQ29" s="2" t="s">
        <v>35</v>
      </c>
      <c r="HR29" s="2"/>
      <c r="HS29" s="2">
        <v>0</v>
      </c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>
        <v>0</v>
      </c>
      <c r="IL29" s="2"/>
      <c r="IM29" s="2"/>
      <c r="IN29" s="2"/>
      <c r="IO29" s="2"/>
      <c r="IP29" s="2"/>
      <c r="IQ29" s="2"/>
      <c r="IR29" s="2"/>
      <c r="IS29" s="2"/>
      <c r="IT29" s="2"/>
      <c r="IU29" s="2"/>
    </row>
    <row r="30" spans="1:255">
      <c r="A30" s="2">
        <v>17</v>
      </c>
      <c r="B30" s="2">
        <v>1</v>
      </c>
      <c r="C30" s="2">
        <f>ROW(SmtRes!A33)</f>
        <v>33</v>
      </c>
      <c r="D30" s="2">
        <f>ROW(EtalonRes!A32)</f>
        <v>32</v>
      </c>
      <c r="E30" s="2" t="s">
        <v>59</v>
      </c>
      <c r="F30" s="2" t="s">
        <v>60</v>
      </c>
      <c r="G30" s="2" t="s">
        <v>61</v>
      </c>
      <c r="H30" s="2" t="s">
        <v>19</v>
      </c>
      <c r="I30" s="2">
        <f>ROUND(ROUND(100/1000,5),7)</f>
        <v>0.1</v>
      </c>
      <c r="J30" s="2">
        <v>0</v>
      </c>
      <c r="K30" s="2">
        <f>ROUND(ROUND(100/1000,5),7)</f>
        <v>0.1</v>
      </c>
      <c r="L30" s="2"/>
      <c r="M30" s="2"/>
      <c r="N30" s="2"/>
      <c r="O30" s="2">
        <f t="shared" si="14"/>
        <v>568.15</v>
      </c>
      <c r="P30" s="2">
        <f>SUMIF(SmtRes!AQ31:'SmtRes'!AQ33,"=1",SmtRes!DF31:'SmtRes'!DF33)</f>
        <v>0</v>
      </c>
      <c r="Q30" s="2">
        <f>SUMIF(SmtRes!AQ31:'SmtRes'!AQ33,"=1",SmtRes!DG31:'SmtRes'!DG33)</f>
        <v>504.49</v>
      </c>
      <c r="R30" s="2">
        <f>SUMIF(SmtRes!AQ31:'SmtRes'!AQ33,"=1",SmtRes!DH31:'SmtRes'!DH33)</f>
        <v>63.66</v>
      </c>
      <c r="S30" s="2">
        <f>SUMIF(SmtRes!AQ31:'SmtRes'!AQ33,"=1",SmtRes!DI31:'SmtRes'!DI33)</f>
        <v>0</v>
      </c>
      <c r="T30" s="2">
        <f t="shared" si="15"/>
        <v>0</v>
      </c>
      <c r="U30" s="2">
        <f>SUMIF(SmtRes!AQ31:'SmtRes'!AQ33,"=1",SmtRes!CV31:'SmtRes'!CV33)</f>
        <v>0</v>
      </c>
      <c r="V30" s="2">
        <f>SUMIF(SmtRes!AQ31:'SmtRes'!AQ33,"=1",SmtRes!CW31:'SmtRes'!CW33)</f>
        <v>0.09</v>
      </c>
      <c r="W30" s="2">
        <f t="shared" si="16"/>
        <v>0</v>
      </c>
      <c r="X30" s="2">
        <f t="shared" si="17"/>
        <v>58.57</v>
      </c>
      <c r="Y30" s="2">
        <f t="shared" si="18"/>
        <v>29.28</v>
      </c>
      <c r="Z30" s="2"/>
      <c r="AA30" s="2">
        <v>38182922</v>
      </c>
      <c r="AB30" s="2">
        <f t="shared" si="19"/>
        <v>5044.9319999999998</v>
      </c>
      <c r="AC30" s="2">
        <f>ROUND((0),6)</f>
        <v>0</v>
      </c>
      <c r="AD30" s="2">
        <f>ROUND((((SUM(SmtRes!BR31:'SmtRes'!BR33))-(SUM(SmtRes!BS31:'SmtRes'!BS33)))+AE30),6)</f>
        <v>5044.9319999999998</v>
      </c>
      <c r="AE30" s="2">
        <f>ROUND((SUM(SmtRes!BS31:'SmtRes'!BS33)),6)</f>
        <v>636.61500000000001</v>
      </c>
      <c r="AF30" s="2">
        <f>ROUND((0),6)</f>
        <v>0</v>
      </c>
      <c r="AG30" s="2">
        <f t="shared" si="20"/>
        <v>0</v>
      </c>
      <c r="AH30" s="2">
        <f>(0)</f>
        <v>0</v>
      </c>
      <c r="AI30" s="2">
        <f>(SUM(SmtRes!BV31:'SmtRes'!BV33))</f>
        <v>0.9</v>
      </c>
      <c r="AJ30" s="2">
        <f t="shared" si="21"/>
        <v>0</v>
      </c>
      <c r="AK30" s="2">
        <v>5681.5469999999996</v>
      </c>
      <c r="AL30" s="2">
        <v>0</v>
      </c>
      <c r="AM30" s="2">
        <v>5044.9319999999998</v>
      </c>
      <c r="AN30" s="2">
        <v>636.61500000000001</v>
      </c>
      <c r="AO30" s="2">
        <v>0</v>
      </c>
      <c r="AP30" s="2">
        <v>0</v>
      </c>
      <c r="AQ30" s="2">
        <v>0</v>
      </c>
      <c r="AR30" s="2">
        <v>0.9</v>
      </c>
      <c r="AS30" s="2">
        <v>0</v>
      </c>
      <c r="AT30" s="2">
        <v>92</v>
      </c>
      <c r="AU30" s="2">
        <v>46</v>
      </c>
      <c r="AV30" s="2">
        <v>1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0</v>
      </c>
      <c r="BI30" s="2">
        <v>1</v>
      </c>
      <c r="BJ30" s="2" t="s">
        <v>62</v>
      </c>
      <c r="BK30" s="2"/>
      <c r="BL30" s="2"/>
      <c r="BM30" s="2">
        <v>1001</v>
      </c>
      <c r="BN30" s="2">
        <v>0</v>
      </c>
      <c r="BO30" s="2" t="s">
        <v>3</v>
      </c>
      <c r="BP30" s="2">
        <v>0</v>
      </c>
      <c r="BQ30" s="2">
        <v>2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92</v>
      </c>
      <c r="CA30" s="2">
        <v>46</v>
      </c>
      <c r="CB30" s="2" t="s">
        <v>3</v>
      </c>
      <c r="CC30" s="2"/>
      <c r="CD30" s="2"/>
      <c r="CE30" s="2">
        <v>0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3</v>
      </c>
      <c r="CO30" s="2">
        <v>0</v>
      </c>
      <c r="CP30" s="2">
        <f t="shared" si="22"/>
        <v>568.15</v>
      </c>
      <c r="CQ30" s="2">
        <f>SUMIF(SmtRes!AQ31:'SmtRes'!AQ33,"=1",SmtRes!AA31:'SmtRes'!AA33)</f>
        <v>0</v>
      </c>
      <c r="CR30" s="2">
        <f>SUMIF(SmtRes!AQ31:'SmtRes'!AQ33,"=1",SmtRes!AB31:'SmtRes'!AB33)</f>
        <v>5605.48</v>
      </c>
      <c r="CS30" s="2">
        <f>SUMIF(SmtRes!AQ31:'SmtRes'!AQ33,"=1",SmtRes!AC31:'SmtRes'!AC33)</f>
        <v>707.35</v>
      </c>
      <c r="CT30" s="2">
        <f>SUMIF(SmtRes!AQ31:'SmtRes'!AQ33,"=1",SmtRes!AD31:'SmtRes'!AD33)</f>
        <v>0</v>
      </c>
      <c r="CU30" s="2">
        <f t="shared" si="23"/>
        <v>0</v>
      </c>
      <c r="CV30" s="2">
        <f>SUMIF(SmtRes!AQ31:'SmtRes'!AQ33,"=1",SmtRes!BU31:'SmtRes'!BU33)</f>
        <v>0</v>
      </c>
      <c r="CW30" s="2">
        <f>SUMIF(SmtRes!AQ31:'SmtRes'!AQ33,"=1",SmtRes!BV31:'SmtRes'!BV33)</f>
        <v>0.9</v>
      </c>
      <c r="CX30" s="2">
        <f t="shared" si="24"/>
        <v>0</v>
      </c>
      <c r="CY30" s="2">
        <f t="shared" si="25"/>
        <v>58.567199999999993</v>
      </c>
      <c r="CZ30" s="2">
        <f t="shared" si="26"/>
        <v>29.283599999999996</v>
      </c>
      <c r="DA30" s="2"/>
      <c r="DB30" s="2"/>
      <c r="DC30" s="2" t="s">
        <v>3</v>
      </c>
      <c r="DD30" s="2" t="s">
        <v>3</v>
      </c>
      <c r="DE30" s="2" t="s">
        <v>3</v>
      </c>
      <c r="DF30" s="2" t="s">
        <v>3</v>
      </c>
      <c r="DG30" s="2" t="s">
        <v>3</v>
      </c>
      <c r="DH30" s="2" t="s">
        <v>3</v>
      </c>
      <c r="DI30" s="2" t="s">
        <v>3</v>
      </c>
      <c r="DJ30" s="2" t="s">
        <v>3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1007</v>
      </c>
      <c r="DV30" s="2" t="s">
        <v>19</v>
      </c>
      <c r="DW30" s="2" t="s">
        <v>19</v>
      </c>
      <c r="DX30" s="2">
        <v>1000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35227734</v>
      </c>
      <c r="EF30" s="2">
        <v>2</v>
      </c>
      <c r="EG30" s="2" t="s">
        <v>21</v>
      </c>
      <c r="EH30" s="2">
        <v>1</v>
      </c>
      <c r="EI30" s="2" t="s">
        <v>22</v>
      </c>
      <c r="EJ30" s="2">
        <v>1</v>
      </c>
      <c r="EK30" s="2">
        <v>1001</v>
      </c>
      <c r="EL30" s="2" t="s">
        <v>23</v>
      </c>
      <c r="EM30" s="2" t="s">
        <v>24</v>
      </c>
      <c r="EN30" s="2"/>
      <c r="EO30" s="2" t="s">
        <v>3</v>
      </c>
      <c r="EP30" s="2"/>
      <c r="EQ30" s="2">
        <v>0</v>
      </c>
      <c r="ER30" s="2">
        <v>0</v>
      </c>
      <c r="ES30" s="2">
        <v>0</v>
      </c>
      <c r="ET30" s="2">
        <v>0</v>
      </c>
      <c r="EU30" s="2">
        <v>0</v>
      </c>
      <c r="EV30" s="2">
        <v>0</v>
      </c>
      <c r="EW30" s="2">
        <v>0</v>
      </c>
      <c r="EX30" s="2">
        <v>0.9</v>
      </c>
      <c r="EY30" s="2">
        <v>0</v>
      </c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v>0</v>
      </c>
      <c r="FS30" s="2">
        <v>0</v>
      </c>
      <c r="FT30" s="2"/>
      <c r="FU30" s="2"/>
      <c r="FV30" s="2"/>
      <c r="FW30" s="2"/>
      <c r="FX30" s="2">
        <v>92</v>
      </c>
      <c r="FY30" s="2">
        <v>46</v>
      </c>
      <c r="FZ30" s="2"/>
      <c r="GA30" s="2" t="s">
        <v>3</v>
      </c>
      <c r="GB30" s="2"/>
      <c r="GC30" s="2"/>
      <c r="GD30" s="2">
        <v>1</v>
      </c>
      <c r="GE30" s="2"/>
      <c r="GF30" s="2">
        <v>-986908504</v>
      </c>
      <c r="GG30" s="2">
        <v>2</v>
      </c>
      <c r="GH30" s="2">
        <v>1</v>
      </c>
      <c r="GI30" s="2">
        <v>-2</v>
      </c>
      <c r="GJ30" s="2">
        <v>0</v>
      </c>
      <c r="GK30" s="2">
        <v>0</v>
      </c>
      <c r="GL30" s="2">
        <f t="shared" si="27"/>
        <v>0</v>
      </c>
      <c r="GM30" s="2">
        <f t="shared" si="28"/>
        <v>656</v>
      </c>
      <c r="GN30" s="2">
        <f t="shared" si="29"/>
        <v>656</v>
      </c>
      <c r="GO30" s="2">
        <f t="shared" si="30"/>
        <v>0</v>
      </c>
      <c r="GP30" s="2">
        <f t="shared" si="31"/>
        <v>0</v>
      </c>
      <c r="GQ30" s="2"/>
      <c r="GR30" s="2">
        <v>0</v>
      </c>
      <c r="GS30" s="2">
        <v>3</v>
      </c>
      <c r="GT30" s="2">
        <v>0</v>
      </c>
      <c r="GU30" s="2" t="s">
        <v>3</v>
      </c>
      <c r="GV30" s="2">
        <f t="shared" si="32"/>
        <v>0</v>
      </c>
      <c r="GW30" s="2">
        <v>1</v>
      </c>
      <c r="GX30" s="2">
        <f t="shared" si="33"/>
        <v>0</v>
      </c>
      <c r="GY30" s="2"/>
      <c r="GZ30" s="2"/>
      <c r="HA30" s="2">
        <v>0</v>
      </c>
      <c r="HB30" s="2">
        <v>0</v>
      </c>
      <c r="HC30" s="2">
        <f t="shared" si="34"/>
        <v>0</v>
      </c>
      <c r="HD30" s="2"/>
      <c r="HE30" s="2" t="s">
        <v>3</v>
      </c>
      <c r="HF30" s="2" t="s">
        <v>3</v>
      </c>
      <c r="HG30" s="2"/>
      <c r="HH30" s="2"/>
      <c r="HI30" s="2"/>
      <c r="HJ30" s="2"/>
      <c r="HK30" s="2"/>
      <c r="HL30" s="2"/>
      <c r="HM30" s="2" t="s">
        <v>3</v>
      </c>
      <c r="HN30" s="2" t="s">
        <v>25</v>
      </c>
      <c r="HO30" s="2" t="s">
        <v>26</v>
      </c>
      <c r="HP30" s="2" t="s">
        <v>23</v>
      </c>
      <c r="HQ30" s="2" t="s">
        <v>23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>
      <c r="A31" s="2">
        <v>18</v>
      </c>
      <c r="B31" s="2">
        <v>1</v>
      </c>
      <c r="C31" s="2">
        <v>33</v>
      </c>
      <c r="D31" s="2"/>
      <c r="E31" s="2" t="s">
        <v>63</v>
      </c>
      <c r="F31" s="2" t="s">
        <v>64</v>
      </c>
      <c r="G31" s="2" t="s">
        <v>65</v>
      </c>
      <c r="H31" s="2" t="s">
        <v>66</v>
      </c>
      <c r="I31" s="2">
        <f>I30*J31</f>
        <v>0.09</v>
      </c>
      <c r="J31" s="2">
        <v>0.89999999999999991</v>
      </c>
      <c r="K31" s="2">
        <v>0.9</v>
      </c>
      <c r="L31" s="2"/>
      <c r="M31" s="2"/>
      <c r="N31" s="2"/>
      <c r="O31" s="2">
        <f t="shared" si="14"/>
        <v>175.59</v>
      </c>
      <c r="P31" s="2">
        <f>ROUND(CQ31*I31,2)</f>
        <v>0</v>
      </c>
      <c r="Q31" s="2">
        <f>ROUND(CR31*I31,2)</f>
        <v>130.82</v>
      </c>
      <c r="R31" s="2">
        <f>ROUND(CS31*I31,2)</f>
        <v>44.77</v>
      </c>
      <c r="S31" s="2">
        <f>ROUND(CT31*I31,2)</f>
        <v>0</v>
      </c>
      <c r="T31" s="2">
        <f t="shared" si="15"/>
        <v>0</v>
      </c>
      <c r="U31" s="2">
        <f>ROUND(CV31*I31,7)</f>
        <v>0</v>
      </c>
      <c r="V31" s="2">
        <f>ROUND(CW31*I31,7)</f>
        <v>0.09</v>
      </c>
      <c r="W31" s="2">
        <f t="shared" si="16"/>
        <v>0</v>
      </c>
      <c r="X31" s="2">
        <f t="shared" si="17"/>
        <v>41.19</v>
      </c>
      <c r="Y31" s="2">
        <f t="shared" si="18"/>
        <v>20.59</v>
      </c>
      <c r="Z31" s="2"/>
      <c r="AA31" s="2">
        <v>38182922</v>
      </c>
      <c r="AB31" s="2">
        <f t="shared" si="19"/>
        <v>1162.81</v>
      </c>
      <c r="AC31" s="2">
        <f>ROUND((ES31),6)</f>
        <v>0</v>
      </c>
      <c r="AD31" s="2">
        <f>ROUND((((ET31)-(EU31))+AE31),6)</f>
        <v>1162.81</v>
      </c>
      <c r="AE31" s="2">
        <f>ROUND((EU31),6)</f>
        <v>497.4</v>
      </c>
      <c r="AF31" s="2">
        <f>ROUND((EV31),6)</f>
        <v>0</v>
      </c>
      <c r="AG31" s="2">
        <f t="shared" si="20"/>
        <v>0</v>
      </c>
      <c r="AH31" s="2">
        <f>(EW31)</f>
        <v>0</v>
      </c>
      <c r="AI31" s="2">
        <f>(EX31)</f>
        <v>1</v>
      </c>
      <c r="AJ31" s="2">
        <f t="shared" si="21"/>
        <v>0</v>
      </c>
      <c r="AK31" s="2">
        <v>1162.81</v>
      </c>
      <c r="AL31" s="2">
        <v>0</v>
      </c>
      <c r="AM31" s="2">
        <v>1162.81</v>
      </c>
      <c r="AN31" s="2">
        <v>497.4</v>
      </c>
      <c r="AO31" s="2">
        <v>0</v>
      </c>
      <c r="AP31" s="2">
        <v>0</v>
      </c>
      <c r="AQ31" s="2">
        <v>0</v>
      </c>
      <c r="AR31" s="2">
        <v>1</v>
      </c>
      <c r="AS31" s="2">
        <v>0</v>
      </c>
      <c r="AT31" s="2">
        <v>92</v>
      </c>
      <c r="AU31" s="2">
        <v>46</v>
      </c>
      <c r="AV31" s="2">
        <v>1</v>
      </c>
      <c r="AW31" s="2">
        <v>1</v>
      </c>
      <c r="AX31" s="2"/>
      <c r="AY31" s="2"/>
      <c r="AZ31" s="2">
        <v>1</v>
      </c>
      <c r="BA31" s="2">
        <v>1</v>
      </c>
      <c r="BB31" s="2">
        <v>1.25</v>
      </c>
      <c r="BC31" s="2">
        <v>1</v>
      </c>
      <c r="BD31" s="2" t="s">
        <v>3</v>
      </c>
      <c r="BE31" s="2" t="s">
        <v>3</v>
      </c>
      <c r="BF31" s="2" t="s">
        <v>3</v>
      </c>
      <c r="BG31" s="2" t="s">
        <v>3</v>
      </c>
      <c r="BH31" s="2">
        <v>2</v>
      </c>
      <c r="BI31" s="2">
        <v>1</v>
      </c>
      <c r="BJ31" s="2" t="s">
        <v>67</v>
      </c>
      <c r="BK31" s="2"/>
      <c r="BL31" s="2"/>
      <c r="BM31" s="2">
        <v>1001</v>
      </c>
      <c r="BN31" s="2">
        <v>0</v>
      </c>
      <c r="BO31" s="2" t="s">
        <v>64</v>
      </c>
      <c r="BP31" s="2">
        <v>1</v>
      </c>
      <c r="BQ31" s="2">
        <v>2</v>
      </c>
      <c r="BR31" s="2">
        <v>0</v>
      </c>
      <c r="BS31" s="2">
        <v>1</v>
      </c>
      <c r="BT31" s="2">
        <v>1</v>
      </c>
      <c r="BU31" s="2">
        <v>1</v>
      </c>
      <c r="BV31" s="2">
        <v>1</v>
      </c>
      <c r="BW31" s="2">
        <v>1</v>
      </c>
      <c r="BX31" s="2">
        <v>1</v>
      </c>
      <c r="BY31" s="2" t="s">
        <v>3</v>
      </c>
      <c r="BZ31" s="2">
        <v>92</v>
      </c>
      <c r="CA31" s="2">
        <v>46</v>
      </c>
      <c r="CB31" s="2" t="s">
        <v>3</v>
      </c>
      <c r="CC31" s="2"/>
      <c r="CD31" s="2"/>
      <c r="CE31" s="2">
        <v>0</v>
      </c>
      <c r="CF31" s="2">
        <v>0</v>
      </c>
      <c r="CG31" s="2">
        <v>0</v>
      </c>
      <c r="CH31" s="2"/>
      <c r="CI31" s="2"/>
      <c r="CJ31" s="2"/>
      <c r="CK31" s="2"/>
      <c r="CL31" s="2"/>
      <c r="CM31" s="2">
        <v>0</v>
      </c>
      <c r="CN31" s="2" t="s">
        <v>3</v>
      </c>
      <c r="CO31" s="2">
        <v>0</v>
      </c>
      <c r="CP31" s="2">
        <f t="shared" si="22"/>
        <v>175.59</v>
      </c>
      <c r="CQ31" s="2">
        <f>ROUND(AL31*BC31,2)</f>
        <v>0</v>
      </c>
      <c r="CR31" s="2">
        <f>ROUND(AM31*BB31,2)</f>
        <v>1453.51</v>
      </c>
      <c r="CS31" s="2">
        <f>ROUND(AN31*BS31,2)</f>
        <v>497.4</v>
      </c>
      <c r="CT31" s="2">
        <f>ROUND(AO31*BA31,2)</f>
        <v>0</v>
      </c>
      <c r="CU31" s="2">
        <f t="shared" si="23"/>
        <v>0</v>
      </c>
      <c r="CV31" s="2">
        <f>AH31</f>
        <v>0</v>
      </c>
      <c r="CW31" s="2">
        <f>AI31</f>
        <v>1</v>
      </c>
      <c r="CX31" s="2">
        <f t="shared" si="24"/>
        <v>0</v>
      </c>
      <c r="CY31" s="2">
        <f t="shared" si="25"/>
        <v>41.188400000000001</v>
      </c>
      <c r="CZ31" s="2">
        <f t="shared" si="26"/>
        <v>20.594200000000001</v>
      </c>
      <c r="DA31" s="2"/>
      <c r="DB31" s="2"/>
      <c r="DC31" s="2" t="s">
        <v>3</v>
      </c>
      <c r="DD31" s="2" t="s">
        <v>3</v>
      </c>
      <c r="DE31" s="2" t="s">
        <v>3</v>
      </c>
      <c r="DF31" s="2" t="s">
        <v>3</v>
      </c>
      <c r="DG31" s="2" t="s">
        <v>3</v>
      </c>
      <c r="DH31" s="2" t="s">
        <v>3</v>
      </c>
      <c r="DI31" s="2" t="s">
        <v>3</v>
      </c>
      <c r="DJ31" s="2" t="s">
        <v>3</v>
      </c>
      <c r="DK31" s="2" t="s">
        <v>3</v>
      </c>
      <c r="DL31" s="2" t="s">
        <v>3</v>
      </c>
      <c r="DM31" s="2" t="s">
        <v>3</v>
      </c>
      <c r="DN31" s="2">
        <v>0</v>
      </c>
      <c r="DO31" s="2">
        <v>0</v>
      </c>
      <c r="DP31" s="2">
        <v>1</v>
      </c>
      <c r="DQ31" s="2">
        <v>1</v>
      </c>
      <c r="DR31" s="2"/>
      <c r="DS31" s="2"/>
      <c r="DT31" s="2"/>
      <c r="DU31" s="2">
        <v>1011</v>
      </c>
      <c r="DV31" s="2" t="s">
        <v>66</v>
      </c>
      <c r="DW31" s="2" t="s">
        <v>66</v>
      </c>
      <c r="DX31" s="2">
        <v>1</v>
      </c>
      <c r="DY31" s="2"/>
      <c r="DZ31" s="2" t="s">
        <v>3</v>
      </c>
      <c r="EA31" s="2" t="s">
        <v>3</v>
      </c>
      <c r="EB31" s="2" t="s">
        <v>3</v>
      </c>
      <c r="EC31" s="2" t="s">
        <v>3</v>
      </c>
      <c r="ED31" s="2"/>
      <c r="EE31" s="2">
        <v>35227734</v>
      </c>
      <c r="EF31" s="2">
        <v>2</v>
      </c>
      <c r="EG31" s="2" t="s">
        <v>21</v>
      </c>
      <c r="EH31" s="2">
        <v>1</v>
      </c>
      <c r="EI31" s="2" t="s">
        <v>22</v>
      </c>
      <c r="EJ31" s="2">
        <v>1</v>
      </c>
      <c r="EK31" s="2">
        <v>1001</v>
      </c>
      <c r="EL31" s="2" t="s">
        <v>23</v>
      </c>
      <c r="EM31" s="2" t="s">
        <v>24</v>
      </c>
      <c r="EN31" s="2"/>
      <c r="EO31" s="2" t="s">
        <v>3</v>
      </c>
      <c r="EP31" s="2"/>
      <c r="EQ31" s="2">
        <v>0</v>
      </c>
      <c r="ER31" s="2">
        <v>1162.81</v>
      </c>
      <c r="ES31" s="2">
        <v>0</v>
      </c>
      <c r="ET31" s="2">
        <v>1162.81</v>
      </c>
      <c r="EU31" s="2">
        <v>497.4</v>
      </c>
      <c r="EV31" s="2">
        <v>0</v>
      </c>
      <c r="EW31" s="2">
        <v>0</v>
      </c>
      <c r="EX31" s="2">
        <v>1</v>
      </c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>
        <v>0</v>
      </c>
      <c r="FR31" s="2">
        <v>0</v>
      </c>
      <c r="FS31" s="2">
        <v>1</v>
      </c>
      <c r="FT31" s="2"/>
      <c r="FU31" s="2"/>
      <c r="FV31" s="2"/>
      <c r="FW31" s="2"/>
      <c r="FX31" s="2">
        <v>92</v>
      </c>
      <c r="FY31" s="2">
        <v>46</v>
      </c>
      <c r="FZ31" s="2"/>
      <c r="GA31" s="2" t="s">
        <v>3</v>
      </c>
      <c r="GB31" s="2"/>
      <c r="GC31" s="2"/>
      <c r="GD31" s="2">
        <v>1</v>
      </c>
      <c r="GE31" s="2"/>
      <c r="GF31" s="2">
        <v>-598721075</v>
      </c>
      <c r="GG31" s="2">
        <v>2</v>
      </c>
      <c r="GH31" s="2">
        <v>1</v>
      </c>
      <c r="GI31" s="2">
        <v>2</v>
      </c>
      <c r="GJ31" s="2">
        <v>0</v>
      </c>
      <c r="GK31" s="2">
        <v>0</v>
      </c>
      <c r="GL31" s="2">
        <f t="shared" si="27"/>
        <v>0</v>
      </c>
      <c r="GM31" s="2">
        <f t="shared" si="28"/>
        <v>237.37</v>
      </c>
      <c r="GN31" s="2">
        <f t="shared" si="29"/>
        <v>237.37</v>
      </c>
      <c r="GO31" s="2">
        <f t="shared" si="30"/>
        <v>0</v>
      </c>
      <c r="GP31" s="2">
        <f t="shared" si="31"/>
        <v>0</v>
      </c>
      <c r="GQ31" s="2"/>
      <c r="GR31" s="2">
        <v>0</v>
      </c>
      <c r="GS31" s="2">
        <v>3</v>
      </c>
      <c r="GT31" s="2">
        <v>0</v>
      </c>
      <c r="GU31" s="2" t="s">
        <v>3</v>
      </c>
      <c r="GV31" s="2">
        <f t="shared" si="32"/>
        <v>0</v>
      </c>
      <c r="GW31" s="2">
        <v>1</v>
      </c>
      <c r="GX31" s="2">
        <f t="shared" si="33"/>
        <v>0</v>
      </c>
      <c r="GY31" s="2"/>
      <c r="GZ31" s="2"/>
      <c r="HA31" s="2">
        <v>0</v>
      </c>
      <c r="HB31" s="2">
        <v>0</v>
      </c>
      <c r="HC31" s="2">
        <f t="shared" si="34"/>
        <v>0</v>
      </c>
      <c r="HD31" s="2"/>
      <c r="HE31" s="2" t="s">
        <v>3</v>
      </c>
      <c r="HF31" s="2" t="s">
        <v>3</v>
      </c>
      <c r="HG31" s="2"/>
      <c r="HH31" s="2"/>
      <c r="HI31" s="2"/>
      <c r="HJ31" s="2"/>
      <c r="HK31" s="2"/>
      <c r="HL31" s="2"/>
      <c r="HM31" s="2" t="s">
        <v>3</v>
      </c>
      <c r="HN31" s="2" t="s">
        <v>25</v>
      </c>
      <c r="HO31" s="2" t="s">
        <v>26</v>
      </c>
      <c r="HP31" s="2" t="s">
        <v>23</v>
      </c>
      <c r="HQ31" s="2" t="s">
        <v>23</v>
      </c>
      <c r="HR31" s="2"/>
      <c r="HS31" s="2">
        <v>0</v>
      </c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>
        <v>0</v>
      </c>
      <c r="IL31" s="2"/>
      <c r="IM31" s="2"/>
      <c r="IN31" s="2"/>
      <c r="IO31" s="2"/>
      <c r="IP31" s="2"/>
      <c r="IQ31" s="2"/>
      <c r="IR31" s="2"/>
      <c r="IS31" s="2"/>
      <c r="IT31" s="2"/>
      <c r="IU31" s="2"/>
    </row>
    <row r="32" spans="1:255">
      <c r="A32" s="2">
        <v>17</v>
      </c>
      <c r="B32" s="2">
        <v>1</v>
      </c>
      <c r="C32" s="2">
        <f>ROW(SmtRes!A34)</f>
        <v>34</v>
      </c>
      <c r="D32" s="2">
        <f>ROW(EtalonRes!A33)</f>
        <v>33</v>
      </c>
      <c r="E32" s="2" t="s">
        <v>68</v>
      </c>
      <c r="F32" s="2" t="s">
        <v>69</v>
      </c>
      <c r="G32" s="2" t="s">
        <v>70</v>
      </c>
      <c r="H32" s="2" t="s">
        <v>66</v>
      </c>
      <c r="I32" s="2">
        <f>ROUND(ROUND(-0.09,5),7)</f>
        <v>-0.09</v>
      </c>
      <c r="J32" s="2">
        <v>0</v>
      </c>
      <c r="K32" s="2">
        <f>ROUND(ROUND(-0.09,5),7)</f>
        <v>-0.09</v>
      </c>
      <c r="L32" s="2"/>
      <c r="M32" s="2"/>
      <c r="N32" s="2"/>
      <c r="O32" s="2">
        <f t="shared" si="14"/>
        <v>-568.15</v>
      </c>
      <c r="P32" s="2">
        <f>ROUND(CQ32*I32,2)</f>
        <v>0</v>
      </c>
      <c r="Q32" s="2">
        <f>ROUND(CR32*I32,2)</f>
        <v>-504.49</v>
      </c>
      <c r="R32" s="2">
        <f>ROUND(CS32*I32,2)</f>
        <v>-63.66</v>
      </c>
      <c r="S32" s="2">
        <f>ROUND(CT32*I32,2)</f>
        <v>0</v>
      </c>
      <c r="T32" s="2">
        <f t="shared" si="15"/>
        <v>0</v>
      </c>
      <c r="U32" s="2">
        <f>ROUND(CV32*I32,7)</f>
        <v>0</v>
      </c>
      <c r="V32" s="2">
        <f>ROUND(CW32*I32,7)</f>
        <v>0</v>
      </c>
      <c r="W32" s="2">
        <f t="shared" si="16"/>
        <v>0</v>
      </c>
      <c r="X32" s="2">
        <f t="shared" si="17"/>
        <v>0</v>
      </c>
      <c r="Y32" s="2">
        <f t="shared" si="18"/>
        <v>0</v>
      </c>
      <c r="Z32" s="2"/>
      <c r="AA32" s="2">
        <v>38182922</v>
      </c>
      <c r="AB32" s="2">
        <f t="shared" si="19"/>
        <v>5605.48</v>
      </c>
      <c r="AC32" s="2">
        <f>ROUND((ES32),6)</f>
        <v>0</v>
      </c>
      <c r="AD32" s="2">
        <f>ROUND((((ET32)-(EU32))+AE32),6)</f>
        <v>5605.48</v>
      </c>
      <c r="AE32" s="2">
        <f>ROUND((EU32),6)</f>
        <v>707.35</v>
      </c>
      <c r="AF32" s="2">
        <f>ROUND((EV32),6)</f>
        <v>0</v>
      </c>
      <c r="AG32" s="2">
        <f t="shared" si="20"/>
        <v>0</v>
      </c>
      <c r="AH32" s="2">
        <f>(EW32)</f>
        <v>0</v>
      </c>
      <c r="AI32" s="2">
        <f>(EX32)</f>
        <v>0</v>
      </c>
      <c r="AJ32" s="2">
        <f t="shared" si="21"/>
        <v>0</v>
      </c>
      <c r="AK32" s="2">
        <v>5605.48</v>
      </c>
      <c r="AL32" s="2">
        <v>0</v>
      </c>
      <c r="AM32" s="2">
        <v>5605.48</v>
      </c>
      <c r="AN32" s="2">
        <v>707.35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1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2</v>
      </c>
      <c r="BI32" s="2">
        <v>1</v>
      </c>
      <c r="BJ32" s="2" t="s">
        <v>71</v>
      </c>
      <c r="BK32" s="2"/>
      <c r="BL32" s="2"/>
      <c r="BM32" s="2">
        <v>400001</v>
      </c>
      <c r="BN32" s="2">
        <v>0</v>
      </c>
      <c r="BO32" s="2" t="s">
        <v>3</v>
      </c>
      <c r="BP32" s="2">
        <v>0</v>
      </c>
      <c r="BQ32" s="2">
        <v>7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0</v>
      </c>
      <c r="CA32" s="2">
        <v>0</v>
      </c>
      <c r="CB32" s="2" t="s">
        <v>3</v>
      </c>
      <c r="CC32" s="2"/>
      <c r="CD32" s="2"/>
      <c r="CE32" s="2">
        <v>0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3</v>
      </c>
      <c r="CO32" s="2">
        <v>0</v>
      </c>
      <c r="CP32" s="2">
        <f t="shared" si="22"/>
        <v>-568.15</v>
      </c>
      <c r="CQ32" s="2">
        <f>ROUND(AL32*BC32,2)</f>
        <v>0</v>
      </c>
      <c r="CR32" s="2">
        <f>ROUND(AM32*BB32,2)</f>
        <v>5605.48</v>
      </c>
      <c r="CS32" s="2">
        <f>ROUND(AN32*BS32,2)</f>
        <v>707.35</v>
      </c>
      <c r="CT32" s="2">
        <f>ROUND(AO32*BA32,2)</f>
        <v>0</v>
      </c>
      <c r="CU32" s="2">
        <f t="shared" si="23"/>
        <v>0</v>
      </c>
      <c r="CV32" s="2">
        <f>AH32</f>
        <v>0</v>
      </c>
      <c r="CW32" s="2">
        <f>AI32</f>
        <v>0</v>
      </c>
      <c r="CX32" s="2">
        <f t="shared" si="24"/>
        <v>0</v>
      </c>
      <c r="CY32" s="2">
        <f t="shared" si="25"/>
        <v>0</v>
      </c>
      <c r="CZ32" s="2">
        <f t="shared" si="26"/>
        <v>0</v>
      </c>
      <c r="DA32" s="2"/>
      <c r="DB32" s="2"/>
      <c r="DC32" s="2" t="s">
        <v>3</v>
      </c>
      <c r="DD32" s="2" t="s">
        <v>3</v>
      </c>
      <c r="DE32" s="2" t="s">
        <v>3</v>
      </c>
      <c r="DF32" s="2" t="s">
        <v>3</v>
      </c>
      <c r="DG32" s="2" t="s">
        <v>3</v>
      </c>
      <c r="DH32" s="2" t="s">
        <v>3</v>
      </c>
      <c r="DI32" s="2" t="s">
        <v>3</v>
      </c>
      <c r="DJ32" s="2" t="s">
        <v>3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1011</v>
      </c>
      <c r="DV32" s="2" t="s">
        <v>66</v>
      </c>
      <c r="DW32" s="2" t="s">
        <v>66</v>
      </c>
      <c r="DX32" s="2">
        <v>1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35227692</v>
      </c>
      <c r="EF32" s="2">
        <v>7</v>
      </c>
      <c r="EG32" s="2" t="s">
        <v>72</v>
      </c>
      <c r="EH32" s="2">
        <v>0</v>
      </c>
      <c r="EI32" s="2" t="s">
        <v>3</v>
      </c>
      <c r="EJ32" s="2">
        <v>1</v>
      </c>
      <c r="EK32" s="2">
        <v>400001</v>
      </c>
      <c r="EL32" s="2" t="s">
        <v>73</v>
      </c>
      <c r="EM32" s="2" t="s">
        <v>74</v>
      </c>
      <c r="EN32" s="2"/>
      <c r="EO32" s="2" t="s">
        <v>3</v>
      </c>
      <c r="EP32" s="2"/>
      <c r="EQ32" s="2">
        <v>0</v>
      </c>
      <c r="ER32" s="2">
        <v>5605.48</v>
      </c>
      <c r="ES32" s="2">
        <v>0</v>
      </c>
      <c r="ET32" s="2">
        <v>5605.48</v>
      </c>
      <c r="EU32" s="2">
        <v>707.35</v>
      </c>
      <c r="EV32" s="2">
        <v>0</v>
      </c>
      <c r="EW32" s="2">
        <v>0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1</v>
      </c>
      <c r="FT32" s="2"/>
      <c r="FU32" s="2"/>
      <c r="FV32" s="2"/>
      <c r="FW32" s="2"/>
      <c r="FX32" s="2">
        <v>0</v>
      </c>
      <c r="FY32" s="2">
        <v>0</v>
      </c>
      <c r="FZ32" s="2"/>
      <c r="GA32" s="2" t="s">
        <v>3</v>
      </c>
      <c r="GB32" s="2"/>
      <c r="GC32" s="2"/>
      <c r="GD32" s="2">
        <v>1</v>
      </c>
      <c r="GE32" s="2"/>
      <c r="GF32" s="2">
        <v>626856282</v>
      </c>
      <c r="GG32" s="2">
        <v>2</v>
      </c>
      <c r="GH32" s="2">
        <v>1</v>
      </c>
      <c r="GI32" s="2">
        <v>-2</v>
      </c>
      <c r="GJ32" s="2">
        <v>0</v>
      </c>
      <c r="GK32" s="2">
        <v>0</v>
      </c>
      <c r="GL32" s="2">
        <f t="shared" si="27"/>
        <v>0</v>
      </c>
      <c r="GM32" s="2">
        <f t="shared" si="28"/>
        <v>-568.15</v>
      </c>
      <c r="GN32" s="2">
        <f t="shared" si="29"/>
        <v>-568.15</v>
      </c>
      <c r="GO32" s="2">
        <f t="shared" si="30"/>
        <v>0</v>
      </c>
      <c r="GP32" s="2">
        <f t="shared" si="31"/>
        <v>0</v>
      </c>
      <c r="GQ32" s="2"/>
      <c r="GR32" s="2">
        <v>0</v>
      </c>
      <c r="GS32" s="2">
        <v>7</v>
      </c>
      <c r="GT32" s="2">
        <v>0</v>
      </c>
      <c r="GU32" s="2" t="s">
        <v>3</v>
      </c>
      <c r="GV32" s="2">
        <f t="shared" si="32"/>
        <v>0</v>
      </c>
      <c r="GW32" s="2">
        <v>1</v>
      </c>
      <c r="GX32" s="2">
        <f t="shared" si="33"/>
        <v>0</v>
      </c>
      <c r="GY32" s="2"/>
      <c r="GZ32" s="2"/>
      <c r="HA32" s="2">
        <v>0</v>
      </c>
      <c r="HB32" s="2">
        <v>0</v>
      </c>
      <c r="HC32" s="2">
        <f t="shared" si="34"/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>
      <c r="A33" s="2">
        <v>17</v>
      </c>
      <c r="B33" s="2">
        <v>1</v>
      </c>
      <c r="C33" s="2">
        <f>ROW(SmtRes!A45)</f>
        <v>45</v>
      </c>
      <c r="D33" s="2">
        <f>ROW(EtalonRes!A44)</f>
        <v>44</v>
      </c>
      <c r="E33" s="2" t="s">
        <v>75</v>
      </c>
      <c r="F33" s="2" t="s">
        <v>76</v>
      </c>
      <c r="G33" s="2" t="s">
        <v>77</v>
      </c>
      <c r="H33" s="2" t="s">
        <v>78</v>
      </c>
      <c r="I33" s="2">
        <f>ROUND(ROUND(0.001,5),7)</f>
        <v>1E-3</v>
      </c>
      <c r="J33" s="2">
        <v>0</v>
      </c>
      <c r="K33" s="2">
        <f>ROUND(ROUND(0.001,5),7)</f>
        <v>1E-3</v>
      </c>
      <c r="L33" s="2"/>
      <c r="M33" s="2"/>
      <c r="N33" s="2"/>
      <c r="O33" s="2">
        <f t="shared" si="14"/>
        <v>205.73</v>
      </c>
      <c r="P33" s="2">
        <f>SUMIF(SmtRes!AQ35:'SmtRes'!AQ45,"=1",SmtRes!DF35:'SmtRes'!DF45)</f>
        <v>67.900000000000006</v>
      </c>
      <c r="Q33" s="2">
        <f>SUMIF(SmtRes!AQ35:'SmtRes'!AQ45,"=1",SmtRes!DG35:'SmtRes'!DG45)</f>
        <v>62.05</v>
      </c>
      <c r="R33" s="2">
        <f>SUMIF(SmtRes!AQ35:'SmtRes'!AQ45,"=1",SmtRes!DH35:'SmtRes'!DH45)</f>
        <v>13.379999999999999</v>
      </c>
      <c r="S33" s="2">
        <f>SUMIF(SmtRes!AQ35:'SmtRes'!AQ45,"=1",SmtRes!DI35:'SmtRes'!DI45)</f>
        <v>62.4</v>
      </c>
      <c r="T33" s="2">
        <f t="shared" si="15"/>
        <v>0</v>
      </c>
      <c r="U33" s="2">
        <f>SUMIF(SmtRes!AQ35:'SmtRes'!AQ45,"=1",SmtRes!CV35:'SmtRes'!CV45)</f>
        <v>0.14000000000000001</v>
      </c>
      <c r="V33" s="2">
        <f>SUMIF(SmtRes!AQ35:'SmtRes'!AQ45,"=1",SmtRes!CW35:'SmtRes'!CW45)</f>
        <v>2.317E-2</v>
      </c>
      <c r="W33" s="2">
        <f t="shared" si="16"/>
        <v>0</v>
      </c>
      <c r="X33" s="2">
        <f t="shared" si="17"/>
        <v>88.66</v>
      </c>
      <c r="Y33" s="2">
        <f t="shared" si="18"/>
        <v>56.08</v>
      </c>
      <c r="Z33" s="2"/>
      <c r="AA33" s="2">
        <v>38182922</v>
      </c>
      <c r="AB33" s="2">
        <f t="shared" si="19"/>
        <v>153692.6329</v>
      </c>
      <c r="AC33" s="2">
        <f>ROUND((SUM(SmtRes!BQ35:'SmtRes'!BQ45)),6)</f>
        <v>35668.288999999997</v>
      </c>
      <c r="AD33" s="2">
        <f>ROUND((((SUM(SmtRes!BR35:'SmtRes'!BR45))-(SUM(SmtRes!BS35:'SmtRes'!BS45)))+AE33),6)</f>
        <v>55622.143900000003</v>
      </c>
      <c r="AE33" s="2">
        <f>ROUND((SUM(SmtRes!BS35:'SmtRes'!BS45)),6)</f>
        <v>13372.1049</v>
      </c>
      <c r="AF33" s="2">
        <f>ROUND((SUM(SmtRes!BT35:'SmtRes'!BT45)),6)</f>
        <v>62402.2</v>
      </c>
      <c r="AG33" s="2">
        <f t="shared" si="20"/>
        <v>0</v>
      </c>
      <c r="AH33" s="2">
        <f>(SUM(SmtRes!BU35:'SmtRes'!BU45))</f>
        <v>140</v>
      </c>
      <c r="AI33" s="2">
        <f>(SUM(SmtRes!BV35:'SmtRes'!BV45))</f>
        <v>23.17</v>
      </c>
      <c r="AJ33" s="2">
        <f t="shared" si="21"/>
        <v>0</v>
      </c>
      <c r="AK33" s="2">
        <v>167064.73780000003</v>
      </c>
      <c r="AL33" s="2">
        <v>35668.289000000004</v>
      </c>
      <c r="AM33" s="2">
        <v>55622.143900000003</v>
      </c>
      <c r="AN33" s="2">
        <v>13372.104899999998</v>
      </c>
      <c r="AO33" s="2">
        <v>62402.200000000004</v>
      </c>
      <c r="AP33" s="2">
        <v>0</v>
      </c>
      <c r="AQ33" s="2">
        <v>140</v>
      </c>
      <c r="AR33" s="2">
        <v>23.17</v>
      </c>
      <c r="AS33" s="2">
        <v>0</v>
      </c>
      <c r="AT33" s="2">
        <v>117</v>
      </c>
      <c r="AU33" s="2">
        <v>74</v>
      </c>
      <c r="AV33" s="2">
        <v>1</v>
      </c>
      <c r="AW33" s="2">
        <v>1</v>
      </c>
      <c r="AX33" s="2"/>
      <c r="AY33" s="2"/>
      <c r="AZ33" s="2">
        <v>1</v>
      </c>
      <c r="BA33" s="2">
        <v>1</v>
      </c>
      <c r="BB33" s="2">
        <v>1</v>
      </c>
      <c r="BC33" s="2">
        <v>1</v>
      </c>
      <c r="BD33" s="2" t="s">
        <v>3</v>
      </c>
      <c r="BE33" s="2" t="s">
        <v>3</v>
      </c>
      <c r="BF33" s="2" t="s">
        <v>3</v>
      </c>
      <c r="BG33" s="2" t="s">
        <v>3</v>
      </c>
      <c r="BH33" s="2">
        <v>0</v>
      </c>
      <c r="BI33" s="2">
        <v>1</v>
      </c>
      <c r="BJ33" s="2" t="s">
        <v>79</v>
      </c>
      <c r="BK33" s="2"/>
      <c r="BL33" s="2"/>
      <c r="BM33" s="2">
        <v>22001</v>
      </c>
      <c r="BN33" s="2">
        <v>0</v>
      </c>
      <c r="BO33" s="2" t="s">
        <v>3</v>
      </c>
      <c r="BP33" s="2">
        <v>0</v>
      </c>
      <c r="BQ33" s="2">
        <v>2</v>
      </c>
      <c r="BR33" s="2">
        <v>0</v>
      </c>
      <c r="BS33" s="2">
        <v>1</v>
      </c>
      <c r="BT33" s="2">
        <v>1</v>
      </c>
      <c r="BU33" s="2">
        <v>1</v>
      </c>
      <c r="BV33" s="2">
        <v>1</v>
      </c>
      <c r="BW33" s="2">
        <v>1</v>
      </c>
      <c r="BX33" s="2">
        <v>1</v>
      </c>
      <c r="BY33" s="2" t="s">
        <v>3</v>
      </c>
      <c r="BZ33" s="2">
        <v>117</v>
      </c>
      <c r="CA33" s="2">
        <v>74</v>
      </c>
      <c r="CB33" s="2" t="s">
        <v>3</v>
      </c>
      <c r="CC33" s="2"/>
      <c r="CD33" s="2"/>
      <c r="CE33" s="2">
        <v>0</v>
      </c>
      <c r="CF33" s="2">
        <v>0</v>
      </c>
      <c r="CG33" s="2">
        <v>0</v>
      </c>
      <c r="CH33" s="2"/>
      <c r="CI33" s="2"/>
      <c r="CJ33" s="2"/>
      <c r="CK33" s="2"/>
      <c r="CL33" s="2"/>
      <c r="CM33" s="2">
        <v>0</v>
      </c>
      <c r="CN33" s="2" t="s">
        <v>3</v>
      </c>
      <c r="CO33" s="2">
        <v>0</v>
      </c>
      <c r="CP33" s="2">
        <f t="shared" si="22"/>
        <v>205.73</v>
      </c>
      <c r="CQ33" s="2">
        <f>SUMIF(SmtRes!AQ35:'SmtRes'!AQ45,"=1",SmtRes!AA35:'SmtRes'!AA45)</f>
        <v>687271.95</v>
      </c>
      <c r="CR33" s="2">
        <f>SUMIF(SmtRes!AQ35:'SmtRes'!AQ45,"=1",SmtRes!AB35:'SmtRes'!AB45)</f>
        <v>5715.22</v>
      </c>
      <c r="CS33" s="2">
        <f>SUMIF(SmtRes!AQ35:'SmtRes'!AQ45,"=1",SmtRes!AC35:'SmtRes'!AC45)</f>
        <v>1572.97</v>
      </c>
      <c r="CT33" s="2">
        <f>SUMIF(SmtRes!AQ35:'SmtRes'!AQ45,"=1",SmtRes!AD35:'SmtRes'!AD45)</f>
        <v>445.73</v>
      </c>
      <c r="CU33" s="2">
        <f t="shared" si="23"/>
        <v>0</v>
      </c>
      <c r="CV33" s="2">
        <f>SUMIF(SmtRes!AQ35:'SmtRes'!AQ45,"=1",SmtRes!BU35:'SmtRes'!BU45)</f>
        <v>140</v>
      </c>
      <c r="CW33" s="2">
        <f>SUMIF(SmtRes!AQ35:'SmtRes'!AQ45,"=1",SmtRes!BV35:'SmtRes'!BV45)</f>
        <v>23.17</v>
      </c>
      <c r="CX33" s="2">
        <f t="shared" si="24"/>
        <v>0</v>
      </c>
      <c r="CY33" s="2">
        <f t="shared" si="25"/>
        <v>88.662599999999998</v>
      </c>
      <c r="CZ33" s="2">
        <f t="shared" si="26"/>
        <v>56.077200000000005</v>
      </c>
      <c r="DA33" s="2"/>
      <c r="DB33" s="2"/>
      <c r="DC33" s="2" t="s">
        <v>3</v>
      </c>
      <c r="DD33" s="2" t="s">
        <v>3</v>
      </c>
      <c r="DE33" s="2" t="s">
        <v>3</v>
      </c>
      <c r="DF33" s="2" t="s">
        <v>3</v>
      </c>
      <c r="DG33" s="2" t="s">
        <v>3</v>
      </c>
      <c r="DH33" s="2" t="s">
        <v>3</v>
      </c>
      <c r="DI33" s="2" t="s">
        <v>3</v>
      </c>
      <c r="DJ33" s="2" t="s">
        <v>3</v>
      </c>
      <c r="DK33" s="2" t="s">
        <v>3</v>
      </c>
      <c r="DL33" s="2" t="s">
        <v>3</v>
      </c>
      <c r="DM33" s="2" t="s">
        <v>3</v>
      </c>
      <c r="DN33" s="2">
        <v>0</v>
      </c>
      <c r="DO33" s="2">
        <v>0</v>
      </c>
      <c r="DP33" s="2">
        <v>1</v>
      </c>
      <c r="DQ33" s="2">
        <v>1</v>
      </c>
      <c r="DR33" s="2"/>
      <c r="DS33" s="2"/>
      <c r="DT33" s="2"/>
      <c r="DU33" s="2">
        <v>1003</v>
      </c>
      <c r="DV33" s="2" t="s">
        <v>78</v>
      </c>
      <c r="DW33" s="2" t="s">
        <v>78</v>
      </c>
      <c r="DX33" s="2">
        <v>1000</v>
      </c>
      <c r="DY33" s="2"/>
      <c r="DZ33" s="2" t="s">
        <v>3</v>
      </c>
      <c r="EA33" s="2" t="s">
        <v>3</v>
      </c>
      <c r="EB33" s="2" t="s">
        <v>3</v>
      </c>
      <c r="EC33" s="2" t="s">
        <v>3</v>
      </c>
      <c r="ED33" s="2"/>
      <c r="EE33" s="2">
        <v>35227793</v>
      </c>
      <c r="EF33" s="2">
        <v>2</v>
      </c>
      <c r="EG33" s="2" t="s">
        <v>21</v>
      </c>
      <c r="EH33" s="2">
        <v>18</v>
      </c>
      <c r="EI33" s="2" t="s">
        <v>35</v>
      </c>
      <c r="EJ33" s="2">
        <v>1</v>
      </c>
      <c r="EK33" s="2">
        <v>22001</v>
      </c>
      <c r="EL33" s="2" t="s">
        <v>35</v>
      </c>
      <c r="EM33" s="2" t="s">
        <v>80</v>
      </c>
      <c r="EN33" s="2"/>
      <c r="EO33" s="2" t="s">
        <v>3</v>
      </c>
      <c r="EP33" s="2"/>
      <c r="EQ33" s="2">
        <v>0</v>
      </c>
      <c r="ER33" s="2">
        <v>0</v>
      </c>
      <c r="ES33" s="2">
        <v>0</v>
      </c>
      <c r="ET33" s="2">
        <v>0</v>
      </c>
      <c r="EU33" s="2">
        <v>0</v>
      </c>
      <c r="EV33" s="2">
        <v>0</v>
      </c>
      <c r="EW33" s="2">
        <v>140</v>
      </c>
      <c r="EX33" s="2">
        <v>23.17</v>
      </c>
      <c r="EY33" s="2">
        <v>0</v>
      </c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>
        <v>0</v>
      </c>
      <c r="FR33" s="2">
        <v>0</v>
      </c>
      <c r="FS33" s="2">
        <v>0</v>
      </c>
      <c r="FT33" s="2"/>
      <c r="FU33" s="2"/>
      <c r="FV33" s="2"/>
      <c r="FW33" s="2"/>
      <c r="FX33" s="2">
        <v>117</v>
      </c>
      <c r="FY33" s="2">
        <v>74</v>
      </c>
      <c r="FZ33" s="2"/>
      <c r="GA33" s="2" t="s">
        <v>3</v>
      </c>
      <c r="GB33" s="2"/>
      <c r="GC33" s="2"/>
      <c r="GD33" s="2">
        <v>1</v>
      </c>
      <c r="GE33" s="2"/>
      <c r="GF33" s="2">
        <v>-1861455940</v>
      </c>
      <c r="GG33" s="2">
        <v>2</v>
      </c>
      <c r="GH33" s="2">
        <v>1</v>
      </c>
      <c r="GI33" s="2">
        <v>-2</v>
      </c>
      <c r="GJ33" s="2">
        <v>0</v>
      </c>
      <c r="GK33" s="2">
        <v>0</v>
      </c>
      <c r="GL33" s="2">
        <f t="shared" si="27"/>
        <v>0</v>
      </c>
      <c r="GM33" s="2">
        <f t="shared" si="28"/>
        <v>350.47</v>
      </c>
      <c r="GN33" s="2">
        <f t="shared" si="29"/>
        <v>350.47</v>
      </c>
      <c r="GO33" s="2">
        <f t="shared" si="30"/>
        <v>0</v>
      </c>
      <c r="GP33" s="2">
        <f t="shared" si="31"/>
        <v>0</v>
      </c>
      <c r="GQ33" s="2"/>
      <c r="GR33" s="2">
        <v>0</v>
      </c>
      <c r="GS33" s="2">
        <v>3</v>
      </c>
      <c r="GT33" s="2">
        <v>0</v>
      </c>
      <c r="GU33" s="2" t="s">
        <v>3</v>
      </c>
      <c r="GV33" s="2">
        <f t="shared" si="32"/>
        <v>0</v>
      </c>
      <c r="GW33" s="2">
        <v>1</v>
      </c>
      <c r="GX33" s="2">
        <f t="shared" si="33"/>
        <v>0</v>
      </c>
      <c r="GY33" s="2"/>
      <c r="GZ33" s="2"/>
      <c r="HA33" s="2">
        <v>0</v>
      </c>
      <c r="HB33" s="2">
        <v>0</v>
      </c>
      <c r="HC33" s="2">
        <f t="shared" si="34"/>
        <v>0</v>
      </c>
      <c r="HD33" s="2"/>
      <c r="HE33" s="2" t="s">
        <v>3</v>
      </c>
      <c r="HF33" s="2" t="s">
        <v>3</v>
      </c>
      <c r="HG33" s="2"/>
      <c r="HH33" s="2"/>
      <c r="HI33" s="2"/>
      <c r="HJ33" s="2"/>
      <c r="HK33" s="2"/>
      <c r="HL33" s="2"/>
      <c r="HM33" s="2" t="s">
        <v>3</v>
      </c>
      <c r="HN33" s="2" t="s">
        <v>38</v>
      </c>
      <c r="HO33" s="2" t="s">
        <v>39</v>
      </c>
      <c r="HP33" s="2" t="s">
        <v>35</v>
      </c>
      <c r="HQ33" s="2" t="s">
        <v>35</v>
      </c>
      <c r="HR33" s="2"/>
      <c r="HS33" s="2">
        <v>0</v>
      </c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>
        <v>0</v>
      </c>
      <c r="IL33" s="2"/>
      <c r="IM33" s="2"/>
      <c r="IN33" s="2"/>
      <c r="IO33" s="2"/>
      <c r="IP33" s="2"/>
      <c r="IQ33" s="2"/>
      <c r="IR33" s="2"/>
      <c r="IS33" s="2"/>
      <c r="IT33" s="2"/>
      <c r="IU33" s="2"/>
    </row>
    <row r="34" spans="1:255">
      <c r="A34" s="2">
        <v>18</v>
      </c>
      <c r="B34" s="2">
        <v>1</v>
      </c>
      <c r="C34" s="2">
        <v>45</v>
      </c>
      <c r="D34" s="2"/>
      <c r="E34" s="2" t="s">
        <v>81</v>
      </c>
      <c r="F34" s="2" t="s">
        <v>82</v>
      </c>
      <c r="G34" s="2" t="s">
        <v>83</v>
      </c>
      <c r="H34" s="2" t="s">
        <v>84</v>
      </c>
      <c r="I34" s="2">
        <f>I33*J34</f>
        <v>1E-3</v>
      </c>
      <c r="J34" s="2">
        <v>1</v>
      </c>
      <c r="K34" s="2">
        <v>1</v>
      </c>
      <c r="L34" s="2"/>
      <c r="M34" s="2"/>
      <c r="N34" s="2"/>
      <c r="O34" s="2">
        <f t="shared" si="14"/>
        <v>522.98</v>
      </c>
      <c r="P34" s="2">
        <f>ROUND(CQ34*I34,2)</f>
        <v>522.98</v>
      </c>
      <c r="Q34" s="2">
        <f>ROUND(CR34*I34,2)</f>
        <v>0</v>
      </c>
      <c r="R34" s="2">
        <f>ROUND(CS34*I34,2)</f>
        <v>0</v>
      </c>
      <c r="S34" s="2">
        <f>ROUND(CT34*I34,2)</f>
        <v>0</v>
      </c>
      <c r="T34" s="2">
        <f t="shared" si="15"/>
        <v>0</v>
      </c>
      <c r="U34" s="2">
        <f>ROUND(CV34*I34,7)</f>
        <v>0</v>
      </c>
      <c r="V34" s="2">
        <f>ROUND(CW34*I34,7)</f>
        <v>0</v>
      </c>
      <c r="W34" s="2">
        <f t="shared" si="16"/>
        <v>0</v>
      </c>
      <c r="X34" s="2">
        <f t="shared" si="17"/>
        <v>0</v>
      </c>
      <c r="Y34" s="2">
        <f t="shared" si="18"/>
        <v>0</v>
      </c>
      <c r="Z34" s="2"/>
      <c r="AA34" s="2">
        <v>38182922</v>
      </c>
      <c r="AB34" s="2">
        <f t="shared" si="19"/>
        <v>411791.94</v>
      </c>
      <c r="AC34" s="2">
        <f>ROUND((ES34),6)</f>
        <v>411791.94</v>
      </c>
      <c r="AD34" s="2">
        <f>ROUND((((ET34)-(EU34))+AE34),6)</f>
        <v>0</v>
      </c>
      <c r="AE34" s="2">
        <f>ROUND((EU34),6)</f>
        <v>0</v>
      </c>
      <c r="AF34" s="2">
        <f>ROUND((EV34),6)</f>
        <v>0</v>
      </c>
      <c r="AG34" s="2">
        <f t="shared" si="20"/>
        <v>0</v>
      </c>
      <c r="AH34" s="2">
        <f>(EW34)</f>
        <v>0</v>
      </c>
      <c r="AI34" s="2">
        <f>(EX34)</f>
        <v>0</v>
      </c>
      <c r="AJ34" s="2">
        <f t="shared" si="21"/>
        <v>0</v>
      </c>
      <c r="AK34" s="2">
        <v>411791.94</v>
      </c>
      <c r="AL34" s="2">
        <v>411791.94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117</v>
      </c>
      <c r="AU34" s="2">
        <v>74</v>
      </c>
      <c r="AV34" s="2">
        <v>1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1.27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3</v>
      </c>
      <c r="BI34" s="2">
        <v>1</v>
      </c>
      <c r="BJ34" s="2" t="s">
        <v>85</v>
      </c>
      <c r="BK34" s="2"/>
      <c r="BL34" s="2"/>
      <c r="BM34" s="2">
        <v>22001</v>
      </c>
      <c r="BN34" s="2">
        <v>0</v>
      </c>
      <c r="BO34" s="2" t="s">
        <v>82</v>
      </c>
      <c r="BP34" s="2">
        <v>1</v>
      </c>
      <c r="BQ34" s="2">
        <v>2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117</v>
      </c>
      <c r="CA34" s="2">
        <v>74</v>
      </c>
      <c r="CB34" s="2" t="s">
        <v>3</v>
      </c>
      <c r="CC34" s="2"/>
      <c r="CD34" s="2"/>
      <c r="CE34" s="2">
        <v>0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3</v>
      </c>
      <c r="CO34" s="2">
        <v>0</v>
      </c>
      <c r="CP34" s="2">
        <f t="shared" si="22"/>
        <v>522.98</v>
      </c>
      <c r="CQ34" s="2">
        <f>ROUND(AL34*BC34,2)</f>
        <v>522975.76</v>
      </c>
      <c r="CR34" s="2">
        <f>ROUND(AM34*BB34,2)</f>
        <v>0</v>
      </c>
      <c r="CS34" s="2">
        <f>ROUND(AN34*BS34,2)</f>
        <v>0</v>
      </c>
      <c r="CT34" s="2">
        <f>ROUND(AO34*BA34,2)</f>
        <v>0</v>
      </c>
      <c r="CU34" s="2">
        <f t="shared" si="23"/>
        <v>0</v>
      </c>
      <c r="CV34" s="2">
        <f>AH34</f>
        <v>0</v>
      </c>
      <c r="CW34" s="2">
        <f>AI34</f>
        <v>0</v>
      </c>
      <c r="CX34" s="2">
        <f t="shared" si="24"/>
        <v>0</v>
      </c>
      <c r="CY34" s="2">
        <f t="shared" si="25"/>
        <v>0</v>
      </c>
      <c r="CZ34" s="2">
        <f t="shared" si="26"/>
        <v>0</v>
      </c>
      <c r="DA34" s="2"/>
      <c r="DB34" s="2"/>
      <c r="DC34" s="2" t="s">
        <v>3</v>
      </c>
      <c r="DD34" s="2" t="s">
        <v>3</v>
      </c>
      <c r="DE34" s="2" t="s">
        <v>3</v>
      </c>
      <c r="DF34" s="2" t="s">
        <v>3</v>
      </c>
      <c r="DG34" s="2" t="s">
        <v>3</v>
      </c>
      <c r="DH34" s="2" t="s">
        <v>3</v>
      </c>
      <c r="DI34" s="2" t="s">
        <v>3</v>
      </c>
      <c r="DJ34" s="2" t="s">
        <v>3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1009</v>
      </c>
      <c r="DV34" s="2" t="s">
        <v>84</v>
      </c>
      <c r="DW34" s="2" t="s">
        <v>84</v>
      </c>
      <c r="DX34" s="2">
        <v>1000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35227793</v>
      </c>
      <c r="EF34" s="2">
        <v>2</v>
      </c>
      <c r="EG34" s="2" t="s">
        <v>21</v>
      </c>
      <c r="EH34" s="2">
        <v>18</v>
      </c>
      <c r="EI34" s="2" t="s">
        <v>35</v>
      </c>
      <c r="EJ34" s="2">
        <v>1</v>
      </c>
      <c r="EK34" s="2">
        <v>22001</v>
      </c>
      <c r="EL34" s="2" t="s">
        <v>35</v>
      </c>
      <c r="EM34" s="2" t="s">
        <v>80</v>
      </c>
      <c r="EN34" s="2"/>
      <c r="EO34" s="2" t="s">
        <v>3</v>
      </c>
      <c r="EP34" s="2"/>
      <c r="EQ34" s="2">
        <v>0</v>
      </c>
      <c r="ER34" s="2">
        <v>411791.94</v>
      </c>
      <c r="ES34" s="2">
        <v>411791.94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v>0</v>
      </c>
      <c r="FS34" s="2">
        <v>0</v>
      </c>
      <c r="FT34" s="2"/>
      <c r="FU34" s="2"/>
      <c r="FV34" s="2"/>
      <c r="FW34" s="2"/>
      <c r="FX34" s="2">
        <v>117</v>
      </c>
      <c r="FY34" s="2">
        <v>74</v>
      </c>
      <c r="FZ34" s="2"/>
      <c r="GA34" s="2" t="s">
        <v>3</v>
      </c>
      <c r="GB34" s="2"/>
      <c r="GC34" s="2"/>
      <c r="GD34" s="2">
        <v>1</v>
      </c>
      <c r="GE34" s="2"/>
      <c r="GF34" s="2">
        <v>7353553</v>
      </c>
      <c r="GG34" s="2">
        <v>2</v>
      </c>
      <c r="GH34" s="2">
        <v>1</v>
      </c>
      <c r="GI34" s="2">
        <v>2</v>
      </c>
      <c r="GJ34" s="2">
        <v>0</v>
      </c>
      <c r="GK34" s="2">
        <v>0</v>
      </c>
      <c r="GL34" s="2">
        <f t="shared" si="27"/>
        <v>0</v>
      </c>
      <c r="GM34" s="2">
        <f t="shared" si="28"/>
        <v>522.98</v>
      </c>
      <c r="GN34" s="2">
        <f t="shared" si="29"/>
        <v>522.98</v>
      </c>
      <c r="GO34" s="2">
        <f t="shared" si="30"/>
        <v>0</v>
      </c>
      <c r="GP34" s="2">
        <f t="shared" si="31"/>
        <v>0</v>
      </c>
      <c r="GQ34" s="2"/>
      <c r="GR34" s="2">
        <v>0</v>
      </c>
      <c r="GS34" s="2">
        <v>3</v>
      </c>
      <c r="GT34" s="2">
        <v>0</v>
      </c>
      <c r="GU34" s="2" t="s">
        <v>3</v>
      </c>
      <c r="GV34" s="2">
        <f t="shared" si="32"/>
        <v>0</v>
      </c>
      <c r="GW34" s="2">
        <v>1</v>
      </c>
      <c r="GX34" s="2">
        <f t="shared" si="33"/>
        <v>0</v>
      </c>
      <c r="GY34" s="2"/>
      <c r="GZ34" s="2"/>
      <c r="HA34" s="2">
        <v>0</v>
      </c>
      <c r="HB34" s="2">
        <v>0</v>
      </c>
      <c r="HC34" s="2">
        <f t="shared" si="34"/>
        <v>0</v>
      </c>
      <c r="HD34" s="2"/>
      <c r="HE34" s="2" t="s">
        <v>3</v>
      </c>
      <c r="HF34" s="2" t="s">
        <v>3</v>
      </c>
      <c r="HG34" s="2"/>
      <c r="HH34" s="2"/>
      <c r="HI34" s="2"/>
      <c r="HJ34" s="2"/>
      <c r="HK34" s="2"/>
      <c r="HL34" s="2"/>
      <c r="HM34" s="2" t="s">
        <v>3</v>
      </c>
      <c r="HN34" s="2" t="s">
        <v>38</v>
      </c>
      <c r="HO34" s="2" t="s">
        <v>39</v>
      </c>
      <c r="HP34" s="2" t="s">
        <v>35</v>
      </c>
      <c r="HQ34" s="2" t="s">
        <v>35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>
      <c r="A35" s="2">
        <v>18</v>
      </c>
      <c r="B35" s="2">
        <v>1</v>
      </c>
      <c r="C35" s="2">
        <v>43</v>
      </c>
      <c r="D35" s="2"/>
      <c r="E35" s="2" t="s">
        <v>86</v>
      </c>
      <c r="F35" s="2" t="s">
        <v>87</v>
      </c>
      <c r="G35" s="2" t="s">
        <v>88</v>
      </c>
      <c r="H35" s="2" t="s">
        <v>89</v>
      </c>
      <c r="I35" s="2">
        <f>I33*J35</f>
        <v>0.85</v>
      </c>
      <c r="J35" s="2">
        <v>850</v>
      </c>
      <c r="K35" s="2">
        <v>850</v>
      </c>
      <c r="L35" s="2"/>
      <c r="M35" s="2"/>
      <c r="N35" s="2"/>
      <c r="O35" s="2">
        <f t="shared" si="14"/>
        <v>146.88999999999999</v>
      </c>
      <c r="P35" s="2">
        <f>ROUND(CQ35*I35,2)</f>
        <v>146.88999999999999</v>
      </c>
      <c r="Q35" s="2">
        <f>ROUND(CR35*I35,2)</f>
        <v>0</v>
      </c>
      <c r="R35" s="2">
        <f>ROUND(CS35*I35,2)</f>
        <v>0</v>
      </c>
      <c r="S35" s="2">
        <f>ROUND(CT35*I35,2)</f>
        <v>0</v>
      </c>
      <c r="T35" s="2">
        <f t="shared" si="15"/>
        <v>0</v>
      </c>
      <c r="U35" s="2">
        <f>ROUND(CV35*I35,7)</f>
        <v>0</v>
      </c>
      <c r="V35" s="2">
        <f>ROUND(CW35*I35,7)</f>
        <v>0</v>
      </c>
      <c r="W35" s="2">
        <f t="shared" si="16"/>
        <v>0</v>
      </c>
      <c r="X35" s="2">
        <f t="shared" si="17"/>
        <v>0</v>
      </c>
      <c r="Y35" s="2">
        <f t="shared" si="18"/>
        <v>0</v>
      </c>
      <c r="Z35" s="2"/>
      <c r="AA35" s="2">
        <v>38182922</v>
      </c>
      <c r="AB35" s="2">
        <f t="shared" si="19"/>
        <v>126.14</v>
      </c>
      <c r="AC35" s="2">
        <f>ROUND((ES35),6)</f>
        <v>126.14</v>
      </c>
      <c r="AD35" s="2">
        <f>ROUND((((ET35)-(EU35))+AE35),6)</f>
        <v>0</v>
      </c>
      <c r="AE35" s="2">
        <f>ROUND((EU35),6)</f>
        <v>0</v>
      </c>
      <c r="AF35" s="2">
        <f>ROUND((EV35),6)</f>
        <v>0</v>
      </c>
      <c r="AG35" s="2">
        <f t="shared" si="20"/>
        <v>0</v>
      </c>
      <c r="AH35" s="2">
        <f>(EW35)</f>
        <v>0</v>
      </c>
      <c r="AI35" s="2">
        <f>(EX35)</f>
        <v>0</v>
      </c>
      <c r="AJ35" s="2">
        <f t="shared" si="21"/>
        <v>0</v>
      </c>
      <c r="AK35" s="2">
        <v>126.14</v>
      </c>
      <c r="AL35" s="2">
        <v>126.14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117</v>
      </c>
      <c r="AU35" s="2">
        <v>74</v>
      </c>
      <c r="AV35" s="2">
        <v>1</v>
      </c>
      <c r="AW35" s="2">
        <v>1</v>
      </c>
      <c r="AX35" s="2"/>
      <c r="AY35" s="2"/>
      <c r="AZ35" s="2">
        <v>1</v>
      </c>
      <c r="BA35" s="2">
        <v>1</v>
      </c>
      <c r="BB35" s="2">
        <v>1</v>
      </c>
      <c r="BC35" s="2">
        <v>1.37</v>
      </c>
      <c r="BD35" s="2" t="s">
        <v>3</v>
      </c>
      <c r="BE35" s="2" t="s">
        <v>3</v>
      </c>
      <c r="BF35" s="2" t="s">
        <v>3</v>
      </c>
      <c r="BG35" s="2" t="s">
        <v>3</v>
      </c>
      <c r="BH35" s="2">
        <v>3</v>
      </c>
      <c r="BI35" s="2">
        <v>1</v>
      </c>
      <c r="BJ35" s="2" t="s">
        <v>90</v>
      </c>
      <c r="BK35" s="2"/>
      <c r="BL35" s="2"/>
      <c r="BM35" s="2">
        <v>22001</v>
      </c>
      <c r="BN35" s="2">
        <v>0</v>
      </c>
      <c r="BO35" s="2" t="s">
        <v>87</v>
      </c>
      <c r="BP35" s="2">
        <v>1</v>
      </c>
      <c r="BQ35" s="2">
        <v>2</v>
      </c>
      <c r="BR35" s="2">
        <v>0</v>
      </c>
      <c r="BS35" s="2">
        <v>1</v>
      </c>
      <c r="BT35" s="2">
        <v>1</v>
      </c>
      <c r="BU35" s="2">
        <v>1</v>
      </c>
      <c r="BV35" s="2">
        <v>1</v>
      </c>
      <c r="BW35" s="2">
        <v>1</v>
      </c>
      <c r="BX35" s="2">
        <v>1</v>
      </c>
      <c r="BY35" s="2" t="s">
        <v>3</v>
      </c>
      <c r="BZ35" s="2">
        <v>117</v>
      </c>
      <c r="CA35" s="2">
        <v>74</v>
      </c>
      <c r="CB35" s="2" t="s">
        <v>3</v>
      </c>
      <c r="CC35" s="2"/>
      <c r="CD35" s="2"/>
      <c r="CE35" s="2">
        <v>0</v>
      </c>
      <c r="CF35" s="2">
        <v>0</v>
      </c>
      <c r="CG35" s="2">
        <v>0</v>
      </c>
      <c r="CH35" s="2"/>
      <c r="CI35" s="2"/>
      <c r="CJ35" s="2"/>
      <c r="CK35" s="2"/>
      <c r="CL35" s="2"/>
      <c r="CM35" s="2">
        <v>0</v>
      </c>
      <c r="CN35" s="2" t="s">
        <v>3</v>
      </c>
      <c r="CO35" s="2">
        <v>0</v>
      </c>
      <c r="CP35" s="2">
        <f t="shared" si="22"/>
        <v>146.88999999999999</v>
      </c>
      <c r="CQ35" s="2">
        <f>ROUND(AL35*BC35,2)</f>
        <v>172.81</v>
      </c>
      <c r="CR35" s="2">
        <f>ROUND(AM35*BB35,2)</f>
        <v>0</v>
      </c>
      <c r="CS35" s="2">
        <f>ROUND(AN35*BS35,2)</f>
        <v>0</v>
      </c>
      <c r="CT35" s="2">
        <f>ROUND(AO35*BA35,2)</f>
        <v>0</v>
      </c>
      <c r="CU35" s="2">
        <f t="shared" si="23"/>
        <v>0</v>
      </c>
      <c r="CV35" s="2">
        <f>AH35</f>
        <v>0</v>
      </c>
      <c r="CW35" s="2">
        <f>AI35</f>
        <v>0</v>
      </c>
      <c r="CX35" s="2">
        <f t="shared" si="24"/>
        <v>0</v>
      </c>
      <c r="CY35" s="2">
        <f t="shared" si="25"/>
        <v>0</v>
      </c>
      <c r="CZ35" s="2">
        <f t="shared" si="26"/>
        <v>0</v>
      </c>
      <c r="DA35" s="2"/>
      <c r="DB35" s="2"/>
      <c r="DC35" s="2" t="s">
        <v>3</v>
      </c>
      <c r="DD35" s="2" t="s">
        <v>3</v>
      </c>
      <c r="DE35" s="2" t="s">
        <v>3</v>
      </c>
      <c r="DF35" s="2" t="s">
        <v>3</v>
      </c>
      <c r="DG35" s="2" t="s">
        <v>3</v>
      </c>
      <c r="DH35" s="2" t="s">
        <v>3</v>
      </c>
      <c r="DI35" s="2" t="s">
        <v>3</v>
      </c>
      <c r="DJ35" s="2" t="s">
        <v>3</v>
      </c>
      <c r="DK35" s="2" t="s">
        <v>3</v>
      </c>
      <c r="DL35" s="2" t="s">
        <v>3</v>
      </c>
      <c r="DM35" s="2" t="s">
        <v>3</v>
      </c>
      <c r="DN35" s="2">
        <v>0</v>
      </c>
      <c r="DO35" s="2">
        <v>0</v>
      </c>
      <c r="DP35" s="2">
        <v>1</v>
      </c>
      <c r="DQ35" s="2">
        <v>1</v>
      </c>
      <c r="DR35" s="2"/>
      <c r="DS35" s="2"/>
      <c r="DT35" s="2"/>
      <c r="DU35" s="2">
        <v>1005</v>
      </c>
      <c r="DV35" s="2" t="s">
        <v>89</v>
      </c>
      <c r="DW35" s="2" t="s">
        <v>89</v>
      </c>
      <c r="DX35" s="2">
        <v>1</v>
      </c>
      <c r="DY35" s="2"/>
      <c r="DZ35" s="2" t="s">
        <v>3</v>
      </c>
      <c r="EA35" s="2" t="s">
        <v>3</v>
      </c>
      <c r="EB35" s="2" t="s">
        <v>3</v>
      </c>
      <c r="EC35" s="2" t="s">
        <v>3</v>
      </c>
      <c r="ED35" s="2"/>
      <c r="EE35" s="2">
        <v>35227793</v>
      </c>
      <c r="EF35" s="2">
        <v>2</v>
      </c>
      <c r="EG35" s="2" t="s">
        <v>21</v>
      </c>
      <c r="EH35" s="2">
        <v>18</v>
      </c>
      <c r="EI35" s="2" t="s">
        <v>35</v>
      </c>
      <c r="EJ35" s="2">
        <v>1</v>
      </c>
      <c r="EK35" s="2">
        <v>22001</v>
      </c>
      <c r="EL35" s="2" t="s">
        <v>35</v>
      </c>
      <c r="EM35" s="2" t="s">
        <v>80</v>
      </c>
      <c r="EN35" s="2"/>
      <c r="EO35" s="2" t="s">
        <v>3</v>
      </c>
      <c r="EP35" s="2"/>
      <c r="EQ35" s="2">
        <v>0</v>
      </c>
      <c r="ER35" s="2">
        <v>126.14</v>
      </c>
      <c r="ES35" s="2">
        <v>126.14</v>
      </c>
      <c r="ET35" s="2">
        <v>0</v>
      </c>
      <c r="EU35" s="2">
        <v>0</v>
      </c>
      <c r="EV35" s="2">
        <v>0</v>
      </c>
      <c r="EW35" s="2">
        <v>0</v>
      </c>
      <c r="EX35" s="2">
        <v>0</v>
      </c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>
        <v>0</v>
      </c>
      <c r="FR35" s="2">
        <v>0</v>
      </c>
      <c r="FS35" s="2">
        <v>0</v>
      </c>
      <c r="FT35" s="2"/>
      <c r="FU35" s="2"/>
      <c r="FV35" s="2"/>
      <c r="FW35" s="2"/>
      <c r="FX35" s="2">
        <v>117</v>
      </c>
      <c r="FY35" s="2">
        <v>74</v>
      </c>
      <c r="FZ35" s="2"/>
      <c r="GA35" s="2" t="s">
        <v>3</v>
      </c>
      <c r="GB35" s="2"/>
      <c r="GC35" s="2"/>
      <c r="GD35" s="2">
        <v>1</v>
      </c>
      <c r="GE35" s="2"/>
      <c r="GF35" s="2">
        <v>-848550540</v>
      </c>
      <c r="GG35" s="2">
        <v>2</v>
      </c>
      <c r="GH35" s="2">
        <v>1</v>
      </c>
      <c r="GI35" s="2">
        <v>2</v>
      </c>
      <c r="GJ35" s="2">
        <v>0</v>
      </c>
      <c r="GK35" s="2">
        <v>0</v>
      </c>
      <c r="GL35" s="2">
        <f t="shared" si="27"/>
        <v>0</v>
      </c>
      <c r="GM35" s="2">
        <f t="shared" si="28"/>
        <v>146.88999999999999</v>
      </c>
      <c r="GN35" s="2">
        <f t="shared" si="29"/>
        <v>146.88999999999999</v>
      </c>
      <c r="GO35" s="2">
        <f t="shared" si="30"/>
        <v>0</v>
      </c>
      <c r="GP35" s="2">
        <f t="shared" si="31"/>
        <v>0</v>
      </c>
      <c r="GQ35" s="2"/>
      <c r="GR35" s="2">
        <v>0</v>
      </c>
      <c r="GS35" s="2">
        <v>3</v>
      </c>
      <c r="GT35" s="2">
        <v>0</v>
      </c>
      <c r="GU35" s="2" t="s">
        <v>3</v>
      </c>
      <c r="GV35" s="2">
        <f t="shared" si="32"/>
        <v>0</v>
      </c>
      <c r="GW35" s="2">
        <v>1</v>
      </c>
      <c r="GX35" s="2">
        <f t="shared" si="33"/>
        <v>0</v>
      </c>
      <c r="GY35" s="2"/>
      <c r="GZ35" s="2"/>
      <c r="HA35" s="2">
        <v>0</v>
      </c>
      <c r="HB35" s="2">
        <v>0</v>
      </c>
      <c r="HC35" s="2">
        <f t="shared" si="34"/>
        <v>0</v>
      </c>
      <c r="HD35" s="2"/>
      <c r="HE35" s="2" t="s">
        <v>3</v>
      </c>
      <c r="HF35" s="2" t="s">
        <v>3</v>
      </c>
      <c r="HG35" s="2"/>
      <c r="HH35" s="2"/>
      <c r="HI35" s="2"/>
      <c r="HJ35" s="2"/>
      <c r="HK35" s="2"/>
      <c r="HL35" s="2"/>
      <c r="HM35" s="2" t="s">
        <v>3</v>
      </c>
      <c r="HN35" s="2" t="s">
        <v>38</v>
      </c>
      <c r="HO35" s="2" t="s">
        <v>39</v>
      </c>
      <c r="HP35" s="2" t="s">
        <v>35</v>
      </c>
      <c r="HQ35" s="2" t="s">
        <v>35</v>
      </c>
      <c r="HR35" s="2"/>
      <c r="HS35" s="2">
        <v>0</v>
      </c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>
        <v>0</v>
      </c>
      <c r="IL35" s="2"/>
      <c r="IM35" s="2"/>
      <c r="IN35" s="2"/>
      <c r="IO35" s="2"/>
      <c r="IP35" s="2"/>
      <c r="IQ35" s="2"/>
      <c r="IR35" s="2"/>
      <c r="IS35" s="2"/>
      <c r="IT35" s="2"/>
      <c r="IU35" s="2"/>
    </row>
    <row r="36" spans="1:255">
      <c r="A36" s="2">
        <v>17</v>
      </c>
      <c r="B36" s="2">
        <v>1</v>
      </c>
      <c r="C36" s="2">
        <f>ROW(SmtRes!A49)</f>
        <v>49</v>
      </c>
      <c r="D36" s="2">
        <f>ROW(EtalonRes!A48)</f>
        <v>48</v>
      </c>
      <c r="E36" s="2" t="s">
        <v>91</v>
      </c>
      <c r="F36" s="2" t="s">
        <v>92</v>
      </c>
      <c r="G36" s="2" t="s">
        <v>93</v>
      </c>
      <c r="H36" s="2" t="s">
        <v>94</v>
      </c>
      <c r="I36" s="2">
        <f>ROUND(ROUND(45/100,5),7)</f>
        <v>0.45</v>
      </c>
      <c r="J36" s="2">
        <v>0</v>
      </c>
      <c r="K36" s="2">
        <f>ROUND(ROUND(45/100,5),7)</f>
        <v>0.45</v>
      </c>
      <c r="L36" s="2"/>
      <c r="M36" s="2"/>
      <c r="N36" s="2"/>
      <c r="O36" s="2">
        <f t="shared" si="14"/>
        <v>3175.26</v>
      </c>
      <c r="P36" s="2">
        <f>SUMIF(SmtRes!AQ46:'SmtRes'!AQ49,"=1",SmtRes!DF46:'SmtRes'!DF49)</f>
        <v>0</v>
      </c>
      <c r="Q36" s="2">
        <f>SUMIF(SmtRes!AQ46:'SmtRes'!AQ49,"=1",SmtRes!DG46:'SmtRes'!DG49)</f>
        <v>497.77</v>
      </c>
      <c r="R36" s="2">
        <f>SUMIF(SmtRes!AQ46:'SmtRes'!AQ49,"=1",SmtRes!DH46:'SmtRes'!DH49)</f>
        <v>510.28</v>
      </c>
      <c r="S36" s="2">
        <f>SUMIF(SmtRes!AQ46:'SmtRes'!AQ49,"=1",SmtRes!DI46:'SmtRes'!DI49)</f>
        <v>2167.21</v>
      </c>
      <c r="T36" s="2">
        <f t="shared" si="15"/>
        <v>0</v>
      </c>
      <c r="U36" s="2">
        <f>SUMIF(SmtRes!AQ46:'SmtRes'!AQ49,"=1",SmtRes!CV46:'SmtRes'!CV49)</f>
        <v>5.6384999999999996</v>
      </c>
      <c r="V36" s="2">
        <f>SUMIF(SmtRes!AQ46:'SmtRes'!AQ49,"=1",SmtRes!CW46:'SmtRes'!CW49)</f>
        <v>1.179</v>
      </c>
      <c r="W36" s="2">
        <f t="shared" si="16"/>
        <v>0</v>
      </c>
      <c r="X36" s="2">
        <f t="shared" si="17"/>
        <v>2463.29</v>
      </c>
      <c r="Y36" s="2">
        <f t="shared" si="18"/>
        <v>1231.6500000000001</v>
      </c>
      <c r="Z36" s="2"/>
      <c r="AA36" s="2">
        <v>38182922</v>
      </c>
      <c r="AB36" s="2">
        <f t="shared" si="19"/>
        <v>5919.1252000000004</v>
      </c>
      <c r="AC36" s="2">
        <f>ROUND((0),6)</f>
        <v>0</v>
      </c>
      <c r="AD36" s="2">
        <f>ROUND((((SUM(SmtRes!BR46:'SmtRes'!BR49))-(SUM(SmtRes!BS46:'SmtRes'!BS49)))+AE36),6)</f>
        <v>1103.0944</v>
      </c>
      <c r="AE36" s="2">
        <f>ROUND((SUM(SmtRes!BS46:'SmtRes'!BS49)),6)</f>
        <v>1133.9621999999999</v>
      </c>
      <c r="AF36" s="2">
        <f>ROUND((SUM(SmtRes!BT46:'SmtRes'!BT49)),6)</f>
        <v>4816.0308000000005</v>
      </c>
      <c r="AG36" s="2">
        <f t="shared" si="20"/>
        <v>0</v>
      </c>
      <c r="AH36" s="2">
        <f>(SUM(SmtRes!BU46:'SmtRes'!BU49))</f>
        <v>12.53</v>
      </c>
      <c r="AI36" s="2">
        <f>(SUM(SmtRes!BV46:'SmtRes'!BV49))</f>
        <v>2.62</v>
      </c>
      <c r="AJ36" s="2">
        <f t="shared" si="21"/>
        <v>0</v>
      </c>
      <c r="AK36" s="2">
        <v>7053.0873999999994</v>
      </c>
      <c r="AL36" s="2">
        <v>0</v>
      </c>
      <c r="AM36" s="2">
        <v>1103.0944000000002</v>
      </c>
      <c r="AN36" s="2">
        <v>1133.9621999999999</v>
      </c>
      <c r="AO36" s="2">
        <v>4816.0307999999995</v>
      </c>
      <c r="AP36" s="2">
        <v>0</v>
      </c>
      <c r="AQ36" s="2">
        <v>12.53</v>
      </c>
      <c r="AR36" s="2">
        <v>2.62</v>
      </c>
      <c r="AS36" s="2">
        <v>0</v>
      </c>
      <c r="AT36" s="2">
        <v>92</v>
      </c>
      <c r="AU36" s="2">
        <v>46</v>
      </c>
      <c r="AV36" s="2">
        <v>1</v>
      </c>
      <c r="AW36" s="2">
        <v>1</v>
      </c>
      <c r="AX36" s="2"/>
      <c r="AY36" s="2"/>
      <c r="AZ36" s="2">
        <v>1</v>
      </c>
      <c r="BA36" s="2">
        <v>1</v>
      </c>
      <c r="BB36" s="2">
        <v>1</v>
      </c>
      <c r="BC36" s="2">
        <v>1</v>
      </c>
      <c r="BD36" s="2" t="s">
        <v>3</v>
      </c>
      <c r="BE36" s="2" t="s">
        <v>3</v>
      </c>
      <c r="BF36" s="2" t="s">
        <v>3</v>
      </c>
      <c r="BG36" s="2" t="s">
        <v>3</v>
      </c>
      <c r="BH36" s="2">
        <v>0</v>
      </c>
      <c r="BI36" s="2">
        <v>1</v>
      </c>
      <c r="BJ36" s="2" t="s">
        <v>95</v>
      </c>
      <c r="BK36" s="2"/>
      <c r="BL36" s="2"/>
      <c r="BM36" s="2">
        <v>1001</v>
      </c>
      <c r="BN36" s="2">
        <v>0</v>
      </c>
      <c r="BO36" s="2" t="s">
        <v>3</v>
      </c>
      <c r="BP36" s="2">
        <v>0</v>
      </c>
      <c r="BQ36" s="2">
        <v>2</v>
      </c>
      <c r="BR36" s="2">
        <v>0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 t="s">
        <v>3</v>
      </c>
      <c r="BZ36" s="2">
        <v>92</v>
      </c>
      <c r="CA36" s="2">
        <v>46</v>
      </c>
      <c r="CB36" s="2" t="s">
        <v>3</v>
      </c>
      <c r="CC36" s="2"/>
      <c r="CD36" s="2"/>
      <c r="CE36" s="2">
        <v>0</v>
      </c>
      <c r="CF36" s="2">
        <v>0</v>
      </c>
      <c r="CG36" s="2">
        <v>0</v>
      </c>
      <c r="CH36" s="2"/>
      <c r="CI36" s="2"/>
      <c r="CJ36" s="2"/>
      <c r="CK36" s="2"/>
      <c r="CL36" s="2"/>
      <c r="CM36" s="2">
        <v>0</v>
      </c>
      <c r="CN36" s="2" t="s">
        <v>3</v>
      </c>
      <c r="CO36" s="2">
        <v>0</v>
      </c>
      <c r="CP36" s="2">
        <f t="shared" si="22"/>
        <v>3175.26</v>
      </c>
      <c r="CQ36" s="2">
        <f>SUMIF(SmtRes!AQ46:'SmtRes'!AQ49,"=1",SmtRes!AA46:'SmtRes'!AA49)</f>
        <v>0</v>
      </c>
      <c r="CR36" s="2">
        <f>SUMIF(SmtRes!AQ46:'SmtRes'!AQ49,"=1",SmtRes!AB46:'SmtRes'!AB49)</f>
        <v>414.07</v>
      </c>
      <c r="CS36" s="2">
        <f>SUMIF(SmtRes!AQ46:'SmtRes'!AQ49,"=1",SmtRes!AC46:'SmtRes'!AC49)</f>
        <v>432.81</v>
      </c>
      <c r="CT36" s="2">
        <f>SUMIF(SmtRes!AQ46:'SmtRes'!AQ49,"=1",SmtRes!AD46:'SmtRes'!AD49)</f>
        <v>384.36</v>
      </c>
      <c r="CU36" s="2">
        <f t="shared" si="23"/>
        <v>0</v>
      </c>
      <c r="CV36" s="2">
        <f>SUMIF(SmtRes!AQ46:'SmtRes'!AQ49,"=1",SmtRes!BU46:'SmtRes'!BU49)</f>
        <v>12.53</v>
      </c>
      <c r="CW36" s="2">
        <f>SUMIF(SmtRes!AQ46:'SmtRes'!AQ49,"=1",SmtRes!BV46:'SmtRes'!BV49)</f>
        <v>2.62</v>
      </c>
      <c r="CX36" s="2">
        <f t="shared" si="24"/>
        <v>0</v>
      </c>
      <c r="CY36" s="2">
        <f t="shared" si="25"/>
        <v>2463.2907999999998</v>
      </c>
      <c r="CZ36" s="2">
        <f t="shared" si="26"/>
        <v>1231.6453999999999</v>
      </c>
      <c r="DA36" s="2"/>
      <c r="DB36" s="2"/>
      <c r="DC36" s="2" t="s">
        <v>3</v>
      </c>
      <c r="DD36" s="2" t="s">
        <v>3</v>
      </c>
      <c r="DE36" s="2" t="s">
        <v>3</v>
      </c>
      <c r="DF36" s="2" t="s">
        <v>3</v>
      </c>
      <c r="DG36" s="2" t="s">
        <v>3</v>
      </c>
      <c r="DH36" s="2" t="s">
        <v>3</v>
      </c>
      <c r="DI36" s="2" t="s">
        <v>3</v>
      </c>
      <c r="DJ36" s="2" t="s">
        <v>3</v>
      </c>
      <c r="DK36" s="2" t="s">
        <v>3</v>
      </c>
      <c r="DL36" s="2" t="s">
        <v>3</v>
      </c>
      <c r="DM36" s="2" t="s">
        <v>3</v>
      </c>
      <c r="DN36" s="2">
        <v>0</v>
      </c>
      <c r="DO36" s="2">
        <v>0</v>
      </c>
      <c r="DP36" s="2">
        <v>1</v>
      </c>
      <c r="DQ36" s="2">
        <v>1</v>
      </c>
      <c r="DR36" s="2"/>
      <c r="DS36" s="2"/>
      <c r="DT36" s="2"/>
      <c r="DU36" s="2">
        <v>1007</v>
      </c>
      <c r="DV36" s="2" t="s">
        <v>94</v>
      </c>
      <c r="DW36" s="2" t="s">
        <v>94</v>
      </c>
      <c r="DX36" s="2">
        <v>100</v>
      </c>
      <c r="DY36" s="2"/>
      <c r="DZ36" s="2" t="s">
        <v>3</v>
      </c>
      <c r="EA36" s="2" t="s">
        <v>3</v>
      </c>
      <c r="EB36" s="2" t="s">
        <v>3</v>
      </c>
      <c r="EC36" s="2" t="s">
        <v>3</v>
      </c>
      <c r="ED36" s="2"/>
      <c r="EE36" s="2">
        <v>35227734</v>
      </c>
      <c r="EF36" s="2">
        <v>2</v>
      </c>
      <c r="EG36" s="2" t="s">
        <v>21</v>
      </c>
      <c r="EH36" s="2">
        <v>1</v>
      </c>
      <c r="EI36" s="2" t="s">
        <v>22</v>
      </c>
      <c r="EJ36" s="2">
        <v>1</v>
      </c>
      <c r="EK36" s="2">
        <v>1001</v>
      </c>
      <c r="EL36" s="2" t="s">
        <v>23</v>
      </c>
      <c r="EM36" s="2" t="s">
        <v>24</v>
      </c>
      <c r="EN36" s="2"/>
      <c r="EO36" s="2" t="s">
        <v>3</v>
      </c>
      <c r="EP36" s="2"/>
      <c r="EQ36" s="2">
        <v>0</v>
      </c>
      <c r="ER36" s="2">
        <v>0</v>
      </c>
      <c r="ES36" s="2">
        <v>0</v>
      </c>
      <c r="ET36" s="2">
        <v>0</v>
      </c>
      <c r="EU36" s="2">
        <v>0</v>
      </c>
      <c r="EV36" s="2">
        <v>0</v>
      </c>
      <c r="EW36" s="2">
        <v>12.53</v>
      </c>
      <c r="EX36" s="2">
        <v>2.62</v>
      </c>
      <c r="EY36" s="2">
        <v>0</v>
      </c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>
        <v>0</v>
      </c>
      <c r="FR36" s="2">
        <v>0</v>
      </c>
      <c r="FS36" s="2">
        <v>0</v>
      </c>
      <c r="FT36" s="2"/>
      <c r="FU36" s="2"/>
      <c r="FV36" s="2"/>
      <c r="FW36" s="2"/>
      <c r="FX36" s="2">
        <v>92</v>
      </c>
      <c r="FY36" s="2">
        <v>46</v>
      </c>
      <c r="FZ36" s="2"/>
      <c r="GA36" s="2" t="s">
        <v>3</v>
      </c>
      <c r="GB36" s="2"/>
      <c r="GC36" s="2"/>
      <c r="GD36" s="2">
        <v>1</v>
      </c>
      <c r="GE36" s="2"/>
      <c r="GF36" s="2">
        <v>-719184649</v>
      </c>
      <c r="GG36" s="2">
        <v>2</v>
      </c>
      <c r="GH36" s="2">
        <v>1</v>
      </c>
      <c r="GI36" s="2">
        <v>-2</v>
      </c>
      <c r="GJ36" s="2">
        <v>0</v>
      </c>
      <c r="GK36" s="2">
        <v>0</v>
      </c>
      <c r="GL36" s="2">
        <f t="shared" si="27"/>
        <v>0</v>
      </c>
      <c r="GM36" s="2">
        <f t="shared" si="28"/>
        <v>6870.2</v>
      </c>
      <c r="GN36" s="2">
        <f t="shared" si="29"/>
        <v>6870.2</v>
      </c>
      <c r="GO36" s="2">
        <f t="shared" si="30"/>
        <v>0</v>
      </c>
      <c r="GP36" s="2">
        <f t="shared" si="31"/>
        <v>0</v>
      </c>
      <c r="GQ36" s="2"/>
      <c r="GR36" s="2">
        <v>0</v>
      </c>
      <c r="GS36" s="2">
        <v>3</v>
      </c>
      <c r="GT36" s="2">
        <v>0</v>
      </c>
      <c r="GU36" s="2" t="s">
        <v>3</v>
      </c>
      <c r="GV36" s="2">
        <f t="shared" si="32"/>
        <v>0</v>
      </c>
      <c r="GW36" s="2">
        <v>1</v>
      </c>
      <c r="GX36" s="2">
        <f t="shared" si="33"/>
        <v>0</v>
      </c>
      <c r="GY36" s="2"/>
      <c r="GZ36" s="2"/>
      <c r="HA36" s="2">
        <v>0</v>
      </c>
      <c r="HB36" s="2">
        <v>0</v>
      </c>
      <c r="HC36" s="2">
        <f t="shared" si="34"/>
        <v>0</v>
      </c>
      <c r="HD36" s="2"/>
      <c r="HE36" s="2" t="s">
        <v>3</v>
      </c>
      <c r="HF36" s="2" t="s">
        <v>3</v>
      </c>
      <c r="HG36" s="2"/>
      <c r="HH36" s="2"/>
      <c r="HI36" s="2"/>
      <c r="HJ36" s="2"/>
      <c r="HK36" s="2"/>
      <c r="HL36" s="2"/>
      <c r="HM36" s="2" t="s">
        <v>3</v>
      </c>
      <c r="HN36" s="2" t="s">
        <v>25</v>
      </c>
      <c r="HO36" s="2" t="s">
        <v>26</v>
      </c>
      <c r="HP36" s="2" t="s">
        <v>23</v>
      </c>
      <c r="HQ36" s="2" t="s">
        <v>23</v>
      </c>
      <c r="HR36" s="2"/>
      <c r="HS36" s="2">
        <v>0</v>
      </c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spans="1:255">
      <c r="A37" s="2">
        <v>17</v>
      </c>
      <c r="B37" s="2">
        <v>1</v>
      </c>
      <c r="C37" s="2">
        <f>ROW(SmtRes!A55)</f>
        <v>55</v>
      </c>
      <c r="D37" s="2">
        <f>ROW(EtalonRes!A53)</f>
        <v>53</v>
      </c>
      <c r="E37" s="2" t="s">
        <v>96</v>
      </c>
      <c r="F37" s="2" t="s">
        <v>97</v>
      </c>
      <c r="G37" s="2" t="s">
        <v>98</v>
      </c>
      <c r="H37" s="2" t="s">
        <v>99</v>
      </c>
      <c r="I37" s="2">
        <f>ROUND(ROUND(45/10,5),7)</f>
        <v>4.5</v>
      </c>
      <c r="J37" s="2">
        <v>0</v>
      </c>
      <c r="K37" s="2">
        <f>ROUND(ROUND(45/10,5),7)</f>
        <v>4.5</v>
      </c>
      <c r="L37" s="2"/>
      <c r="M37" s="2"/>
      <c r="N37" s="2"/>
      <c r="O37" s="2">
        <f t="shared" si="14"/>
        <v>55891.93</v>
      </c>
      <c r="P37" s="2">
        <f>SUMIF(SmtRes!AQ50:'SmtRes'!AQ55,"=1",SmtRes!DF50:'SmtRes'!DF55)</f>
        <v>43419.45</v>
      </c>
      <c r="Q37" s="2">
        <f>SUMIF(SmtRes!AQ50:'SmtRes'!AQ55,"=1",SmtRes!DG50:'SmtRes'!DG55)</f>
        <v>7134.5099999999993</v>
      </c>
      <c r="R37" s="2">
        <f>SUMIF(SmtRes!AQ50:'SmtRes'!AQ55,"=1",SmtRes!DH50:'SmtRes'!DH55)</f>
        <v>2120.88</v>
      </c>
      <c r="S37" s="2">
        <f>SUMIF(SmtRes!AQ50:'SmtRes'!AQ55,"=1",SmtRes!DI50:'SmtRes'!DI55)</f>
        <v>3217.09</v>
      </c>
      <c r="T37" s="2">
        <f t="shared" si="15"/>
        <v>0</v>
      </c>
      <c r="U37" s="2">
        <f>SUMIF(SmtRes!AQ50:'SmtRes'!AQ55,"=1",SmtRes!CV50:'SmtRes'!CV55)</f>
        <v>8.3699999999999992</v>
      </c>
      <c r="V37" s="2">
        <f>SUMIF(SmtRes!AQ50:'SmtRes'!AQ55,"=1",SmtRes!CW50:'SmtRes'!CW55)</f>
        <v>3.42</v>
      </c>
      <c r="W37" s="2">
        <f t="shared" si="16"/>
        <v>0</v>
      </c>
      <c r="X37" s="2">
        <f t="shared" si="17"/>
        <v>7846.82</v>
      </c>
      <c r="Y37" s="2">
        <f t="shared" si="18"/>
        <v>7152.88</v>
      </c>
      <c r="Z37" s="2"/>
      <c r="AA37" s="2">
        <v>38182922</v>
      </c>
      <c r="AB37" s="2">
        <f t="shared" si="19"/>
        <v>11578.3127</v>
      </c>
      <c r="AC37" s="2">
        <f>ROUND((SUM(SmtRes!BQ50:'SmtRes'!BQ55)),6)</f>
        <v>9648.7664000000004</v>
      </c>
      <c r="AD37" s="2">
        <f>ROUND((((SUM(SmtRes!BR50:'SmtRes'!BR55))-(SUM(SmtRes!BS50:'SmtRes'!BS55)))+AE37),6)</f>
        <v>1214.6367</v>
      </c>
      <c r="AE37" s="2">
        <f>ROUND((SUM(SmtRes!BS50:'SmtRes'!BS55)),6)</f>
        <v>471.3064</v>
      </c>
      <c r="AF37" s="2">
        <f>ROUND((SUM(SmtRes!BT50:'SmtRes'!BT55)),6)</f>
        <v>714.90959999999995</v>
      </c>
      <c r="AG37" s="2">
        <f t="shared" si="20"/>
        <v>0</v>
      </c>
      <c r="AH37" s="2">
        <f>(SUM(SmtRes!BU50:'SmtRes'!BU55))</f>
        <v>1.86</v>
      </c>
      <c r="AI37" s="2">
        <f>(SUM(SmtRes!BV50:'SmtRes'!BV55))</f>
        <v>0.76</v>
      </c>
      <c r="AJ37" s="2">
        <f t="shared" si="21"/>
        <v>0</v>
      </c>
      <c r="AK37" s="2">
        <v>12049.6191</v>
      </c>
      <c r="AL37" s="2">
        <v>9648.7664000000004</v>
      </c>
      <c r="AM37" s="2">
        <v>1214.6367</v>
      </c>
      <c r="AN37" s="2">
        <v>471.3064</v>
      </c>
      <c r="AO37" s="2">
        <v>714.90960000000007</v>
      </c>
      <c r="AP37" s="2">
        <v>0</v>
      </c>
      <c r="AQ37" s="2">
        <v>1.86</v>
      </c>
      <c r="AR37" s="2">
        <v>0.76</v>
      </c>
      <c r="AS37" s="2">
        <v>0</v>
      </c>
      <c r="AT37" s="2">
        <v>147</v>
      </c>
      <c r="AU37" s="2">
        <v>134</v>
      </c>
      <c r="AV37" s="2">
        <v>1</v>
      </c>
      <c r="AW37" s="2">
        <v>1</v>
      </c>
      <c r="AX37" s="2"/>
      <c r="AY37" s="2"/>
      <c r="AZ37" s="2">
        <v>1</v>
      </c>
      <c r="BA37" s="2">
        <v>1</v>
      </c>
      <c r="BB37" s="2">
        <v>1</v>
      </c>
      <c r="BC37" s="2">
        <v>1</v>
      </c>
      <c r="BD37" s="2" t="s">
        <v>3</v>
      </c>
      <c r="BE37" s="2" t="s">
        <v>3</v>
      </c>
      <c r="BF37" s="2" t="s">
        <v>3</v>
      </c>
      <c r="BG37" s="2" t="s">
        <v>3</v>
      </c>
      <c r="BH37" s="2">
        <v>0</v>
      </c>
      <c r="BI37" s="2">
        <v>1</v>
      </c>
      <c r="BJ37" s="2" t="s">
        <v>100</v>
      </c>
      <c r="BK37" s="2"/>
      <c r="BL37" s="2"/>
      <c r="BM37" s="2">
        <v>27001</v>
      </c>
      <c r="BN37" s="2">
        <v>0</v>
      </c>
      <c r="BO37" s="2" t="s">
        <v>3</v>
      </c>
      <c r="BP37" s="2">
        <v>0</v>
      </c>
      <c r="BQ37" s="2">
        <v>2</v>
      </c>
      <c r="BR37" s="2">
        <v>0</v>
      </c>
      <c r="BS37" s="2">
        <v>1</v>
      </c>
      <c r="BT37" s="2">
        <v>1</v>
      </c>
      <c r="BU37" s="2">
        <v>1</v>
      </c>
      <c r="BV37" s="2">
        <v>1</v>
      </c>
      <c r="BW37" s="2">
        <v>1</v>
      </c>
      <c r="BX37" s="2">
        <v>1</v>
      </c>
      <c r="BY37" s="2" t="s">
        <v>3</v>
      </c>
      <c r="BZ37" s="2">
        <v>147</v>
      </c>
      <c r="CA37" s="2">
        <v>134</v>
      </c>
      <c r="CB37" s="2" t="s">
        <v>3</v>
      </c>
      <c r="CC37" s="2"/>
      <c r="CD37" s="2"/>
      <c r="CE37" s="2">
        <v>0</v>
      </c>
      <c r="CF37" s="2">
        <v>0</v>
      </c>
      <c r="CG37" s="2">
        <v>0</v>
      </c>
      <c r="CH37" s="2"/>
      <c r="CI37" s="2"/>
      <c r="CJ37" s="2"/>
      <c r="CK37" s="2"/>
      <c r="CL37" s="2"/>
      <c r="CM37" s="2">
        <v>0</v>
      </c>
      <c r="CN37" s="2" t="s">
        <v>3</v>
      </c>
      <c r="CO37" s="2">
        <v>0</v>
      </c>
      <c r="CP37" s="2">
        <f t="shared" si="22"/>
        <v>55891.93</v>
      </c>
      <c r="CQ37" s="2">
        <f>SUMIF(SmtRes!AQ50:'SmtRes'!AQ55,"=1",SmtRes!AA50:'SmtRes'!AA55)</f>
        <v>757.36</v>
      </c>
      <c r="CR37" s="2">
        <f>SUMIF(SmtRes!AQ50:'SmtRes'!AQ55,"=1",SmtRes!AB50:'SmtRes'!AB55)</f>
        <v>2065.8200000000002</v>
      </c>
      <c r="CS37" s="2">
        <f>SUMIF(SmtRes!AQ50:'SmtRes'!AQ55,"=1",SmtRes!AC50:'SmtRes'!AC55)</f>
        <v>620.14</v>
      </c>
      <c r="CT37" s="2">
        <f>SUMIF(SmtRes!AQ50:'SmtRes'!AQ55,"=1",SmtRes!AD50:'SmtRes'!AD55)</f>
        <v>384.36</v>
      </c>
      <c r="CU37" s="2">
        <f t="shared" si="23"/>
        <v>0</v>
      </c>
      <c r="CV37" s="2">
        <f>SUMIF(SmtRes!AQ50:'SmtRes'!AQ55,"=1",SmtRes!BU50:'SmtRes'!BU55)</f>
        <v>1.86</v>
      </c>
      <c r="CW37" s="2">
        <f>SUMIF(SmtRes!AQ50:'SmtRes'!AQ55,"=1",SmtRes!BV50:'SmtRes'!BV55)</f>
        <v>0.76</v>
      </c>
      <c r="CX37" s="2">
        <f t="shared" si="24"/>
        <v>0</v>
      </c>
      <c r="CY37" s="2">
        <f t="shared" si="25"/>
        <v>7846.8159000000005</v>
      </c>
      <c r="CZ37" s="2">
        <f t="shared" si="26"/>
        <v>7152.8797999999997</v>
      </c>
      <c r="DA37" s="2"/>
      <c r="DB37" s="2"/>
      <c r="DC37" s="2" t="s">
        <v>3</v>
      </c>
      <c r="DD37" s="2" t="s">
        <v>3</v>
      </c>
      <c r="DE37" s="2" t="s">
        <v>3</v>
      </c>
      <c r="DF37" s="2" t="s">
        <v>3</v>
      </c>
      <c r="DG37" s="2" t="s">
        <v>3</v>
      </c>
      <c r="DH37" s="2" t="s">
        <v>3</v>
      </c>
      <c r="DI37" s="2" t="s">
        <v>3</v>
      </c>
      <c r="DJ37" s="2" t="s">
        <v>3</v>
      </c>
      <c r="DK37" s="2" t="s">
        <v>3</v>
      </c>
      <c r="DL37" s="2" t="s">
        <v>3</v>
      </c>
      <c r="DM37" s="2" t="s">
        <v>3</v>
      </c>
      <c r="DN37" s="2">
        <v>0</v>
      </c>
      <c r="DO37" s="2">
        <v>0</v>
      </c>
      <c r="DP37" s="2">
        <v>1</v>
      </c>
      <c r="DQ37" s="2">
        <v>1</v>
      </c>
      <c r="DR37" s="2"/>
      <c r="DS37" s="2"/>
      <c r="DT37" s="2"/>
      <c r="DU37" s="2">
        <v>1007</v>
      </c>
      <c r="DV37" s="2" t="s">
        <v>99</v>
      </c>
      <c r="DW37" s="2" t="s">
        <v>99</v>
      </c>
      <c r="DX37" s="2">
        <v>10</v>
      </c>
      <c r="DY37" s="2"/>
      <c r="DZ37" s="2" t="s">
        <v>3</v>
      </c>
      <c r="EA37" s="2" t="s">
        <v>3</v>
      </c>
      <c r="EB37" s="2" t="s">
        <v>3</v>
      </c>
      <c r="EC37" s="2" t="s">
        <v>3</v>
      </c>
      <c r="ED37" s="2"/>
      <c r="EE37" s="2">
        <v>35227801</v>
      </c>
      <c r="EF37" s="2">
        <v>2</v>
      </c>
      <c r="EG37" s="2" t="s">
        <v>21</v>
      </c>
      <c r="EH37" s="2">
        <v>21</v>
      </c>
      <c r="EI37" s="2" t="s">
        <v>101</v>
      </c>
      <c r="EJ37" s="2">
        <v>1</v>
      </c>
      <c r="EK37" s="2">
        <v>27001</v>
      </c>
      <c r="EL37" s="2" t="s">
        <v>101</v>
      </c>
      <c r="EM37" s="2" t="s">
        <v>102</v>
      </c>
      <c r="EN37" s="2"/>
      <c r="EO37" s="2" t="s">
        <v>3</v>
      </c>
      <c r="EP37" s="2"/>
      <c r="EQ37" s="2">
        <v>0</v>
      </c>
      <c r="ER37" s="2">
        <v>0</v>
      </c>
      <c r="ES37" s="2">
        <v>0</v>
      </c>
      <c r="ET37" s="2">
        <v>0</v>
      </c>
      <c r="EU37" s="2">
        <v>0</v>
      </c>
      <c r="EV37" s="2">
        <v>0</v>
      </c>
      <c r="EW37" s="2">
        <v>1.86</v>
      </c>
      <c r="EX37" s="2">
        <v>0.76</v>
      </c>
      <c r="EY37" s="2">
        <v>0</v>
      </c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>
        <v>0</v>
      </c>
      <c r="FR37" s="2">
        <v>0</v>
      </c>
      <c r="FS37" s="2">
        <v>0</v>
      </c>
      <c r="FT37" s="2"/>
      <c r="FU37" s="2"/>
      <c r="FV37" s="2"/>
      <c r="FW37" s="2"/>
      <c r="FX37" s="2">
        <v>147</v>
      </c>
      <c r="FY37" s="2">
        <v>134</v>
      </c>
      <c r="FZ37" s="2"/>
      <c r="GA37" s="2" t="s">
        <v>3</v>
      </c>
      <c r="GB37" s="2"/>
      <c r="GC37" s="2"/>
      <c r="GD37" s="2">
        <v>1</v>
      </c>
      <c r="GE37" s="2"/>
      <c r="GF37" s="2">
        <v>1906472589</v>
      </c>
      <c r="GG37" s="2">
        <v>2</v>
      </c>
      <c r="GH37" s="2">
        <v>1</v>
      </c>
      <c r="GI37" s="2">
        <v>-2</v>
      </c>
      <c r="GJ37" s="2">
        <v>0</v>
      </c>
      <c r="GK37" s="2">
        <v>0</v>
      </c>
      <c r="GL37" s="2">
        <f t="shared" si="27"/>
        <v>0</v>
      </c>
      <c r="GM37" s="2">
        <f t="shared" si="28"/>
        <v>70891.63</v>
      </c>
      <c r="GN37" s="2">
        <f t="shared" si="29"/>
        <v>70891.63</v>
      </c>
      <c r="GO37" s="2">
        <f t="shared" si="30"/>
        <v>0</v>
      </c>
      <c r="GP37" s="2">
        <f t="shared" si="31"/>
        <v>0</v>
      </c>
      <c r="GQ37" s="2"/>
      <c r="GR37" s="2">
        <v>0</v>
      </c>
      <c r="GS37" s="2">
        <v>3</v>
      </c>
      <c r="GT37" s="2">
        <v>0</v>
      </c>
      <c r="GU37" s="2" t="s">
        <v>3</v>
      </c>
      <c r="GV37" s="2">
        <f t="shared" si="32"/>
        <v>0</v>
      </c>
      <c r="GW37" s="2">
        <v>1</v>
      </c>
      <c r="GX37" s="2">
        <f t="shared" si="33"/>
        <v>0</v>
      </c>
      <c r="GY37" s="2"/>
      <c r="GZ37" s="2"/>
      <c r="HA37" s="2">
        <v>0</v>
      </c>
      <c r="HB37" s="2">
        <v>0</v>
      </c>
      <c r="HC37" s="2">
        <f t="shared" si="34"/>
        <v>0</v>
      </c>
      <c r="HD37" s="2"/>
      <c r="HE37" s="2" t="s">
        <v>3</v>
      </c>
      <c r="HF37" s="2" t="s">
        <v>3</v>
      </c>
      <c r="HG37" s="2"/>
      <c r="HH37" s="2"/>
      <c r="HI37" s="2"/>
      <c r="HJ37" s="2"/>
      <c r="HK37" s="2"/>
      <c r="HL37" s="2"/>
      <c r="HM37" s="2" t="s">
        <v>3</v>
      </c>
      <c r="HN37" s="2" t="s">
        <v>103</v>
      </c>
      <c r="HO37" s="2" t="s">
        <v>104</v>
      </c>
      <c r="HP37" s="2" t="s">
        <v>101</v>
      </c>
      <c r="HQ37" s="2" t="s">
        <v>101</v>
      </c>
      <c r="HR37" s="2"/>
      <c r="HS37" s="2">
        <v>0</v>
      </c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>
        <v>0</v>
      </c>
      <c r="IL37" s="2"/>
      <c r="IM37" s="2"/>
      <c r="IN37" s="2"/>
      <c r="IO37" s="2"/>
      <c r="IP37" s="2"/>
      <c r="IQ37" s="2"/>
      <c r="IR37" s="2"/>
      <c r="IS37" s="2"/>
      <c r="IT37" s="2"/>
      <c r="IU37" s="2"/>
    </row>
    <row r="38" spans="1:255">
      <c r="A38" s="2">
        <v>18</v>
      </c>
      <c r="B38" s="2">
        <v>1</v>
      </c>
      <c r="C38" s="2">
        <v>53</v>
      </c>
      <c r="D38" s="2"/>
      <c r="E38" s="2" t="s">
        <v>105</v>
      </c>
      <c r="F38" s="2" t="s">
        <v>64</v>
      </c>
      <c r="G38" s="2" t="s">
        <v>65</v>
      </c>
      <c r="H38" s="2" t="s">
        <v>66</v>
      </c>
      <c r="I38" s="2">
        <f>I37*J38</f>
        <v>3.42</v>
      </c>
      <c r="J38" s="2">
        <v>0.76</v>
      </c>
      <c r="K38" s="2">
        <v>0.76</v>
      </c>
      <c r="L38" s="2"/>
      <c r="M38" s="2"/>
      <c r="N38" s="2"/>
      <c r="O38" s="2">
        <f t="shared" si="14"/>
        <v>6672.11</v>
      </c>
      <c r="P38" s="2">
        <f>ROUND(CQ38*I38,2)</f>
        <v>0</v>
      </c>
      <c r="Q38" s="2">
        <f>ROUND(CR38*I38,2)</f>
        <v>4971</v>
      </c>
      <c r="R38" s="2">
        <f>ROUND(CS38*I38,2)</f>
        <v>1701.11</v>
      </c>
      <c r="S38" s="2">
        <f>ROUND(CT38*I38,2)</f>
        <v>0</v>
      </c>
      <c r="T38" s="2">
        <f t="shared" si="15"/>
        <v>0</v>
      </c>
      <c r="U38" s="2">
        <f>ROUND(CV38*I38,7)</f>
        <v>0</v>
      </c>
      <c r="V38" s="2">
        <f>ROUND(CW38*I38,7)</f>
        <v>3.42</v>
      </c>
      <c r="W38" s="2">
        <f t="shared" si="16"/>
        <v>0</v>
      </c>
      <c r="X38" s="2">
        <f t="shared" si="17"/>
        <v>2500.63</v>
      </c>
      <c r="Y38" s="2">
        <f t="shared" si="18"/>
        <v>2279.4899999999998</v>
      </c>
      <c r="Z38" s="2"/>
      <c r="AA38" s="2">
        <v>38182922</v>
      </c>
      <c r="AB38" s="2">
        <f t="shared" si="19"/>
        <v>1162.81</v>
      </c>
      <c r="AC38" s="2">
        <f>ROUND((ES38),6)</f>
        <v>0</v>
      </c>
      <c r="AD38" s="2">
        <f>ROUND((((ET38)-(EU38))+AE38),6)</f>
        <v>1162.81</v>
      </c>
      <c r="AE38" s="2">
        <f t="shared" ref="AE38:AF40" si="35">ROUND((EU38),6)</f>
        <v>497.4</v>
      </c>
      <c r="AF38" s="2">
        <f t="shared" si="35"/>
        <v>0</v>
      </c>
      <c r="AG38" s="2">
        <f t="shared" si="20"/>
        <v>0</v>
      </c>
      <c r="AH38" s="2">
        <f t="shared" ref="AH38:AI40" si="36">(EW38)</f>
        <v>0</v>
      </c>
      <c r="AI38" s="2">
        <f t="shared" si="36"/>
        <v>1</v>
      </c>
      <c r="AJ38" s="2">
        <f t="shared" si="21"/>
        <v>0</v>
      </c>
      <c r="AK38" s="2">
        <v>1162.81</v>
      </c>
      <c r="AL38" s="2">
        <v>0</v>
      </c>
      <c r="AM38" s="2">
        <v>1162.81</v>
      </c>
      <c r="AN38" s="2">
        <v>497.4</v>
      </c>
      <c r="AO38" s="2">
        <v>0</v>
      </c>
      <c r="AP38" s="2">
        <v>0</v>
      </c>
      <c r="AQ38" s="2">
        <v>0</v>
      </c>
      <c r="AR38" s="2">
        <v>1</v>
      </c>
      <c r="AS38" s="2">
        <v>0</v>
      </c>
      <c r="AT38" s="2">
        <v>147</v>
      </c>
      <c r="AU38" s="2">
        <v>134</v>
      </c>
      <c r="AV38" s="2">
        <v>1</v>
      </c>
      <c r="AW38" s="2">
        <v>1</v>
      </c>
      <c r="AX38" s="2"/>
      <c r="AY38" s="2"/>
      <c r="AZ38" s="2">
        <v>1</v>
      </c>
      <c r="BA38" s="2">
        <v>1</v>
      </c>
      <c r="BB38" s="2">
        <v>1.25</v>
      </c>
      <c r="BC38" s="2">
        <v>1</v>
      </c>
      <c r="BD38" s="2" t="s">
        <v>3</v>
      </c>
      <c r="BE38" s="2" t="s">
        <v>3</v>
      </c>
      <c r="BF38" s="2" t="s">
        <v>3</v>
      </c>
      <c r="BG38" s="2" t="s">
        <v>3</v>
      </c>
      <c r="BH38" s="2">
        <v>2</v>
      </c>
      <c r="BI38" s="2">
        <v>1</v>
      </c>
      <c r="BJ38" s="2" t="s">
        <v>67</v>
      </c>
      <c r="BK38" s="2"/>
      <c r="BL38" s="2"/>
      <c r="BM38" s="2">
        <v>27001</v>
      </c>
      <c r="BN38" s="2">
        <v>0</v>
      </c>
      <c r="BO38" s="2" t="s">
        <v>64</v>
      </c>
      <c r="BP38" s="2">
        <v>1</v>
      </c>
      <c r="BQ38" s="2">
        <v>2</v>
      </c>
      <c r="BR38" s="2">
        <v>0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 t="s">
        <v>3</v>
      </c>
      <c r="BZ38" s="2">
        <v>147</v>
      </c>
      <c r="CA38" s="2">
        <v>134</v>
      </c>
      <c r="CB38" s="2" t="s">
        <v>3</v>
      </c>
      <c r="CC38" s="2"/>
      <c r="CD38" s="2"/>
      <c r="CE38" s="2">
        <v>0</v>
      </c>
      <c r="CF38" s="2">
        <v>0</v>
      </c>
      <c r="CG38" s="2">
        <v>0</v>
      </c>
      <c r="CH38" s="2"/>
      <c r="CI38" s="2"/>
      <c r="CJ38" s="2"/>
      <c r="CK38" s="2"/>
      <c r="CL38" s="2"/>
      <c r="CM38" s="2">
        <v>0</v>
      </c>
      <c r="CN38" s="2" t="s">
        <v>3</v>
      </c>
      <c r="CO38" s="2">
        <v>0</v>
      </c>
      <c r="CP38" s="2">
        <f t="shared" si="22"/>
        <v>6672.11</v>
      </c>
      <c r="CQ38" s="2">
        <f>ROUND(AL38*BC38,2)</f>
        <v>0</v>
      </c>
      <c r="CR38" s="2">
        <f>ROUND(AM38*BB38,2)</f>
        <v>1453.51</v>
      </c>
      <c r="CS38" s="2">
        <f>ROUND(AN38*BS38,2)</f>
        <v>497.4</v>
      </c>
      <c r="CT38" s="2">
        <f>ROUND(AO38*BA38,2)</f>
        <v>0</v>
      </c>
      <c r="CU38" s="2">
        <f t="shared" si="23"/>
        <v>0</v>
      </c>
      <c r="CV38" s="2">
        <f t="shared" ref="CV38:CW40" si="37">AH38</f>
        <v>0</v>
      </c>
      <c r="CW38" s="2">
        <f t="shared" si="37"/>
        <v>1</v>
      </c>
      <c r="CX38" s="2">
        <f t="shared" si="24"/>
        <v>0</v>
      </c>
      <c r="CY38" s="2">
        <f t="shared" si="25"/>
        <v>2500.6316999999999</v>
      </c>
      <c r="CZ38" s="2">
        <f t="shared" si="26"/>
        <v>2279.4874</v>
      </c>
      <c r="DA38" s="2"/>
      <c r="DB38" s="2"/>
      <c r="DC38" s="2" t="s">
        <v>3</v>
      </c>
      <c r="DD38" s="2" t="s">
        <v>3</v>
      </c>
      <c r="DE38" s="2" t="s">
        <v>3</v>
      </c>
      <c r="DF38" s="2" t="s">
        <v>3</v>
      </c>
      <c r="DG38" s="2" t="s">
        <v>3</v>
      </c>
      <c r="DH38" s="2" t="s">
        <v>3</v>
      </c>
      <c r="DI38" s="2" t="s">
        <v>3</v>
      </c>
      <c r="DJ38" s="2" t="s">
        <v>3</v>
      </c>
      <c r="DK38" s="2" t="s">
        <v>3</v>
      </c>
      <c r="DL38" s="2" t="s">
        <v>3</v>
      </c>
      <c r="DM38" s="2" t="s">
        <v>3</v>
      </c>
      <c r="DN38" s="2">
        <v>0</v>
      </c>
      <c r="DO38" s="2">
        <v>0</v>
      </c>
      <c r="DP38" s="2">
        <v>1</v>
      </c>
      <c r="DQ38" s="2">
        <v>1</v>
      </c>
      <c r="DR38" s="2"/>
      <c r="DS38" s="2"/>
      <c r="DT38" s="2"/>
      <c r="DU38" s="2">
        <v>1011</v>
      </c>
      <c r="DV38" s="2" t="s">
        <v>66</v>
      </c>
      <c r="DW38" s="2" t="s">
        <v>66</v>
      </c>
      <c r="DX38" s="2">
        <v>1</v>
      </c>
      <c r="DY38" s="2"/>
      <c r="DZ38" s="2" t="s">
        <v>3</v>
      </c>
      <c r="EA38" s="2" t="s">
        <v>3</v>
      </c>
      <c r="EB38" s="2" t="s">
        <v>3</v>
      </c>
      <c r="EC38" s="2" t="s">
        <v>3</v>
      </c>
      <c r="ED38" s="2"/>
      <c r="EE38" s="2">
        <v>35227801</v>
      </c>
      <c r="EF38" s="2">
        <v>2</v>
      </c>
      <c r="EG38" s="2" t="s">
        <v>21</v>
      </c>
      <c r="EH38" s="2">
        <v>21</v>
      </c>
      <c r="EI38" s="2" t="s">
        <v>101</v>
      </c>
      <c r="EJ38" s="2">
        <v>1</v>
      </c>
      <c r="EK38" s="2">
        <v>27001</v>
      </c>
      <c r="EL38" s="2" t="s">
        <v>101</v>
      </c>
      <c r="EM38" s="2" t="s">
        <v>102</v>
      </c>
      <c r="EN38" s="2"/>
      <c r="EO38" s="2" t="s">
        <v>3</v>
      </c>
      <c r="EP38" s="2"/>
      <c r="EQ38" s="2">
        <v>0</v>
      </c>
      <c r="ER38" s="2">
        <v>1162.81</v>
      </c>
      <c r="ES38" s="2">
        <v>0</v>
      </c>
      <c r="ET38" s="2">
        <v>1162.81</v>
      </c>
      <c r="EU38" s="2">
        <v>497.4</v>
      </c>
      <c r="EV38" s="2">
        <v>0</v>
      </c>
      <c r="EW38" s="2">
        <v>0</v>
      </c>
      <c r="EX38" s="2">
        <v>1</v>
      </c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>
        <v>0</v>
      </c>
      <c r="FR38" s="2">
        <v>0</v>
      </c>
      <c r="FS38" s="2">
        <v>1</v>
      </c>
      <c r="FT38" s="2"/>
      <c r="FU38" s="2"/>
      <c r="FV38" s="2"/>
      <c r="FW38" s="2"/>
      <c r="FX38" s="2">
        <v>147</v>
      </c>
      <c r="FY38" s="2">
        <v>134</v>
      </c>
      <c r="FZ38" s="2"/>
      <c r="GA38" s="2" t="s">
        <v>3</v>
      </c>
      <c r="GB38" s="2"/>
      <c r="GC38" s="2"/>
      <c r="GD38" s="2">
        <v>1</v>
      </c>
      <c r="GE38" s="2"/>
      <c r="GF38" s="2">
        <v>-598721075</v>
      </c>
      <c r="GG38" s="2">
        <v>2</v>
      </c>
      <c r="GH38" s="2">
        <v>1</v>
      </c>
      <c r="GI38" s="2">
        <v>2</v>
      </c>
      <c r="GJ38" s="2">
        <v>0</v>
      </c>
      <c r="GK38" s="2">
        <v>0</v>
      </c>
      <c r="GL38" s="2">
        <f t="shared" si="27"/>
        <v>0</v>
      </c>
      <c r="GM38" s="2">
        <f t="shared" si="28"/>
        <v>11452.23</v>
      </c>
      <c r="GN38" s="2">
        <f t="shared" si="29"/>
        <v>11452.23</v>
      </c>
      <c r="GO38" s="2">
        <f t="shared" si="30"/>
        <v>0</v>
      </c>
      <c r="GP38" s="2">
        <f t="shared" si="31"/>
        <v>0</v>
      </c>
      <c r="GQ38" s="2"/>
      <c r="GR38" s="2">
        <v>0</v>
      </c>
      <c r="GS38" s="2">
        <v>3</v>
      </c>
      <c r="GT38" s="2">
        <v>0</v>
      </c>
      <c r="GU38" s="2" t="s">
        <v>3</v>
      </c>
      <c r="GV38" s="2">
        <f t="shared" si="32"/>
        <v>0</v>
      </c>
      <c r="GW38" s="2">
        <v>1</v>
      </c>
      <c r="GX38" s="2">
        <f t="shared" si="33"/>
        <v>0</v>
      </c>
      <c r="GY38" s="2"/>
      <c r="GZ38" s="2"/>
      <c r="HA38" s="2">
        <v>0</v>
      </c>
      <c r="HB38" s="2">
        <v>0</v>
      </c>
      <c r="HC38" s="2">
        <f t="shared" si="34"/>
        <v>0</v>
      </c>
      <c r="HD38" s="2"/>
      <c r="HE38" s="2" t="s">
        <v>3</v>
      </c>
      <c r="HF38" s="2" t="s">
        <v>3</v>
      </c>
      <c r="HG38" s="2"/>
      <c r="HH38" s="2"/>
      <c r="HI38" s="2"/>
      <c r="HJ38" s="2"/>
      <c r="HK38" s="2"/>
      <c r="HL38" s="2"/>
      <c r="HM38" s="2" t="s">
        <v>3</v>
      </c>
      <c r="HN38" s="2" t="s">
        <v>103</v>
      </c>
      <c r="HO38" s="2" t="s">
        <v>104</v>
      </c>
      <c r="HP38" s="2" t="s">
        <v>101</v>
      </c>
      <c r="HQ38" s="2" t="s">
        <v>101</v>
      </c>
      <c r="HR38" s="2"/>
      <c r="HS38" s="2">
        <v>0</v>
      </c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>
        <v>0</v>
      </c>
      <c r="IL38" s="2"/>
      <c r="IM38" s="2"/>
      <c r="IN38" s="2"/>
      <c r="IO38" s="2"/>
      <c r="IP38" s="2"/>
      <c r="IQ38" s="2"/>
      <c r="IR38" s="2"/>
      <c r="IS38" s="2"/>
      <c r="IT38" s="2"/>
      <c r="IU38" s="2"/>
    </row>
    <row r="39" spans="1:255">
      <c r="A39" s="2">
        <v>17</v>
      </c>
      <c r="B39" s="2">
        <v>1</v>
      </c>
      <c r="C39" s="2">
        <f>ROW(SmtRes!A56)</f>
        <v>56</v>
      </c>
      <c r="D39" s="2">
        <f>ROW(EtalonRes!A54)</f>
        <v>54</v>
      </c>
      <c r="E39" s="2" t="s">
        <v>106</v>
      </c>
      <c r="F39" s="2" t="s">
        <v>107</v>
      </c>
      <c r="G39" s="2" t="s">
        <v>108</v>
      </c>
      <c r="H39" s="2" t="s">
        <v>66</v>
      </c>
      <c r="I39" s="2">
        <f>ROUND(ROUND(-3.42,5),7)</f>
        <v>-3.42</v>
      </c>
      <c r="J39" s="2">
        <v>0</v>
      </c>
      <c r="K39" s="2">
        <f>ROUND(ROUND(-3.42,5),7)</f>
        <v>-3.42</v>
      </c>
      <c r="L39" s="2"/>
      <c r="M39" s="2"/>
      <c r="N39" s="2"/>
      <c r="O39" s="2">
        <f t="shared" si="14"/>
        <v>-9004.07</v>
      </c>
      <c r="P39" s="2">
        <f>ROUND(CQ39*I39,2)</f>
        <v>0</v>
      </c>
      <c r="Q39" s="2">
        <f>ROUND(CR39*I39,2)</f>
        <v>-6883.19</v>
      </c>
      <c r="R39" s="2">
        <f>ROUND(CS39*I39,2)</f>
        <v>-2120.88</v>
      </c>
      <c r="S39" s="2">
        <f>ROUND(CT39*I39,2)</f>
        <v>0</v>
      </c>
      <c r="T39" s="2">
        <f t="shared" si="15"/>
        <v>0</v>
      </c>
      <c r="U39" s="2">
        <f>ROUND(CV39*I39,7)</f>
        <v>0</v>
      </c>
      <c r="V39" s="2">
        <f>ROUND(CW39*I39,7)</f>
        <v>0</v>
      </c>
      <c r="W39" s="2">
        <f t="shared" si="16"/>
        <v>0</v>
      </c>
      <c r="X39" s="2">
        <f t="shared" si="17"/>
        <v>0</v>
      </c>
      <c r="Y39" s="2">
        <f t="shared" si="18"/>
        <v>0</v>
      </c>
      <c r="Z39" s="2"/>
      <c r="AA39" s="2">
        <v>38182922</v>
      </c>
      <c r="AB39" s="2">
        <f t="shared" si="19"/>
        <v>1524.72</v>
      </c>
      <c r="AC39" s="2">
        <f>ROUND((ES39),6)</f>
        <v>0</v>
      </c>
      <c r="AD39" s="2">
        <f>ROUND((((ET39)-(EU39))+AE39),6)</f>
        <v>1524.72</v>
      </c>
      <c r="AE39" s="2">
        <f t="shared" si="35"/>
        <v>620.14</v>
      </c>
      <c r="AF39" s="2">
        <f t="shared" si="35"/>
        <v>0</v>
      </c>
      <c r="AG39" s="2">
        <f t="shared" si="20"/>
        <v>0</v>
      </c>
      <c r="AH39" s="2">
        <f t="shared" si="36"/>
        <v>0</v>
      </c>
      <c r="AI39" s="2">
        <f t="shared" si="36"/>
        <v>0</v>
      </c>
      <c r="AJ39" s="2">
        <f t="shared" si="21"/>
        <v>0</v>
      </c>
      <c r="AK39" s="2">
        <v>1524.72</v>
      </c>
      <c r="AL39" s="2">
        <v>0</v>
      </c>
      <c r="AM39" s="2">
        <v>1524.72</v>
      </c>
      <c r="AN39" s="2">
        <v>620.14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1</v>
      </c>
      <c r="AW39" s="2">
        <v>1</v>
      </c>
      <c r="AX39" s="2"/>
      <c r="AY39" s="2"/>
      <c r="AZ39" s="2">
        <v>1</v>
      </c>
      <c r="BA39" s="2">
        <v>1</v>
      </c>
      <c r="BB39" s="2">
        <v>1.32</v>
      </c>
      <c r="BC39" s="2">
        <v>1</v>
      </c>
      <c r="BD39" s="2" t="s">
        <v>3</v>
      </c>
      <c r="BE39" s="2" t="s">
        <v>3</v>
      </c>
      <c r="BF39" s="2" t="s">
        <v>3</v>
      </c>
      <c r="BG39" s="2" t="s">
        <v>3</v>
      </c>
      <c r="BH39" s="2">
        <v>2</v>
      </c>
      <c r="BI39" s="2">
        <v>1</v>
      </c>
      <c r="BJ39" s="2" t="s">
        <v>109</v>
      </c>
      <c r="BK39" s="2"/>
      <c r="BL39" s="2"/>
      <c r="BM39" s="2">
        <v>400001</v>
      </c>
      <c r="BN39" s="2">
        <v>0</v>
      </c>
      <c r="BO39" s="2" t="s">
        <v>107</v>
      </c>
      <c r="BP39" s="2">
        <v>1</v>
      </c>
      <c r="BQ39" s="2">
        <v>7</v>
      </c>
      <c r="BR39" s="2">
        <v>0</v>
      </c>
      <c r="BS39" s="2">
        <v>1</v>
      </c>
      <c r="BT39" s="2">
        <v>1</v>
      </c>
      <c r="BU39" s="2">
        <v>1</v>
      </c>
      <c r="BV39" s="2">
        <v>1</v>
      </c>
      <c r="BW39" s="2">
        <v>1</v>
      </c>
      <c r="BX39" s="2">
        <v>1</v>
      </c>
      <c r="BY39" s="2" t="s">
        <v>3</v>
      </c>
      <c r="BZ39" s="2">
        <v>0</v>
      </c>
      <c r="CA39" s="2">
        <v>0</v>
      </c>
      <c r="CB39" s="2" t="s">
        <v>3</v>
      </c>
      <c r="CC39" s="2"/>
      <c r="CD39" s="2"/>
      <c r="CE39" s="2">
        <v>0</v>
      </c>
      <c r="CF39" s="2">
        <v>0</v>
      </c>
      <c r="CG39" s="2">
        <v>0</v>
      </c>
      <c r="CH39" s="2"/>
      <c r="CI39" s="2"/>
      <c r="CJ39" s="2"/>
      <c r="CK39" s="2"/>
      <c r="CL39" s="2"/>
      <c r="CM39" s="2">
        <v>0</v>
      </c>
      <c r="CN39" s="2" t="s">
        <v>3</v>
      </c>
      <c r="CO39" s="2">
        <v>0</v>
      </c>
      <c r="CP39" s="2">
        <f t="shared" si="22"/>
        <v>-9004.07</v>
      </c>
      <c r="CQ39" s="2">
        <f>ROUND(AL39*BC39,2)</f>
        <v>0</v>
      </c>
      <c r="CR39" s="2">
        <f>ROUND(AM39*BB39,2)</f>
        <v>2012.63</v>
      </c>
      <c r="CS39" s="2">
        <f>ROUND(AN39*BS39,2)</f>
        <v>620.14</v>
      </c>
      <c r="CT39" s="2">
        <f>ROUND(AO39*BA39,2)</f>
        <v>0</v>
      </c>
      <c r="CU39" s="2">
        <f t="shared" si="23"/>
        <v>0</v>
      </c>
      <c r="CV39" s="2">
        <f t="shared" si="37"/>
        <v>0</v>
      </c>
      <c r="CW39" s="2">
        <f t="shared" si="37"/>
        <v>0</v>
      </c>
      <c r="CX39" s="2">
        <f t="shared" si="24"/>
        <v>0</v>
      </c>
      <c r="CY39" s="2">
        <f t="shared" si="25"/>
        <v>0</v>
      </c>
      <c r="CZ39" s="2">
        <f t="shared" si="26"/>
        <v>0</v>
      </c>
      <c r="DA39" s="2"/>
      <c r="DB39" s="2"/>
      <c r="DC39" s="2" t="s">
        <v>3</v>
      </c>
      <c r="DD39" s="2" t="s">
        <v>3</v>
      </c>
      <c r="DE39" s="2" t="s">
        <v>3</v>
      </c>
      <c r="DF39" s="2" t="s">
        <v>3</v>
      </c>
      <c r="DG39" s="2" t="s">
        <v>3</v>
      </c>
      <c r="DH39" s="2" t="s">
        <v>3</v>
      </c>
      <c r="DI39" s="2" t="s">
        <v>3</v>
      </c>
      <c r="DJ39" s="2" t="s">
        <v>3</v>
      </c>
      <c r="DK39" s="2" t="s">
        <v>3</v>
      </c>
      <c r="DL39" s="2" t="s">
        <v>3</v>
      </c>
      <c r="DM39" s="2" t="s">
        <v>3</v>
      </c>
      <c r="DN39" s="2">
        <v>0</v>
      </c>
      <c r="DO39" s="2">
        <v>0</v>
      </c>
      <c r="DP39" s="2">
        <v>1</v>
      </c>
      <c r="DQ39" s="2">
        <v>1</v>
      </c>
      <c r="DR39" s="2"/>
      <c r="DS39" s="2"/>
      <c r="DT39" s="2"/>
      <c r="DU39" s="2">
        <v>1011</v>
      </c>
      <c r="DV39" s="2" t="s">
        <v>66</v>
      </c>
      <c r="DW39" s="2" t="s">
        <v>66</v>
      </c>
      <c r="DX39" s="2">
        <v>1</v>
      </c>
      <c r="DY39" s="2"/>
      <c r="DZ39" s="2" t="s">
        <v>3</v>
      </c>
      <c r="EA39" s="2" t="s">
        <v>3</v>
      </c>
      <c r="EB39" s="2" t="s">
        <v>3</v>
      </c>
      <c r="EC39" s="2" t="s">
        <v>3</v>
      </c>
      <c r="ED39" s="2"/>
      <c r="EE39" s="2">
        <v>35227692</v>
      </c>
      <c r="EF39" s="2">
        <v>7</v>
      </c>
      <c r="EG39" s="2" t="s">
        <v>72</v>
      </c>
      <c r="EH39" s="2">
        <v>0</v>
      </c>
      <c r="EI39" s="2" t="s">
        <v>3</v>
      </c>
      <c r="EJ39" s="2">
        <v>1</v>
      </c>
      <c r="EK39" s="2">
        <v>400001</v>
      </c>
      <c r="EL39" s="2" t="s">
        <v>73</v>
      </c>
      <c r="EM39" s="2" t="s">
        <v>74</v>
      </c>
      <c r="EN39" s="2"/>
      <c r="EO39" s="2" t="s">
        <v>3</v>
      </c>
      <c r="EP39" s="2"/>
      <c r="EQ39" s="2">
        <v>0</v>
      </c>
      <c r="ER39" s="2">
        <v>1524.72</v>
      </c>
      <c r="ES39" s="2">
        <v>0</v>
      </c>
      <c r="ET39" s="2">
        <v>1524.72</v>
      </c>
      <c r="EU39" s="2">
        <v>620.14</v>
      </c>
      <c r="EV39" s="2">
        <v>0</v>
      </c>
      <c r="EW39" s="2">
        <v>0</v>
      </c>
      <c r="EX39" s="2">
        <v>0</v>
      </c>
      <c r="EY39" s="2">
        <v>0</v>
      </c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>
        <v>0</v>
      </c>
      <c r="FR39" s="2">
        <v>0</v>
      </c>
      <c r="FS39" s="2">
        <v>1</v>
      </c>
      <c r="FT39" s="2"/>
      <c r="FU39" s="2"/>
      <c r="FV39" s="2"/>
      <c r="FW39" s="2"/>
      <c r="FX39" s="2">
        <v>0</v>
      </c>
      <c r="FY39" s="2">
        <v>0</v>
      </c>
      <c r="FZ39" s="2"/>
      <c r="GA39" s="2" t="s">
        <v>3</v>
      </c>
      <c r="GB39" s="2"/>
      <c r="GC39" s="2"/>
      <c r="GD39" s="2">
        <v>1</v>
      </c>
      <c r="GE39" s="2"/>
      <c r="GF39" s="2">
        <v>-972071566</v>
      </c>
      <c r="GG39" s="2">
        <v>2</v>
      </c>
      <c r="GH39" s="2">
        <v>1</v>
      </c>
      <c r="GI39" s="2">
        <v>2</v>
      </c>
      <c r="GJ39" s="2">
        <v>0</v>
      </c>
      <c r="GK39" s="2">
        <v>0</v>
      </c>
      <c r="GL39" s="2">
        <f t="shared" si="27"/>
        <v>0</v>
      </c>
      <c r="GM39" s="2">
        <f t="shared" si="28"/>
        <v>-9004.07</v>
      </c>
      <c r="GN39" s="2">
        <f t="shared" si="29"/>
        <v>-9004.07</v>
      </c>
      <c r="GO39" s="2">
        <f t="shared" si="30"/>
        <v>0</v>
      </c>
      <c r="GP39" s="2">
        <f t="shared" si="31"/>
        <v>0</v>
      </c>
      <c r="GQ39" s="2"/>
      <c r="GR39" s="2">
        <v>0</v>
      </c>
      <c r="GS39" s="2">
        <v>7</v>
      </c>
      <c r="GT39" s="2">
        <v>0</v>
      </c>
      <c r="GU39" s="2" t="s">
        <v>3</v>
      </c>
      <c r="GV39" s="2">
        <f t="shared" si="32"/>
        <v>0</v>
      </c>
      <c r="GW39" s="2">
        <v>1</v>
      </c>
      <c r="GX39" s="2">
        <f t="shared" si="33"/>
        <v>0</v>
      </c>
      <c r="GY39" s="2"/>
      <c r="GZ39" s="2"/>
      <c r="HA39" s="2">
        <v>0</v>
      </c>
      <c r="HB39" s="2">
        <v>0</v>
      </c>
      <c r="HC39" s="2">
        <f t="shared" si="34"/>
        <v>0</v>
      </c>
      <c r="HD39" s="2"/>
      <c r="HE39" s="2" t="s">
        <v>3</v>
      </c>
      <c r="HF39" s="2" t="s">
        <v>3</v>
      </c>
      <c r="HG39" s="2"/>
      <c r="HH39" s="2"/>
      <c r="HI39" s="2"/>
      <c r="HJ39" s="2"/>
      <c r="HK39" s="2"/>
      <c r="HL39" s="2"/>
      <c r="HM39" s="2" t="s">
        <v>3</v>
      </c>
      <c r="HN39" s="2" t="s">
        <v>3</v>
      </c>
      <c r="HO39" s="2" t="s">
        <v>3</v>
      </c>
      <c r="HP39" s="2" t="s">
        <v>3</v>
      </c>
      <c r="HQ39" s="2" t="s">
        <v>3</v>
      </c>
      <c r="HR39" s="2"/>
      <c r="HS39" s="2">
        <v>0</v>
      </c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>
        <v>0</v>
      </c>
      <c r="IL39" s="2"/>
      <c r="IM39" s="2"/>
      <c r="IN39" s="2"/>
      <c r="IO39" s="2"/>
      <c r="IP39" s="2"/>
      <c r="IQ39" s="2"/>
      <c r="IR39" s="2"/>
      <c r="IS39" s="2"/>
      <c r="IT39" s="2"/>
      <c r="IU39" s="2"/>
    </row>
    <row r="40" spans="1:255">
      <c r="A40" s="2">
        <v>17</v>
      </c>
      <c r="B40" s="2">
        <v>1</v>
      </c>
      <c r="C40" s="2"/>
      <c r="D40" s="2"/>
      <c r="E40" s="2" t="s">
        <v>110</v>
      </c>
      <c r="F40" s="2" t="s">
        <v>111</v>
      </c>
      <c r="G40" s="2" t="s">
        <v>112</v>
      </c>
      <c r="H40" s="2" t="s">
        <v>113</v>
      </c>
      <c r="I40" s="2">
        <f>ROUND(ROUND(-57.33,5),7)</f>
        <v>-57.33</v>
      </c>
      <c r="J40" s="2">
        <v>0</v>
      </c>
      <c r="K40" s="2">
        <f>ROUND(ROUND(-57.33,5),7)</f>
        <v>-57.33</v>
      </c>
      <c r="L40" s="2"/>
      <c r="M40" s="2"/>
      <c r="N40" s="2"/>
      <c r="O40" s="2">
        <f t="shared" si="14"/>
        <v>-43419.45</v>
      </c>
      <c r="P40" s="2">
        <f>ROUND(CQ40*I40,2)</f>
        <v>-43419.45</v>
      </c>
      <c r="Q40" s="2">
        <f>ROUND(CR40*I40,2)</f>
        <v>0</v>
      </c>
      <c r="R40" s="2">
        <f>ROUND(CS40*I40,2)</f>
        <v>0</v>
      </c>
      <c r="S40" s="2">
        <f>ROUND(CT40*I40,2)</f>
        <v>0</v>
      </c>
      <c r="T40" s="2">
        <f t="shared" si="15"/>
        <v>0</v>
      </c>
      <c r="U40" s="2">
        <f>ROUND(CV40*I40,7)</f>
        <v>0</v>
      </c>
      <c r="V40" s="2">
        <f>ROUND(CW40*I40,7)</f>
        <v>0</v>
      </c>
      <c r="W40" s="2">
        <f t="shared" si="16"/>
        <v>0</v>
      </c>
      <c r="X40" s="2">
        <f t="shared" si="17"/>
        <v>0</v>
      </c>
      <c r="Y40" s="2">
        <f t="shared" si="18"/>
        <v>0</v>
      </c>
      <c r="Z40" s="2"/>
      <c r="AA40" s="2">
        <v>38182922</v>
      </c>
      <c r="AB40" s="2">
        <f t="shared" si="19"/>
        <v>757.36</v>
      </c>
      <c r="AC40" s="2">
        <f>ROUND((ES40),6)</f>
        <v>757.36</v>
      </c>
      <c r="AD40" s="2">
        <f>ROUND((((ET40)-(EU40))+AE40),6)</f>
        <v>0</v>
      </c>
      <c r="AE40" s="2">
        <f t="shared" si="35"/>
        <v>0</v>
      </c>
      <c r="AF40" s="2">
        <f t="shared" si="35"/>
        <v>0</v>
      </c>
      <c r="AG40" s="2">
        <f t="shared" si="20"/>
        <v>0</v>
      </c>
      <c r="AH40" s="2">
        <f t="shared" si="36"/>
        <v>0</v>
      </c>
      <c r="AI40" s="2">
        <f t="shared" si="36"/>
        <v>0</v>
      </c>
      <c r="AJ40" s="2">
        <f t="shared" si="21"/>
        <v>0</v>
      </c>
      <c r="AK40" s="2">
        <v>757.36</v>
      </c>
      <c r="AL40" s="2">
        <v>757.36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1</v>
      </c>
      <c r="AW40" s="2">
        <v>1</v>
      </c>
      <c r="AX40" s="2"/>
      <c r="AY40" s="2"/>
      <c r="AZ40" s="2">
        <v>1</v>
      </c>
      <c r="BA40" s="2">
        <v>1</v>
      </c>
      <c r="BB40" s="2">
        <v>1</v>
      </c>
      <c r="BC40" s="2">
        <v>1</v>
      </c>
      <c r="BD40" s="2" t="s">
        <v>3</v>
      </c>
      <c r="BE40" s="2" t="s">
        <v>3</v>
      </c>
      <c r="BF40" s="2" t="s">
        <v>3</v>
      </c>
      <c r="BG40" s="2" t="s">
        <v>3</v>
      </c>
      <c r="BH40" s="2">
        <v>3</v>
      </c>
      <c r="BI40" s="2">
        <v>1</v>
      </c>
      <c r="BJ40" s="2" t="s">
        <v>114</v>
      </c>
      <c r="BK40" s="2"/>
      <c r="BL40" s="2"/>
      <c r="BM40" s="2">
        <v>500001</v>
      </c>
      <c r="BN40" s="2">
        <v>0</v>
      </c>
      <c r="BO40" s="2" t="s">
        <v>3</v>
      </c>
      <c r="BP40" s="2">
        <v>0</v>
      </c>
      <c r="BQ40" s="2">
        <v>8</v>
      </c>
      <c r="BR40" s="2">
        <v>0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 t="s">
        <v>3</v>
      </c>
      <c r="BZ40" s="2">
        <v>0</v>
      </c>
      <c r="CA40" s="2">
        <v>0</v>
      </c>
      <c r="CB40" s="2" t="s">
        <v>3</v>
      </c>
      <c r="CC40" s="2"/>
      <c r="CD40" s="2"/>
      <c r="CE40" s="2">
        <v>0</v>
      </c>
      <c r="CF40" s="2">
        <v>0</v>
      </c>
      <c r="CG40" s="2">
        <v>0</v>
      </c>
      <c r="CH40" s="2"/>
      <c r="CI40" s="2"/>
      <c r="CJ40" s="2"/>
      <c r="CK40" s="2"/>
      <c r="CL40" s="2"/>
      <c r="CM40" s="2">
        <v>0</v>
      </c>
      <c r="CN40" s="2" t="s">
        <v>3</v>
      </c>
      <c r="CO40" s="2">
        <v>0</v>
      </c>
      <c r="CP40" s="2">
        <f t="shared" si="22"/>
        <v>-43419.45</v>
      </c>
      <c r="CQ40" s="2">
        <f>ROUND(AL40*BC40,2)</f>
        <v>757.36</v>
      </c>
      <c r="CR40" s="2">
        <f>ROUND(AM40*BB40,2)</f>
        <v>0</v>
      </c>
      <c r="CS40" s="2">
        <f>ROUND(AN40*BS40,2)</f>
        <v>0</v>
      </c>
      <c r="CT40" s="2">
        <f>ROUND(AO40*BA40,2)</f>
        <v>0</v>
      </c>
      <c r="CU40" s="2">
        <f t="shared" si="23"/>
        <v>0</v>
      </c>
      <c r="CV40" s="2">
        <f t="shared" si="37"/>
        <v>0</v>
      </c>
      <c r="CW40" s="2">
        <f t="shared" si="37"/>
        <v>0</v>
      </c>
      <c r="CX40" s="2">
        <f t="shared" si="24"/>
        <v>0</v>
      </c>
      <c r="CY40" s="2">
        <f>0</f>
        <v>0</v>
      </c>
      <c r="CZ40" s="2">
        <f>0</f>
        <v>0</v>
      </c>
      <c r="DA40" s="2"/>
      <c r="DB40" s="2"/>
      <c r="DC40" s="2" t="s">
        <v>3</v>
      </c>
      <c r="DD40" s="2" t="s">
        <v>3</v>
      </c>
      <c r="DE40" s="2" t="s">
        <v>3</v>
      </c>
      <c r="DF40" s="2" t="s">
        <v>3</v>
      </c>
      <c r="DG40" s="2" t="s">
        <v>3</v>
      </c>
      <c r="DH40" s="2" t="s">
        <v>3</v>
      </c>
      <c r="DI40" s="2" t="s">
        <v>3</v>
      </c>
      <c r="DJ40" s="2" t="s">
        <v>3</v>
      </c>
      <c r="DK40" s="2" t="s">
        <v>3</v>
      </c>
      <c r="DL40" s="2" t="s">
        <v>3</v>
      </c>
      <c r="DM40" s="2" t="s">
        <v>3</v>
      </c>
      <c r="DN40" s="2">
        <v>0</v>
      </c>
      <c r="DO40" s="2">
        <v>0</v>
      </c>
      <c r="DP40" s="2">
        <v>1</v>
      </c>
      <c r="DQ40" s="2">
        <v>1</v>
      </c>
      <c r="DR40" s="2"/>
      <c r="DS40" s="2"/>
      <c r="DT40" s="2"/>
      <c r="DU40" s="2">
        <v>1007</v>
      </c>
      <c r="DV40" s="2" t="s">
        <v>113</v>
      </c>
      <c r="DW40" s="2" t="s">
        <v>113</v>
      </c>
      <c r="DX40" s="2">
        <v>1</v>
      </c>
      <c r="DY40" s="2"/>
      <c r="DZ40" s="2" t="s">
        <v>3</v>
      </c>
      <c r="EA40" s="2" t="s">
        <v>3</v>
      </c>
      <c r="EB40" s="2" t="s">
        <v>3</v>
      </c>
      <c r="EC40" s="2" t="s">
        <v>3</v>
      </c>
      <c r="ED40" s="2"/>
      <c r="EE40" s="2">
        <v>35227693</v>
      </c>
      <c r="EF40" s="2">
        <v>8</v>
      </c>
      <c r="EG40" s="2" t="s">
        <v>115</v>
      </c>
      <c r="EH40" s="2">
        <v>0</v>
      </c>
      <c r="EI40" s="2" t="s">
        <v>3</v>
      </c>
      <c r="EJ40" s="2">
        <v>1</v>
      </c>
      <c r="EK40" s="2">
        <v>500001</v>
      </c>
      <c r="EL40" s="2" t="s">
        <v>116</v>
      </c>
      <c r="EM40" s="2" t="s">
        <v>117</v>
      </c>
      <c r="EN40" s="2"/>
      <c r="EO40" s="2" t="s">
        <v>3</v>
      </c>
      <c r="EP40" s="2"/>
      <c r="EQ40" s="2">
        <v>0</v>
      </c>
      <c r="ER40" s="2">
        <v>757.36</v>
      </c>
      <c r="ES40" s="2">
        <v>757.36</v>
      </c>
      <c r="ET40" s="2">
        <v>0</v>
      </c>
      <c r="EU40" s="2">
        <v>0</v>
      </c>
      <c r="EV40" s="2">
        <v>0</v>
      </c>
      <c r="EW40" s="2">
        <v>0</v>
      </c>
      <c r="EX40" s="2">
        <v>0</v>
      </c>
      <c r="EY40" s="2">
        <v>0</v>
      </c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>
        <v>0</v>
      </c>
      <c r="FR40" s="2">
        <v>0</v>
      </c>
      <c r="FS40" s="2">
        <v>0</v>
      </c>
      <c r="FT40" s="2"/>
      <c r="FU40" s="2"/>
      <c r="FV40" s="2"/>
      <c r="FW40" s="2"/>
      <c r="FX40" s="2">
        <v>0</v>
      </c>
      <c r="FY40" s="2">
        <v>0</v>
      </c>
      <c r="FZ40" s="2"/>
      <c r="GA40" s="2" t="s">
        <v>3</v>
      </c>
      <c r="GB40" s="2"/>
      <c r="GC40" s="2"/>
      <c r="GD40" s="2">
        <v>1</v>
      </c>
      <c r="GE40" s="2">
        <v>573.70000000000005</v>
      </c>
      <c r="GF40" s="2">
        <v>318135557</v>
      </c>
      <c r="GG40" s="2">
        <v>2</v>
      </c>
      <c r="GH40" s="2">
        <v>1</v>
      </c>
      <c r="GI40" s="2">
        <v>-2</v>
      </c>
      <c r="GJ40" s="2">
        <v>0</v>
      </c>
      <c r="GK40" s="2">
        <v>0</v>
      </c>
      <c r="GL40" s="2">
        <f t="shared" si="27"/>
        <v>0</v>
      </c>
      <c r="GM40" s="2">
        <f t="shared" si="28"/>
        <v>-43419.45</v>
      </c>
      <c r="GN40" s="2">
        <f t="shared" si="29"/>
        <v>-43419.45</v>
      </c>
      <c r="GO40" s="2">
        <f t="shared" si="30"/>
        <v>0</v>
      </c>
      <c r="GP40" s="2">
        <f t="shared" si="31"/>
        <v>0</v>
      </c>
      <c r="GQ40" s="2"/>
      <c r="GR40" s="2">
        <v>3</v>
      </c>
      <c r="GS40" s="2">
        <v>3</v>
      </c>
      <c r="GT40" s="2">
        <v>0</v>
      </c>
      <c r="GU40" s="2" t="s">
        <v>3</v>
      </c>
      <c r="GV40" s="2">
        <f t="shared" si="32"/>
        <v>0</v>
      </c>
      <c r="GW40" s="2">
        <v>1</v>
      </c>
      <c r="GX40" s="2">
        <f t="shared" si="33"/>
        <v>0</v>
      </c>
      <c r="GY40" s="2"/>
      <c r="GZ40" s="2"/>
      <c r="HA40" s="2">
        <v>0</v>
      </c>
      <c r="HB40" s="2">
        <v>0</v>
      </c>
      <c r="HC40" s="2">
        <f t="shared" si="34"/>
        <v>0</v>
      </c>
      <c r="HD40" s="2"/>
      <c r="HE40" s="2" t="s">
        <v>3</v>
      </c>
      <c r="HF40" s="2" t="s">
        <v>3</v>
      </c>
      <c r="HG40" s="2"/>
      <c r="HH40" s="2"/>
      <c r="HI40" s="2"/>
      <c r="HJ40" s="2"/>
      <c r="HK40" s="2"/>
      <c r="HL40" s="2"/>
      <c r="HM40" s="2" t="s">
        <v>3</v>
      </c>
      <c r="HN40" s="2" t="s">
        <v>3</v>
      </c>
      <c r="HO40" s="2" t="s">
        <v>3</v>
      </c>
      <c r="HP40" s="2" t="s">
        <v>3</v>
      </c>
      <c r="HQ40" s="2" t="s">
        <v>3</v>
      </c>
      <c r="HR40" s="2"/>
      <c r="HS40" s="2">
        <v>0</v>
      </c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>
        <v>0</v>
      </c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2" spans="1:255">
      <c r="A42" s="3">
        <v>51</v>
      </c>
      <c r="B42" s="3">
        <f>B20</f>
        <v>1</v>
      </c>
      <c r="C42" s="3">
        <f>A20</f>
        <v>3</v>
      </c>
      <c r="D42" s="3">
        <f>ROW(A20)</f>
        <v>20</v>
      </c>
      <c r="E42" s="3"/>
      <c r="F42" s="3" t="str">
        <f>IF(F20&lt;&gt;"",F20,"")</f>
        <v>Новая локальная смета</v>
      </c>
      <c r="G42" s="3" t="str">
        <f>IF(G20&lt;&gt;"",G20,"")</f>
        <v>ремонт трубы</v>
      </c>
      <c r="H42" s="3">
        <v>0</v>
      </c>
      <c r="I42" s="3"/>
      <c r="J42" s="3"/>
      <c r="K42" s="3"/>
      <c r="L42" s="3"/>
      <c r="M42" s="3"/>
      <c r="N42" s="3"/>
      <c r="O42" s="3">
        <f t="shared" ref="O42:T42" si="38">ROUND(AB42,2)</f>
        <v>52656.07</v>
      </c>
      <c r="P42" s="3">
        <f t="shared" si="38"/>
        <v>4333.3599999999997</v>
      </c>
      <c r="Q42" s="3">
        <f t="shared" si="38"/>
        <v>22333.26</v>
      </c>
      <c r="R42" s="3">
        <f t="shared" si="38"/>
        <v>5074.08</v>
      </c>
      <c r="S42" s="3">
        <f t="shared" si="38"/>
        <v>20915.37</v>
      </c>
      <c r="T42" s="3">
        <f t="shared" si="38"/>
        <v>0</v>
      </c>
      <c r="U42" s="3">
        <f>AH42</f>
        <v>49.771999999999998</v>
      </c>
      <c r="V42" s="3">
        <f>AI42</f>
        <v>12.61312</v>
      </c>
      <c r="W42" s="3">
        <f>ROUND(AJ42,2)</f>
        <v>0</v>
      </c>
      <c r="X42" s="3">
        <f>ROUND(AK42,2)</f>
        <v>34113.56</v>
      </c>
      <c r="Y42" s="3">
        <f>ROUND(AL42,2)</f>
        <v>23901.1</v>
      </c>
      <c r="Z42" s="3"/>
      <c r="AA42" s="3"/>
      <c r="AB42" s="3">
        <f>ROUND(SUMIF(AA24:AA40,"=38182922",O24:O40),2)</f>
        <v>52656.07</v>
      </c>
      <c r="AC42" s="3">
        <f>ROUND(SUMIF(AA24:AA40,"=38182922",P24:P40),2)</f>
        <v>4333.3599999999997</v>
      </c>
      <c r="AD42" s="3">
        <f>ROUND(SUMIF(AA24:AA40,"=38182922",Q24:Q40),2)</f>
        <v>22333.26</v>
      </c>
      <c r="AE42" s="3">
        <f>ROUND(SUMIF(AA24:AA40,"=38182922",R24:R40),2)</f>
        <v>5074.08</v>
      </c>
      <c r="AF42" s="3">
        <f>ROUND(SUMIF(AA24:AA40,"=38182922",S24:S40),2)</f>
        <v>20915.37</v>
      </c>
      <c r="AG42" s="3">
        <f>ROUND(SUMIF(AA24:AA40,"=38182922",T24:T40),2)</f>
        <v>0</v>
      </c>
      <c r="AH42" s="3">
        <f>SUMIF(AA24:AA40,"=38182922",U24:U40)</f>
        <v>49.771999999999998</v>
      </c>
      <c r="AI42" s="3">
        <f>SUMIF(AA24:AA40,"=38182922",V24:V40)</f>
        <v>12.61312</v>
      </c>
      <c r="AJ42" s="3">
        <f>ROUND(SUMIF(AA24:AA40,"=38182922",W24:W40),2)</f>
        <v>0</v>
      </c>
      <c r="AK42" s="3">
        <f>ROUND(SUMIF(AA24:AA40,"=38182922",X24:X40),2)</f>
        <v>34113.56</v>
      </c>
      <c r="AL42" s="3">
        <f>ROUND(SUMIF(AA24:AA40,"=38182922",Y24:Y40),2)</f>
        <v>23901.1</v>
      </c>
      <c r="AM42" s="3"/>
      <c r="AN42" s="3"/>
      <c r="AO42" s="3">
        <f t="shared" ref="AO42:BD42" si="39">ROUND(BX42,2)</f>
        <v>0</v>
      </c>
      <c r="AP42" s="3">
        <f t="shared" si="39"/>
        <v>0</v>
      </c>
      <c r="AQ42" s="3">
        <f t="shared" si="39"/>
        <v>0</v>
      </c>
      <c r="AR42" s="3">
        <f t="shared" si="39"/>
        <v>110670.73</v>
      </c>
      <c r="AS42" s="3">
        <f t="shared" si="39"/>
        <v>110670.73</v>
      </c>
      <c r="AT42" s="3">
        <f t="shared" si="39"/>
        <v>0</v>
      </c>
      <c r="AU42" s="3">
        <f t="shared" si="39"/>
        <v>0</v>
      </c>
      <c r="AV42" s="3">
        <f t="shared" si="39"/>
        <v>4333.3599999999997</v>
      </c>
      <c r="AW42" s="3">
        <f t="shared" si="39"/>
        <v>4333.3599999999997</v>
      </c>
      <c r="AX42" s="3">
        <f t="shared" si="39"/>
        <v>0</v>
      </c>
      <c r="AY42" s="3">
        <f t="shared" si="39"/>
        <v>4333.3599999999997</v>
      </c>
      <c r="AZ42" s="3">
        <f t="shared" si="39"/>
        <v>0</v>
      </c>
      <c r="BA42" s="3">
        <f t="shared" si="39"/>
        <v>0</v>
      </c>
      <c r="BB42" s="3">
        <f t="shared" si="39"/>
        <v>0</v>
      </c>
      <c r="BC42" s="3">
        <f t="shared" si="39"/>
        <v>0</v>
      </c>
      <c r="BD42" s="3">
        <f t="shared" si="39"/>
        <v>0</v>
      </c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>
        <f>ROUND(SUMIF(AA24:AA40,"=38182922",FQ24:FQ40),2)</f>
        <v>0</v>
      </c>
      <c r="BY42" s="3">
        <f>ROUND(SUMIF(AA24:AA40,"=38182922",FR24:FR40),2)</f>
        <v>0</v>
      </c>
      <c r="BZ42" s="3">
        <f>ROUND(SUMIF(AA24:AA40,"=38182922",GL24:GL40),2)</f>
        <v>0</v>
      </c>
      <c r="CA42" s="3">
        <f>ROUND(SUMIF(AA24:AA40,"=38182922",GM24:GM40),2)</f>
        <v>110670.73</v>
      </c>
      <c r="CB42" s="3">
        <f>ROUND(SUMIF(AA24:AA40,"=38182922",GN24:GN40),2)</f>
        <v>110670.73</v>
      </c>
      <c r="CC42" s="3">
        <f>ROUND(SUMIF(AA24:AA40,"=38182922",GO24:GO40),2)</f>
        <v>0</v>
      </c>
      <c r="CD42" s="3">
        <f>ROUND(SUMIF(AA24:AA40,"=38182922",GP24:GP40),2)</f>
        <v>0</v>
      </c>
      <c r="CE42" s="3">
        <f>AC42-BX42</f>
        <v>4333.3599999999997</v>
      </c>
      <c r="CF42" s="3">
        <f>AC42-BY42</f>
        <v>4333.3599999999997</v>
      </c>
      <c r="CG42" s="3">
        <f>BX42-BZ42</f>
        <v>0</v>
      </c>
      <c r="CH42" s="3">
        <f>AC42-BX42-BY42+BZ42</f>
        <v>4333.3599999999997</v>
      </c>
      <c r="CI42" s="3">
        <f>BY42-BZ42</f>
        <v>0</v>
      </c>
      <c r="CJ42" s="3">
        <f>ROUND(SUMIF(AA24:AA40,"=38182922",GX24:GX40),2)</f>
        <v>0</v>
      </c>
      <c r="CK42" s="3">
        <f>ROUND(SUMIF(AA24:AA40,"=38182922",GY24:GY40),2)</f>
        <v>0</v>
      </c>
      <c r="CL42" s="3">
        <f>ROUND(SUMIF(AA24:AA40,"=38182922",GZ24:GZ40),2)</f>
        <v>0</v>
      </c>
      <c r="CM42" s="3">
        <f>ROUND(SUMIF(AA24:AA40,"=38182922",HD24:HD40),2)</f>
        <v>0</v>
      </c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>
        <v>0</v>
      </c>
    </row>
    <row r="44" spans="1:255">
      <c r="A44" s="5">
        <v>50</v>
      </c>
      <c r="B44" s="5">
        <v>0</v>
      </c>
      <c r="C44" s="5">
        <v>0</v>
      </c>
      <c r="D44" s="5">
        <v>1</v>
      </c>
      <c r="E44" s="5">
        <v>201</v>
      </c>
      <c r="F44" s="5">
        <f>ROUND(Source!O42,O44)</f>
        <v>52656.07</v>
      </c>
      <c r="G44" s="5" t="s">
        <v>118</v>
      </c>
      <c r="H44" s="5" t="s">
        <v>119</v>
      </c>
      <c r="I44" s="5"/>
      <c r="J44" s="5"/>
      <c r="K44" s="5">
        <v>201</v>
      </c>
      <c r="L44" s="5">
        <v>1</v>
      </c>
      <c r="M44" s="5">
        <v>3</v>
      </c>
      <c r="N44" s="5" t="s">
        <v>3</v>
      </c>
      <c r="O44" s="5">
        <v>2</v>
      </c>
      <c r="P44" s="5"/>
      <c r="Q44" s="5"/>
      <c r="R44" s="5"/>
      <c r="S44" s="5"/>
      <c r="T44" s="5"/>
      <c r="U44" s="5"/>
      <c r="V44" s="5"/>
      <c r="W44" s="5">
        <v>52656.07</v>
      </c>
      <c r="X44" s="5">
        <v>1</v>
      </c>
      <c r="Y44" s="5">
        <v>52656.07</v>
      </c>
      <c r="Z44" s="5"/>
      <c r="AA44" s="5"/>
      <c r="AB44" s="5"/>
    </row>
    <row r="45" spans="1:255">
      <c r="A45" s="5">
        <v>50</v>
      </c>
      <c r="B45" s="5">
        <v>0</v>
      </c>
      <c r="C45" s="5">
        <v>0</v>
      </c>
      <c r="D45" s="5">
        <v>1</v>
      </c>
      <c r="E45" s="5">
        <v>202</v>
      </c>
      <c r="F45" s="5">
        <f>ROUND(Source!P42,O45)</f>
        <v>4333.3599999999997</v>
      </c>
      <c r="G45" s="5" t="s">
        <v>120</v>
      </c>
      <c r="H45" s="5" t="s">
        <v>121</v>
      </c>
      <c r="I45" s="5"/>
      <c r="J45" s="5"/>
      <c r="K45" s="5">
        <v>202</v>
      </c>
      <c r="L45" s="5">
        <v>2</v>
      </c>
      <c r="M45" s="5">
        <v>3</v>
      </c>
      <c r="N45" s="5" t="s">
        <v>3</v>
      </c>
      <c r="O45" s="5">
        <v>2</v>
      </c>
      <c r="P45" s="5"/>
      <c r="Q45" s="5"/>
      <c r="R45" s="5"/>
      <c r="S45" s="5"/>
      <c r="T45" s="5"/>
      <c r="U45" s="5"/>
      <c r="V45" s="5"/>
      <c r="W45" s="5">
        <v>4333.3599999999997</v>
      </c>
      <c r="X45" s="5">
        <v>1</v>
      </c>
      <c r="Y45" s="5">
        <v>4333.3599999999997</v>
      </c>
      <c r="Z45" s="5"/>
      <c r="AA45" s="5"/>
      <c r="AB45" s="5"/>
    </row>
    <row r="46" spans="1:255">
      <c r="A46" s="5">
        <v>50</v>
      </c>
      <c r="B46" s="5">
        <v>0</v>
      </c>
      <c r="C46" s="5">
        <v>0</v>
      </c>
      <c r="D46" s="5">
        <v>1</v>
      </c>
      <c r="E46" s="5">
        <v>222</v>
      </c>
      <c r="F46" s="5">
        <f>ROUND(Source!AO42,O46)</f>
        <v>0</v>
      </c>
      <c r="G46" s="5" t="s">
        <v>122</v>
      </c>
      <c r="H46" s="5" t="s">
        <v>123</v>
      </c>
      <c r="I46" s="5"/>
      <c r="J46" s="5"/>
      <c r="K46" s="5">
        <v>222</v>
      </c>
      <c r="L46" s="5">
        <v>3</v>
      </c>
      <c r="M46" s="5">
        <v>3</v>
      </c>
      <c r="N46" s="5" t="s">
        <v>3</v>
      </c>
      <c r="O46" s="5">
        <v>2</v>
      </c>
      <c r="P46" s="5"/>
      <c r="Q46" s="5"/>
      <c r="R46" s="5"/>
      <c r="S46" s="5"/>
      <c r="T46" s="5"/>
      <c r="U46" s="5"/>
      <c r="V46" s="5"/>
      <c r="W46" s="5">
        <v>0</v>
      </c>
      <c r="X46" s="5">
        <v>1</v>
      </c>
      <c r="Y46" s="5">
        <v>0</v>
      </c>
      <c r="Z46" s="5"/>
      <c r="AA46" s="5"/>
      <c r="AB46" s="5"/>
    </row>
    <row r="47" spans="1:255">
      <c r="A47" s="5">
        <v>50</v>
      </c>
      <c r="B47" s="5">
        <v>0</v>
      </c>
      <c r="C47" s="5">
        <v>0</v>
      </c>
      <c r="D47" s="5">
        <v>1</v>
      </c>
      <c r="E47" s="5">
        <v>225</v>
      </c>
      <c r="F47" s="5">
        <f>ROUND(Source!AV42,O47)</f>
        <v>4333.3599999999997</v>
      </c>
      <c r="G47" s="5" t="s">
        <v>124</v>
      </c>
      <c r="H47" s="5" t="s">
        <v>125</v>
      </c>
      <c r="I47" s="5"/>
      <c r="J47" s="5"/>
      <c r="K47" s="5">
        <v>225</v>
      </c>
      <c r="L47" s="5">
        <v>4</v>
      </c>
      <c r="M47" s="5">
        <v>3</v>
      </c>
      <c r="N47" s="5" t="s">
        <v>3</v>
      </c>
      <c r="O47" s="5">
        <v>2</v>
      </c>
      <c r="P47" s="5"/>
      <c r="Q47" s="5"/>
      <c r="R47" s="5"/>
      <c r="S47" s="5"/>
      <c r="T47" s="5"/>
      <c r="U47" s="5"/>
      <c r="V47" s="5"/>
      <c r="W47" s="5">
        <v>4333.3599999999997</v>
      </c>
      <c r="X47" s="5">
        <v>1</v>
      </c>
      <c r="Y47" s="5">
        <v>4333.3599999999997</v>
      </c>
      <c r="Z47" s="5"/>
      <c r="AA47" s="5"/>
      <c r="AB47" s="5"/>
    </row>
    <row r="48" spans="1:255">
      <c r="A48" s="5">
        <v>50</v>
      </c>
      <c r="B48" s="5">
        <v>0</v>
      </c>
      <c r="C48" s="5">
        <v>0</v>
      </c>
      <c r="D48" s="5">
        <v>1</v>
      </c>
      <c r="E48" s="5">
        <v>226</v>
      </c>
      <c r="F48" s="5">
        <f>ROUND(Source!AW42,O48)</f>
        <v>4333.3599999999997</v>
      </c>
      <c r="G48" s="5" t="s">
        <v>126</v>
      </c>
      <c r="H48" s="5" t="s">
        <v>127</v>
      </c>
      <c r="I48" s="5"/>
      <c r="J48" s="5"/>
      <c r="K48" s="5">
        <v>226</v>
      </c>
      <c r="L48" s="5">
        <v>5</v>
      </c>
      <c r="M48" s="5">
        <v>3</v>
      </c>
      <c r="N48" s="5" t="s">
        <v>3</v>
      </c>
      <c r="O48" s="5">
        <v>2</v>
      </c>
      <c r="P48" s="5"/>
      <c r="Q48" s="5"/>
      <c r="R48" s="5"/>
      <c r="S48" s="5"/>
      <c r="T48" s="5"/>
      <c r="U48" s="5"/>
      <c r="V48" s="5"/>
      <c r="W48" s="5">
        <v>4333.3599999999997</v>
      </c>
      <c r="X48" s="5">
        <v>1</v>
      </c>
      <c r="Y48" s="5">
        <v>4333.3599999999997</v>
      </c>
      <c r="Z48" s="5"/>
      <c r="AA48" s="5"/>
      <c r="AB48" s="5"/>
    </row>
    <row r="49" spans="1:28">
      <c r="A49" s="5">
        <v>50</v>
      </c>
      <c r="B49" s="5">
        <v>0</v>
      </c>
      <c r="C49" s="5">
        <v>0</v>
      </c>
      <c r="D49" s="5">
        <v>1</v>
      </c>
      <c r="E49" s="5">
        <v>227</v>
      </c>
      <c r="F49" s="5">
        <f>ROUND(Source!AX42,O49)</f>
        <v>0</v>
      </c>
      <c r="G49" s="5" t="s">
        <v>128</v>
      </c>
      <c r="H49" s="5" t="s">
        <v>129</v>
      </c>
      <c r="I49" s="5"/>
      <c r="J49" s="5"/>
      <c r="K49" s="5">
        <v>227</v>
      </c>
      <c r="L49" s="5">
        <v>6</v>
      </c>
      <c r="M49" s="5">
        <v>3</v>
      </c>
      <c r="N49" s="5" t="s">
        <v>3</v>
      </c>
      <c r="O49" s="5">
        <v>2</v>
      </c>
      <c r="P49" s="5"/>
      <c r="Q49" s="5"/>
      <c r="R49" s="5"/>
      <c r="S49" s="5"/>
      <c r="T49" s="5"/>
      <c r="U49" s="5"/>
      <c r="V49" s="5"/>
      <c r="W49" s="5">
        <v>0</v>
      </c>
      <c r="X49" s="5">
        <v>1</v>
      </c>
      <c r="Y49" s="5">
        <v>0</v>
      </c>
      <c r="Z49" s="5"/>
      <c r="AA49" s="5"/>
      <c r="AB49" s="5"/>
    </row>
    <row r="50" spans="1:28">
      <c r="A50" s="5">
        <v>50</v>
      </c>
      <c r="B50" s="5">
        <v>0</v>
      </c>
      <c r="C50" s="5">
        <v>0</v>
      </c>
      <c r="D50" s="5">
        <v>1</v>
      </c>
      <c r="E50" s="5">
        <v>228</v>
      </c>
      <c r="F50" s="5">
        <f>ROUND(Source!AY42,O50)</f>
        <v>4333.3599999999997</v>
      </c>
      <c r="G50" s="5" t="s">
        <v>130</v>
      </c>
      <c r="H50" s="5" t="s">
        <v>131</v>
      </c>
      <c r="I50" s="5"/>
      <c r="J50" s="5"/>
      <c r="K50" s="5">
        <v>228</v>
      </c>
      <c r="L50" s="5">
        <v>7</v>
      </c>
      <c r="M50" s="5">
        <v>3</v>
      </c>
      <c r="N50" s="5" t="s">
        <v>3</v>
      </c>
      <c r="O50" s="5">
        <v>2</v>
      </c>
      <c r="P50" s="5"/>
      <c r="Q50" s="5"/>
      <c r="R50" s="5"/>
      <c r="S50" s="5"/>
      <c r="T50" s="5"/>
      <c r="U50" s="5"/>
      <c r="V50" s="5"/>
      <c r="W50" s="5">
        <v>4333.3599999999997</v>
      </c>
      <c r="X50" s="5">
        <v>1</v>
      </c>
      <c r="Y50" s="5">
        <v>4333.3599999999997</v>
      </c>
      <c r="Z50" s="5"/>
      <c r="AA50" s="5"/>
      <c r="AB50" s="5"/>
    </row>
    <row r="51" spans="1:28">
      <c r="A51" s="5">
        <v>50</v>
      </c>
      <c r="B51" s="5">
        <v>0</v>
      </c>
      <c r="C51" s="5">
        <v>0</v>
      </c>
      <c r="D51" s="5">
        <v>1</v>
      </c>
      <c r="E51" s="5">
        <v>216</v>
      </c>
      <c r="F51" s="5">
        <f>ROUND(Source!AP42,O51)</f>
        <v>0</v>
      </c>
      <c r="G51" s="5" t="s">
        <v>132</v>
      </c>
      <c r="H51" s="5" t="s">
        <v>133</v>
      </c>
      <c r="I51" s="5"/>
      <c r="J51" s="5"/>
      <c r="K51" s="5">
        <v>216</v>
      </c>
      <c r="L51" s="5">
        <v>8</v>
      </c>
      <c r="M51" s="5">
        <v>3</v>
      </c>
      <c r="N51" s="5" t="s">
        <v>3</v>
      </c>
      <c r="O51" s="5">
        <v>2</v>
      </c>
      <c r="P51" s="5"/>
      <c r="Q51" s="5"/>
      <c r="R51" s="5"/>
      <c r="S51" s="5"/>
      <c r="T51" s="5"/>
      <c r="U51" s="5"/>
      <c r="V51" s="5"/>
      <c r="W51" s="5">
        <v>0</v>
      </c>
      <c r="X51" s="5">
        <v>1</v>
      </c>
      <c r="Y51" s="5">
        <v>0</v>
      </c>
      <c r="Z51" s="5"/>
      <c r="AA51" s="5"/>
      <c r="AB51" s="5"/>
    </row>
    <row r="52" spans="1:28">
      <c r="A52" s="5">
        <v>50</v>
      </c>
      <c r="B52" s="5">
        <v>0</v>
      </c>
      <c r="C52" s="5">
        <v>0</v>
      </c>
      <c r="D52" s="5">
        <v>1</v>
      </c>
      <c r="E52" s="5">
        <v>223</v>
      </c>
      <c r="F52" s="5">
        <f>ROUND(Source!AQ42,O52)</f>
        <v>0</v>
      </c>
      <c r="G52" s="5" t="s">
        <v>134</v>
      </c>
      <c r="H52" s="5" t="s">
        <v>135</v>
      </c>
      <c r="I52" s="5"/>
      <c r="J52" s="5"/>
      <c r="K52" s="5">
        <v>223</v>
      </c>
      <c r="L52" s="5">
        <v>9</v>
      </c>
      <c r="M52" s="5">
        <v>3</v>
      </c>
      <c r="N52" s="5" t="s">
        <v>3</v>
      </c>
      <c r="O52" s="5">
        <v>2</v>
      </c>
      <c r="P52" s="5"/>
      <c r="Q52" s="5"/>
      <c r="R52" s="5"/>
      <c r="S52" s="5"/>
      <c r="T52" s="5"/>
      <c r="U52" s="5"/>
      <c r="V52" s="5"/>
      <c r="W52" s="5">
        <v>0</v>
      </c>
      <c r="X52" s="5">
        <v>1</v>
      </c>
      <c r="Y52" s="5">
        <v>0</v>
      </c>
      <c r="Z52" s="5"/>
      <c r="AA52" s="5"/>
      <c r="AB52" s="5"/>
    </row>
    <row r="53" spans="1:28">
      <c r="A53" s="5">
        <v>50</v>
      </c>
      <c r="B53" s="5">
        <v>0</v>
      </c>
      <c r="C53" s="5">
        <v>0</v>
      </c>
      <c r="D53" s="5">
        <v>1</v>
      </c>
      <c r="E53" s="5">
        <v>229</v>
      </c>
      <c r="F53" s="5">
        <f>ROUND(Source!AZ42,O53)</f>
        <v>0</v>
      </c>
      <c r="G53" s="5" t="s">
        <v>136</v>
      </c>
      <c r="H53" s="5" t="s">
        <v>137</v>
      </c>
      <c r="I53" s="5"/>
      <c r="J53" s="5"/>
      <c r="K53" s="5">
        <v>229</v>
      </c>
      <c r="L53" s="5">
        <v>10</v>
      </c>
      <c r="M53" s="5">
        <v>3</v>
      </c>
      <c r="N53" s="5" t="s">
        <v>3</v>
      </c>
      <c r="O53" s="5">
        <v>2</v>
      </c>
      <c r="P53" s="5"/>
      <c r="Q53" s="5"/>
      <c r="R53" s="5"/>
      <c r="S53" s="5"/>
      <c r="T53" s="5"/>
      <c r="U53" s="5"/>
      <c r="V53" s="5"/>
      <c r="W53" s="5">
        <v>0</v>
      </c>
      <c r="X53" s="5">
        <v>1</v>
      </c>
      <c r="Y53" s="5">
        <v>0</v>
      </c>
      <c r="Z53" s="5"/>
      <c r="AA53" s="5"/>
      <c r="AB53" s="5"/>
    </row>
    <row r="54" spans="1:28">
      <c r="A54" s="5">
        <v>50</v>
      </c>
      <c r="B54" s="5">
        <v>0</v>
      </c>
      <c r="C54" s="5">
        <v>0</v>
      </c>
      <c r="D54" s="5">
        <v>1</v>
      </c>
      <c r="E54" s="5">
        <v>203</v>
      </c>
      <c r="F54" s="5">
        <f>ROUND(Source!Q42,O54)</f>
        <v>22333.26</v>
      </c>
      <c r="G54" s="5" t="s">
        <v>74</v>
      </c>
      <c r="H54" s="5" t="s">
        <v>138</v>
      </c>
      <c r="I54" s="5"/>
      <c r="J54" s="5"/>
      <c r="K54" s="5">
        <v>203</v>
      </c>
      <c r="L54" s="5">
        <v>11</v>
      </c>
      <c r="M54" s="5">
        <v>3</v>
      </c>
      <c r="N54" s="5" t="s">
        <v>3</v>
      </c>
      <c r="O54" s="5">
        <v>2</v>
      </c>
      <c r="P54" s="5"/>
      <c r="Q54" s="5"/>
      <c r="R54" s="5"/>
      <c r="S54" s="5"/>
      <c r="T54" s="5"/>
      <c r="U54" s="5"/>
      <c r="V54" s="5"/>
      <c r="W54" s="5">
        <v>22333.26</v>
      </c>
      <c r="X54" s="5">
        <v>1</v>
      </c>
      <c r="Y54" s="5">
        <v>22333.26</v>
      </c>
      <c r="Z54" s="5"/>
      <c r="AA54" s="5"/>
      <c r="AB54" s="5"/>
    </row>
    <row r="55" spans="1:28">
      <c r="A55" s="5">
        <v>50</v>
      </c>
      <c r="B55" s="5">
        <v>0</v>
      </c>
      <c r="C55" s="5">
        <v>0</v>
      </c>
      <c r="D55" s="5">
        <v>1</v>
      </c>
      <c r="E55" s="5">
        <v>231</v>
      </c>
      <c r="F55" s="5">
        <f>ROUND(Source!BB42,O55)</f>
        <v>0</v>
      </c>
      <c r="G55" s="5" t="s">
        <v>139</v>
      </c>
      <c r="H55" s="5" t="s">
        <v>140</v>
      </c>
      <c r="I55" s="5"/>
      <c r="J55" s="5"/>
      <c r="K55" s="5">
        <v>231</v>
      </c>
      <c r="L55" s="5">
        <v>12</v>
      </c>
      <c r="M55" s="5">
        <v>3</v>
      </c>
      <c r="N55" s="5" t="s">
        <v>3</v>
      </c>
      <c r="O55" s="5">
        <v>2</v>
      </c>
      <c r="P55" s="5"/>
      <c r="Q55" s="5"/>
      <c r="R55" s="5"/>
      <c r="S55" s="5"/>
      <c r="T55" s="5"/>
      <c r="U55" s="5"/>
      <c r="V55" s="5"/>
      <c r="W55" s="5">
        <v>0</v>
      </c>
      <c r="X55" s="5">
        <v>1</v>
      </c>
      <c r="Y55" s="5">
        <v>0</v>
      </c>
      <c r="Z55" s="5"/>
      <c r="AA55" s="5"/>
      <c r="AB55" s="5"/>
    </row>
    <row r="56" spans="1:28">
      <c r="A56" s="5">
        <v>50</v>
      </c>
      <c r="B56" s="5">
        <v>0</v>
      </c>
      <c r="C56" s="5">
        <v>0</v>
      </c>
      <c r="D56" s="5">
        <v>1</v>
      </c>
      <c r="E56" s="5">
        <v>204</v>
      </c>
      <c r="F56" s="5">
        <f>ROUND(Source!R42,O56)</f>
        <v>5074.08</v>
      </c>
      <c r="G56" s="5" t="s">
        <v>141</v>
      </c>
      <c r="H56" s="5" t="s">
        <v>142</v>
      </c>
      <c r="I56" s="5"/>
      <c r="J56" s="5"/>
      <c r="K56" s="5">
        <v>204</v>
      </c>
      <c r="L56" s="5">
        <v>13</v>
      </c>
      <c r="M56" s="5">
        <v>3</v>
      </c>
      <c r="N56" s="5" t="s">
        <v>3</v>
      </c>
      <c r="O56" s="5">
        <v>2</v>
      </c>
      <c r="P56" s="5"/>
      <c r="Q56" s="5"/>
      <c r="R56" s="5"/>
      <c r="S56" s="5"/>
      <c r="T56" s="5"/>
      <c r="U56" s="5"/>
      <c r="V56" s="5"/>
      <c r="W56" s="5">
        <v>5074.08</v>
      </c>
      <c r="X56" s="5">
        <v>1</v>
      </c>
      <c r="Y56" s="5">
        <v>5074.08</v>
      </c>
      <c r="Z56" s="5"/>
      <c r="AA56" s="5"/>
      <c r="AB56" s="5"/>
    </row>
    <row r="57" spans="1:28">
      <c r="A57" s="5">
        <v>50</v>
      </c>
      <c r="B57" s="5">
        <v>0</v>
      </c>
      <c r="C57" s="5">
        <v>0</v>
      </c>
      <c r="D57" s="5">
        <v>1</v>
      </c>
      <c r="E57" s="5">
        <v>205</v>
      </c>
      <c r="F57" s="5">
        <f>ROUND(Source!S42,O57)</f>
        <v>20915.37</v>
      </c>
      <c r="G57" s="5" t="s">
        <v>143</v>
      </c>
      <c r="H57" s="5" t="s">
        <v>144</v>
      </c>
      <c r="I57" s="5"/>
      <c r="J57" s="5"/>
      <c r="K57" s="5">
        <v>205</v>
      </c>
      <c r="L57" s="5">
        <v>14</v>
      </c>
      <c r="M57" s="5">
        <v>3</v>
      </c>
      <c r="N57" s="5" t="s">
        <v>3</v>
      </c>
      <c r="O57" s="5">
        <v>2</v>
      </c>
      <c r="P57" s="5"/>
      <c r="Q57" s="5"/>
      <c r="R57" s="5"/>
      <c r="S57" s="5"/>
      <c r="T57" s="5"/>
      <c r="U57" s="5"/>
      <c r="V57" s="5"/>
      <c r="W57" s="5">
        <v>20915.37</v>
      </c>
      <c r="X57" s="5">
        <v>1</v>
      </c>
      <c r="Y57" s="5">
        <v>20915.37</v>
      </c>
      <c r="Z57" s="5"/>
      <c r="AA57" s="5"/>
      <c r="AB57" s="5"/>
    </row>
    <row r="58" spans="1:28">
      <c r="A58" s="5">
        <v>50</v>
      </c>
      <c r="B58" s="5">
        <v>0</v>
      </c>
      <c r="C58" s="5">
        <v>0</v>
      </c>
      <c r="D58" s="5">
        <v>1</v>
      </c>
      <c r="E58" s="5">
        <v>232</v>
      </c>
      <c r="F58" s="5">
        <f>ROUND(Source!BC42,O58)</f>
        <v>0</v>
      </c>
      <c r="G58" s="5" t="s">
        <v>145</v>
      </c>
      <c r="H58" s="5" t="s">
        <v>146</v>
      </c>
      <c r="I58" s="5"/>
      <c r="J58" s="5"/>
      <c r="K58" s="5">
        <v>232</v>
      </c>
      <c r="L58" s="5">
        <v>15</v>
      </c>
      <c r="M58" s="5">
        <v>3</v>
      </c>
      <c r="N58" s="5" t="s">
        <v>3</v>
      </c>
      <c r="O58" s="5">
        <v>2</v>
      </c>
      <c r="P58" s="5"/>
      <c r="Q58" s="5"/>
      <c r="R58" s="5"/>
      <c r="S58" s="5"/>
      <c r="T58" s="5"/>
      <c r="U58" s="5"/>
      <c r="V58" s="5"/>
      <c r="W58" s="5">
        <v>0</v>
      </c>
      <c r="X58" s="5">
        <v>1</v>
      </c>
      <c r="Y58" s="5">
        <v>0</v>
      </c>
      <c r="Z58" s="5"/>
      <c r="AA58" s="5"/>
      <c r="AB58" s="5"/>
    </row>
    <row r="59" spans="1:28">
      <c r="A59" s="5">
        <v>50</v>
      </c>
      <c r="B59" s="5">
        <v>0</v>
      </c>
      <c r="C59" s="5">
        <v>0</v>
      </c>
      <c r="D59" s="5">
        <v>1</v>
      </c>
      <c r="E59" s="5">
        <v>214</v>
      </c>
      <c r="F59" s="5">
        <f>ROUND(Source!AS42,O59)</f>
        <v>110670.73</v>
      </c>
      <c r="G59" s="5" t="s">
        <v>147</v>
      </c>
      <c r="H59" s="5" t="s">
        <v>148</v>
      </c>
      <c r="I59" s="5"/>
      <c r="J59" s="5"/>
      <c r="K59" s="5">
        <v>214</v>
      </c>
      <c r="L59" s="5">
        <v>16</v>
      </c>
      <c r="M59" s="5">
        <v>3</v>
      </c>
      <c r="N59" s="5" t="s">
        <v>3</v>
      </c>
      <c r="O59" s="5">
        <v>2</v>
      </c>
      <c r="P59" s="5"/>
      <c r="Q59" s="5"/>
      <c r="R59" s="5"/>
      <c r="S59" s="5"/>
      <c r="T59" s="5"/>
      <c r="U59" s="5"/>
      <c r="V59" s="5"/>
      <c r="W59" s="5">
        <v>110670.73</v>
      </c>
      <c r="X59" s="5">
        <v>1</v>
      </c>
      <c r="Y59" s="5">
        <v>110670.73</v>
      </c>
      <c r="Z59" s="5"/>
      <c r="AA59" s="5"/>
      <c r="AB59" s="5"/>
    </row>
    <row r="60" spans="1:28">
      <c r="A60" s="5">
        <v>50</v>
      </c>
      <c r="B60" s="5">
        <v>0</v>
      </c>
      <c r="C60" s="5">
        <v>0</v>
      </c>
      <c r="D60" s="5">
        <v>1</v>
      </c>
      <c r="E60" s="5">
        <v>215</v>
      </c>
      <c r="F60" s="5">
        <f>ROUND(Source!AT42,O60)</f>
        <v>0</v>
      </c>
      <c r="G60" s="5" t="s">
        <v>149</v>
      </c>
      <c r="H60" s="5" t="s">
        <v>150</v>
      </c>
      <c r="I60" s="5"/>
      <c r="J60" s="5"/>
      <c r="K60" s="5">
        <v>215</v>
      </c>
      <c r="L60" s="5">
        <v>17</v>
      </c>
      <c r="M60" s="5">
        <v>3</v>
      </c>
      <c r="N60" s="5" t="s">
        <v>3</v>
      </c>
      <c r="O60" s="5">
        <v>2</v>
      </c>
      <c r="P60" s="5"/>
      <c r="Q60" s="5"/>
      <c r="R60" s="5"/>
      <c r="S60" s="5"/>
      <c r="T60" s="5"/>
      <c r="U60" s="5"/>
      <c r="V60" s="5"/>
      <c r="W60" s="5">
        <v>0</v>
      </c>
      <c r="X60" s="5">
        <v>1</v>
      </c>
      <c r="Y60" s="5">
        <v>0</v>
      </c>
      <c r="Z60" s="5"/>
      <c r="AA60" s="5"/>
      <c r="AB60" s="5"/>
    </row>
    <row r="61" spans="1:28">
      <c r="A61" s="5">
        <v>50</v>
      </c>
      <c r="B61" s="5">
        <v>0</v>
      </c>
      <c r="C61" s="5">
        <v>0</v>
      </c>
      <c r="D61" s="5">
        <v>1</v>
      </c>
      <c r="E61" s="5">
        <v>217</v>
      </c>
      <c r="F61" s="5">
        <f>ROUND(Source!AU42,O61)</f>
        <v>0</v>
      </c>
      <c r="G61" s="5" t="s">
        <v>151</v>
      </c>
      <c r="H61" s="5" t="s">
        <v>152</v>
      </c>
      <c r="I61" s="5"/>
      <c r="J61" s="5"/>
      <c r="K61" s="5">
        <v>217</v>
      </c>
      <c r="L61" s="5">
        <v>18</v>
      </c>
      <c r="M61" s="5">
        <v>3</v>
      </c>
      <c r="N61" s="5" t="s">
        <v>3</v>
      </c>
      <c r="O61" s="5">
        <v>2</v>
      </c>
      <c r="P61" s="5"/>
      <c r="Q61" s="5"/>
      <c r="R61" s="5"/>
      <c r="S61" s="5"/>
      <c r="T61" s="5"/>
      <c r="U61" s="5"/>
      <c r="V61" s="5"/>
      <c r="W61" s="5">
        <v>0</v>
      </c>
      <c r="X61" s="5">
        <v>1</v>
      </c>
      <c r="Y61" s="5">
        <v>0</v>
      </c>
      <c r="Z61" s="5"/>
      <c r="AA61" s="5"/>
      <c r="AB61" s="5"/>
    </row>
    <row r="62" spans="1:28">
      <c r="A62" s="5">
        <v>50</v>
      </c>
      <c r="B62" s="5">
        <v>0</v>
      </c>
      <c r="C62" s="5">
        <v>0</v>
      </c>
      <c r="D62" s="5">
        <v>1</v>
      </c>
      <c r="E62" s="5">
        <v>230</v>
      </c>
      <c r="F62" s="5">
        <f>ROUND(Source!BA42,O62)</f>
        <v>0</v>
      </c>
      <c r="G62" s="5" t="s">
        <v>153</v>
      </c>
      <c r="H62" s="5" t="s">
        <v>154</v>
      </c>
      <c r="I62" s="5"/>
      <c r="J62" s="5"/>
      <c r="K62" s="5">
        <v>230</v>
      </c>
      <c r="L62" s="5">
        <v>19</v>
      </c>
      <c r="M62" s="5">
        <v>3</v>
      </c>
      <c r="N62" s="5" t="s">
        <v>3</v>
      </c>
      <c r="O62" s="5">
        <v>2</v>
      </c>
      <c r="P62" s="5"/>
      <c r="Q62" s="5"/>
      <c r="R62" s="5"/>
      <c r="S62" s="5"/>
      <c r="T62" s="5"/>
      <c r="U62" s="5"/>
      <c r="V62" s="5"/>
      <c r="W62" s="5">
        <v>0</v>
      </c>
      <c r="X62" s="5">
        <v>1</v>
      </c>
      <c r="Y62" s="5">
        <v>0</v>
      </c>
      <c r="Z62" s="5"/>
      <c r="AA62" s="5"/>
      <c r="AB62" s="5"/>
    </row>
    <row r="63" spans="1:28">
      <c r="A63" s="5">
        <v>50</v>
      </c>
      <c r="B63" s="5">
        <v>0</v>
      </c>
      <c r="C63" s="5">
        <v>0</v>
      </c>
      <c r="D63" s="5">
        <v>1</v>
      </c>
      <c r="E63" s="5">
        <v>206</v>
      </c>
      <c r="F63" s="5">
        <f>ROUND(Source!T42,O63)</f>
        <v>0</v>
      </c>
      <c r="G63" s="5" t="s">
        <v>155</v>
      </c>
      <c r="H63" s="5" t="s">
        <v>156</v>
      </c>
      <c r="I63" s="5"/>
      <c r="J63" s="5"/>
      <c r="K63" s="5">
        <v>206</v>
      </c>
      <c r="L63" s="5">
        <v>20</v>
      </c>
      <c r="M63" s="5">
        <v>3</v>
      </c>
      <c r="N63" s="5" t="s">
        <v>3</v>
      </c>
      <c r="O63" s="5">
        <v>2</v>
      </c>
      <c r="P63" s="5"/>
      <c r="Q63" s="5"/>
      <c r="R63" s="5"/>
      <c r="S63" s="5"/>
      <c r="T63" s="5"/>
      <c r="U63" s="5"/>
      <c r="V63" s="5"/>
      <c r="W63" s="5">
        <v>0</v>
      </c>
      <c r="X63" s="5">
        <v>1</v>
      </c>
      <c r="Y63" s="5">
        <v>0</v>
      </c>
      <c r="Z63" s="5"/>
      <c r="AA63" s="5"/>
      <c r="AB63" s="5"/>
    </row>
    <row r="64" spans="1:28">
      <c r="A64" s="5">
        <v>50</v>
      </c>
      <c r="B64" s="5">
        <v>0</v>
      </c>
      <c r="C64" s="5">
        <v>0</v>
      </c>
      <c r="D64" s="5">
        <v>1</v>
      </c>
      <c r="E64" s="5">
        <v>207</v>
      </c>
      <c r="F64" s="5">
        <f>ROUND(Source!U42,O64)</f>
        <v>49.771999999999998</v>
      </c>
      <c r="G64" s="5" t="s">
        <v>157</v>
      </c>
      <c r="H64" s="5" t="s">
        <v>158</v>
      </c>
      <c r="I64" s="5"/>
      <c r="J64" s="5"/>
      <c r="K64" s="5">
        <v>207</v>
      </c>
      <c r="L64" s="5">
        <v>21</v>
      </c>
      <c r="M64" s="5">
        <v>3</v>
      </c>
      <c r="N64" s="5" t="s">
        <v>3</v>
      </c>
      <c r="O64" s="5">
        <v>7</v>
      </c>
      <c r="P64" s="5"/>
      <c r="Q64" s="5"/>
      <c r="R64" s="5"/>
      <c r="S64" s="5"/>
      <c r="T64" s="5"/>
      <c r="U64" s="5"/>
      <c r="V64" s="5"/>
      <c r="W64" s="5">
        <v>49.771999999999998</v>
      </c>
      <c r="X64" s="5">
        <v>1</v>
      </c>
      <c r="Y64" s="5">
        <v>49.771999999999998</v>
      </c>
      <c r="Z64" s="5"/>
      <c r="AA64" s="5"/>
      <c r="AB64" s="5"/>
    </row>
    <row r="65" spans="1:206">
      <c r="A65" s="5">
        <v>50</v>
      </c>
      <c r="B65" s="5">
        <v>0</v>
      </c>
      <c r="C65" s="5">
        <v>0</v>
      </c>
      <c r="D65" s="5">
        <v>1</v>
      </c>
      <c r="E65" s="5">
        <v>208</v>
      </c>
      <c r="F65" s="5">
        <f>ROUND(Source!V42,O65)</f>
        <v>12.61312</v>
      </c>
      <c r="G65" s="5" t="s">
        <v>159</v>
      </c>
      <c r="H65" s="5" t="s">
        <v>160</v>
      </c>
      <c r="I65" s="5"/>
      <c r="J65" s="5"/>
      <c r="K65" s="5">
        <v>208</v>
      </c>
      <c r="L65" s="5">
        <v>22</v>
      </c>
      <c r="M65" s="5">
        <v>3</v>
      </c>
      <c r="N65" s="5" t="s">
        <v>3</v>
      </c>
      <c r="O65" s="5">
        <v>7</v>
      </c>
      <c r="P65" s="5"/>
      <c r="Q65" s="5"/>
      <c r="R65" s="5"/>
      <c r="S65" s="5"/>
      <c r="T65" s="5"/>
      <c r="U65" s="5"/>
      <c r="V65" s="5"/>
      <c r="W65" s="5">
        <v>12.61312</v>
      </c>
      <c r="X65" s="5">
        <v>1</v>
      </c>
      <c r="Y65" s="5">
        <v>12.61312</v>
      </c>
      <c r="Z65" s="5"/>
      <c r="AA65" s="5"/>
      <c r="AB65" s="5"/>
    </row>
    <row r="66" spans="1:206">
      <c r="A66" s="5">
        <v>50</v>
      </c>
      <c r="B66" s="5">
        <v>0</v>
      </c>
      <c r="C66" s="5">
        <v>0</v>
      </c>
      <c r="D66" s="5">
        <v>1</v>
      </c>
      <c r="E66" s="5">
        <v>209</v>
      </c>
      <c r="F66" s="5">
        <f>ROUND(Source!W42,O66)</f>
        <v>0</v>
      </c>
      <c r="G66" s="5" t="s">
        <v>161</v>
      </c>
      <c r="H66" s="5" t="s">
        <v>162</v>
      </c>
      <c r="I66" s="5"/>
      <c r="J66" s="5"/>
      <c r="K66" s="5">
        <v>209</v>
      </c>
      <c r="L66" s="5">
        <v>23</v>
      </c>
      <c r="M66" s="5">
        <v>3</v>
      </c>
      <c r="N66" s="5" t="s">
        <v>3</v>
      </c>
      <c r="O66" s="5">
        <v>2</v>
      </c>
      <c r="P66" s="5"/>
      <c r="Q66" s="5"/>
      <c r="R66" s="5"/>
      <c r="S66" s="5"/>
      <c r="T66" s="5"/>
      <c r="U66" s="5"/>
      <c r="V66" s="5"/>
      <c r="W66" s="5">
        <v>0</v>
      </c>
      <c r="X66" s="5">
        <v>1</v>
      </c>
      <c r="Y66" s="5">
        <v>0</v>
      </c>
      <c r="Z66" s="5"/>
      <c r="AA66" s="5"/>
      <c r="AB66" s="5"/>
    </row>
    <row r="67" spans="1:206">
      <c r="A67" s="5">
        <v>50</v>
      </c>
      <c r="B67" s="5">
        <v>0</v>
      </c>
      <c r="C67" s="5">
        <v>0</v>
      </c>
      <c r="D67" s="5">
        <v>1</v>
      </c>
      <c r="E67" s="5">
        <v>233</v>
      </c>
      <c r="F67" s="5">
        <f>ROUND(Source!BD42,O67)</f>
        <v>0</v>
      </c>
      <c r="G67" s="5" t="s">
        <v>163</v>
      </c>
      <c r="H67" s="5" t="s">
        <v>164</v>
      </c>
      <c r="I67" s="5"/>
      <c r="J67" s="5"/>
      <c r="K67" s="5">
        <v>233</v>
      </c>
      <c r="L67" s="5">
        <v>24</v>
      </c>
      <c r="M67" s="5">
        <v>3</v>
      </c>
      <c r="N67" s="5" t="s">
        <v>3</v>
      </c>
      <c r="O67" s="5">
        <v>2</v>
      </c>
      <c r="P67" s="5"/>
      <c r="Q67" s="5"/>
      <c r="R67" s="5"/>
      <c r="S67" s="5"/>
      <c r="T67" s="5"/>
      <c r="U67" s="5"/>
      <c r="V67" s="5"/>
      <c r="W67" s="5">
        <v>0</v>
      </c>
      <c r="X67" s="5">
        <v>1</v>
      </c>
      <c r="Y67" s="5">
        <v>0</v>
      </c>
      <c r="Z67" s="5"/>
      <c r="AA67" s="5"/>
      <c r="AB67" s="5"/>
    </row>
    <row r="68" spans="1:206">
      <c r="A68" s="5">
        <v>50</v>
      </c>
      <c r="B68" s="5">
        <v>0</v>
      </c>
      <c r="C68" s="5">
        <v>0</v>
      </c>
      <c r="D68" s="5">
        <v>1</v>
      </c>
      <c r="E68" s="5">
        <v>210</v>
      </c>
      <c r="F68" s="5">
        <f>ROUND(Source!X42,O68)</f>
        <v>34113.56</v>
      </c>
      <c r="G68" s="5" t="s">
        <v>165</v>
      </c>
      <c r="H68" s="5" t="s">
        <v>166</v>
      </c>
      <c r="I68" s="5"/>
      <c r="J68" s="5"/>
      <c r="K68" s="5">
        <v>210</v>
      </c>
      <c r="L68" s="5">
        <v>25</v>
      </c>
      <c r="M68" s="5">
        <v>3</v>
      </c>
      <c r="N68" s="5" t="s">
        <v>3</v>
      </c>
      <c r="O68" s="5">
        <v>2</v>
      </c>
      <c r="P68" s="5"/>
      <c r="Q68" s="5"/>
      <c r="R68" s="5"/>
      <c r="S68" s="5"/>
      <c r="T68" s="5"/>
      <c r="U68" s="5"/>
      <c r="V68" s="5"/>
      <c r="W68" s="5">
        <v>34113.56</v>
      </c>
      <c r="X68" s="5">
        <v>1</v>
      </c>
      <c r="Y68" s="5">
        <v>34113.56</v>
      </c>
      <c r="Z68" s="5"/>
      <c r="AA68" s="5"/>
      <c r="AB68" s="5"/>
    </row>
    <row r="69" spans="1:206">
      <c r="A69" s="5">
        <v>50</v>
      </c>
      <c r="B69" s="5">
        <v>0</v>
      </c>
      <c r="C69" s="5">
        <v>0</v>
      </c>
      <c r="D69" s="5">
        <v>1</v>
      </c>
      <c r="E69" s="5">
        <v>211</v>
      </c>
      <c r="F69" s="5">
        <f>ROUND(Source!Y42,O69)</f>
        <v>23901.1</v>
      </c>
      <c r="G69" s="5" t="s">
        <v>167</v>
      </c>
      <c r="H69" s="5" t="s">
        <v>168</v>
      </c>
      <c r="I69" s="5"/>
      <c r="J69" s="5"/>
      <c r="K69" s="5">
        <v>211</v>
      </c>
      <c r="L69" s="5">
        <v>26</v>
      </c>
      <c r="M69" s="5">
        <v>3</v>
      </c>
      <c r="N69" s="5" t="s">
        <v>3</v>
      </c>
      <c r="O69" s="5">
        <v>2</v>
      </c>
      <c r="P69" s="5"/>
      <c r="Q69" s="5"/>
      <c r="R69" s="5"/>
      <c r="S69" s="5"/>
      <c r="T69" s="5"/>
      <c r="U69" s="5"/>
      <c r="V69" s="5"/>
      <c r="W69" s="5">
        <v>23901.1</v>
      </c>
      <c r="X69" s="5">
        <v>1</v>
      </c>
      <c r="Y69" s="5">
        <v>23901.1</v>
      </c>
      <c r="Z69" s="5"/>
      <c r="AA69" s="5"/>
      <c r="AB69" s="5"/>
    </row>
    <row r="70" spans="1:206">
      <c r="A70" s="5">
        <v>50</v>
      </c>
      <c r="B70" s="5">
        <v>0</v>
      </c>
      <c r="C70" s="5">
        <v>0</v>
      </c>
      <c r="D70" s="5">
        <v>1</v>
      </c>
      <c r="E70" s="5">
        <v>224</v>
      </c>
      <c r="F70" s="5">
        <f>ROUND(Source!AR42,O70)</f>
        <v>110670.73</v>
      </c>
      <c r="G70" s="5" t="s">
        <v>169</v>
      </c>
      <c r="H70" s="5" t="s">
        <v>170</v>
      </c>
      <c r="I70" s="5"/>
      <c r="J70" s="5"/>
      <c r="K70" s="5">
        <v>224</v>
      </c>
      <c r="L70" s="5">
        <v>27</v>
      </c>
      <c r="M70" s="5">
        <v>3</v>
      </c>
      <c r="N70" s="5" t="s">
        <v>3</v>
      </c>
      <c r="O70" s="5">
        <v>2</v>
      </c>
      <c r="P70" s="5"/>
      <c r="Q70" s="5"/>
      <c r="R70" s="5"/>
      <c r="S70" s="5"/>
      <c r="T70" s="5"/>
      <c r="U70" s="5"/>
      <c r="V70" s="5"/>
      <c r="W70" s="5">
        <v>110670.73</v>
      </c>
      <c r="X70" s="5">
        <v>1</v>
      </c>
      <c r="Y70" s="5">
        <v>110670.73</v>
      </c>
      <c r="Z70" s="5"/>
      <c r="AA70" s="5"/>
      <c r="AB70" s="5"/>
    </row>
    <row r="71" spans="1:206">
      <c r="A71" s="5">
        <v>50</v>
      </c>
      <c r="B71" s="5">
        <v>1</v>
      </c>
      <c r="C71" s="5">
        <v>0</v>
      </c>
      <c r="D71" s="5">
        <v>2</v>
      </c>
      <c r="E71" s="5">
        <v>0</v>
      </c>
      <c r="F71" s="5">
        <f>ROUND(F70,O71)</f>
        <v>110670.73</v>
      </c>
      <c r="G71" s="5" t="s">
        <v>171</v>
      </c>
      <c r="H71" s="5" t="s">
        <v>172</v>
      </c>
      <c r="I71" s="5"/>
      <c r="J71" s="5"/>
      <c r="K71" s="5">
        <v>212</v>
      </c>
      <c r="L71" s="5">
        <v>28</v>
      </c>
      <c r="M71" s="5">
        <v>0</v>
      </c>
      <c r="N71" s="5" t="s">
        <v>3</v>
      </c>
      <c r="O71" s="5">
        <v>2</v>
      </c>
      <c r="P71" s="5"/>
      <c r="Q71" s="5"/>
      <c r="R71" s="5"/>
      <c r="S71" s="5"/>
      <c r="T71" s="5"/>
      <c r="U71" s="5"/>
      <c r="V71" s="5"/>
      <c r="W71" s="5">
        <v>110670.73</v>
      </c>
      <c r="X71" s="5">
        <v>1</v>
      </c>
      <c r="Y71" s="5">
        <v>110670.73</v>
      </c>
      <c r="Z71" s="5"/>
      <c r="AA71" s="5"/>
      <c r="AB71" s="5"/>
    </row>
    <row r="72" spans="1:206">
      <c r="A72" s="5">
        <v>50</v>
      </c>
      <c r="B72" s="5">
        <v>1</v>
      </c>
      <c r="C72" s="5">
        <v>0</v>
      </c>
      <c r="D72" s="5">
        <v>2</v>
      </c>
      <c r="E72" s="5">
        <v>0</v>
      </c>
      <c r="F72" s="5">
        <f>ROUND(F71*6.2/100,O72)</f>
        <v>6861.59</v>
      </c>
      <c r="G72" s="5" t="s">
        <v>173</v>
      </c>
      <c r="H72" s="5" t="s">
        <v>174</v>
      </c>
      <c r="I72" s="5"/>
      <c r="J72" s="5"/>
      <c r="K72" s="5">
        <v>212</v>
      </c>
      <c r="L72" s="5">
        <v>29</v>
      </c>
      <c r="M72" s="5">
        <v>0</v>
      </c>
      <c r="N72" s="5" t="s">
        <v>3</v>
      </c>
      <c r="O72" s="5">
        <v>2</v>
      </c>
      <c r="P72" s="5"/>
      <c r="Q72" s="5"/>
      <c r="R72" s="5"/>
      <c r="S72" s="5"/>
      <c r="T72" s="5"/>
      <c r="U72" s="5"/>
      <c r="V72" s="5"/>
      <c r="W72" s="5">
        <v>6861.59</v>
      </c>
      <c r="X72" s="5">
        <v>1</v>
      </c>
      <c r="Y72" s="5">
        <v>6861.59</v>
      </c>
      <c r="Z72" s="5"/>
      <c r="AA72" s="5"/>
      <c r="AB72" s="5"/>
    </row>
    <row r="73" spans="1:206">
      <c r="A73" s="5">
        <v>50</v>
      </c>
      <c r="B73" s="5">
        <v>1</v>
      </c>
      <c r="C73" s="5">
        <v>0</v>
      </c>
      <c r="D73" s="5">
        <v>2</v>
      </c>
      <c r="E73" s="5">
        <v>38177147</v>
      </c>
      <c r="F73" s="5">
        <f>ROUND(F71+F72,O73)</f>
        <v>117532.32</v>
      </c>
      <c r="G73" s="5" t="s">
        <v>175</v>
      </c>
      <c r="H73" s="5" t="s">
        <v>176</v>
      </c>
      <c r="I73" s="5"/>
      <c r="J73" s="5"/>
      <c r="K73" s="5">
        <v>212</v>
      </c>
      <c r="L73" s="5">
        <v>30</v>
      </c>
      <c r="M73" s="5">
        <v>0</v>
      </c>
      <c r="N73" s="5" t="s">
        <v>3</v>
      </c>
      <c r="O73" s="5">
        <v>2</v>
      </c>
      <c r="P73" s="5"/>
      <c r="Q73" s="5"/>
      <c r="R73" s="5"/>
      <c r="S73" s="5"/>
      <c r="T73" s="5"/>
      <c r="U73" s="5"/>
      <c r="V73" s="5"/>
      <c r="W73" s="5">
        <v>117532.32</v>
      </c>
      <c r="X73" s="5">
        <v>1</v>
      </c>
      <c r="Y73" s="5">
        <v>117532.32</v>
      </c>
      <c r="Z73" s="5"/>
      <c r="AA73" s="5"/>
      <c r="AB73" s="5"/>
    </row>
    <row r="74" spans="1:206">
      <c r="A74" s="5">
        <v>50</v>
      </c>
      <c r="B74" s="5">
        <v>1</v>
      </c>
      <c r="C74" s="5">
        <v>0</v>
      </c>
      <c r="D74" s="5">
        <v>2</v>
      </c>
      <c r="E74" s="5">
        <v>0</v>
      </c>
      <c r="F74" s="5">
        <f>ROUND(F73*0.22,O74)</f>
        <v>25857.11</v>
      </c>
      <c r="G74" s="5" t="s">
        <v>177</v>
      </c>
      <c r="H74" s="5" t="s">
        <v>177</v>
      </c>
      <c r="I74" s="5"/>
      <c r="J74" s="5"/>
      <c r="K74" s="5">
        <v>212</v>
      </c>
      <c r="L74" s="5">
        <v>31</v>
      </c>
      <c r="M74" s="5">
        <v>0</v>
      </c>
      <c r="N74" s="5" t="s">
        <v>3</v>
      </c>
      <c r="O74" s="5">
        <v>2</v>
      </c>
      <c r="P74" s="5"/>
      <c r="Q74" s="5"/>
      <c r="R74" s="5"/>
      <c r="S74" s="5"/>
      <c r="T74" s="5"/>
      <c r="U74" s="5"/>
      <c r="V74" s="5"/>
      <c r="W74" s="5">
        <v>25857.11</v>
      </c>
      <c r="X74" s="5">
        <v>1</v>
      </c>
      <c r="Y74" s="5">
        <v>25857.11</v>
      </c>
      <c r="Z74" s="5"/>
      <c r="AA74" s="5"/>
      <c r="AB74" s="5"/>
    </row>
    <row r="75" spans="1:206">
      <c r="A75" s="5">
        <v>50</v>
      </c>
      <c r="B75" s="5">
        <v>1</v>
      </c>
      <c r="C75" s="5">
        <v>0</v>
      </c>
      <c r="D75" s="5">
        <v>2</v>
      </c>
      <c r="E75" s="5">
        <v>213</v>
      </c>
      <c r="F75" s="5">
        <f>ROUND(F73+F74,O75)</f>
        <v>143389.43</v>
      </c>
      <c r="G75" s="5" t="s">
        <v>178</v>
      </c>
      <c r="H75" s="5" t="s">
        <v>178</v>
      </c>
      <c r="I75" s="5"/>
      <c r="J75" s="5"/>
      <c r="K75" s="5">
        <v>212</v>
      </c>
      <c r="L75" s="5">
        <v>32</v>
      </c>
      <c r="M75" s="5">
        <v>0</v>
      </c>
      <c r="N75" s="5" t="s">
        <v>3</v>
      </c>
      <c r="O75" s="5">
        <v>2</v>
      </c>
      <c r="P75" s="5"/>
      <c r="Q75" s="5"/>
      <c r="R75" s="5"/>
      <c r="S75" s="5"/>
      <c r="T75" s="5"/>
      <c r="U75" s="5"/>
      <c r="V75" s="5"/>
      <c r="W75" s="5">
        <v>143389.43</v>
      </c>
      <c r="X75" s="5">
        <v>1</v>
      </c>
      <c r="Y75" s="5">
        <v>143389.43</v>
      </c>
      <c r="Z75" s="5"/>
      <c r="AA75" s="5"/>
      <c r="AB75" s="5"/>
    </row>
    <row r="77" spans="1:206">
      <c r="A77" s="3">
        <v>51</v>
      </c>
      <c r="B77" s="3">
        <f>B12</f>
        <v>134</v>
      </c>
      <c r="C77" s="3">
        <f>A12</f>
        <v>1</v>
      </c>
      <c r="D77" s="3">
        <f>ROW(A12)</f>
        <v>12</v>
      </c>
      <c r="E77" s="3"/>
      <c r="F77" s="3" t="str">
        <f>IF(F12&lt;&gt;"",F12,"")</f>
        <v>Новый объект строительства</v>
      </c>
      <c r="G77" s="3" t="str">
        <f>IF(G12&lt;&gt;"",G12,"")</f>
        <v>ремонт трубы</v>
      </c>
      <c r="H77" s="3">
        <v>0</v>
      </c>
      <c r="I77" s="3"/>
      <c r="J77" s="3"/>
      <c r="K77" s="3"/>
      <c r="L77" s="3"/>
      <c r="M77" s="3"/>
      <c r="N77" s="3"/>
      <c r="O77" s="3">
        <f t="shared" ref="O77:T77" si="40">ROUND(O42,2)</f>
        <v>52656.07</v>
      </c>
      <c r="P77" s="3">
        <f t="shared" si="40"/>
        <v>4333.3599999999997</v>
      </c>
      <c r="Q77" s="3">
        <f t="shared" si="40"/>
        <v>22333.26</v>
      </c>
      <c r="R77" s="3">
        <f t="shared" si="40"/>
        <v>5074.08</v>
      </c>
      <c r="S77" s="3">
        <f t="shared" si="40"/>
        <v>20915.37</v>
      </c>
      <c r="T77" s="3">
        <f t="shared" si="40"/>
        <v>0</v>
      </c>
      <c r="U77" s="3">
        <f>U42</f>
        <v>49.771999999999998</v>
      </c>
      <c r="V77" s="3">
        <f>V42</f>
        <v>12.61312</v>
      </c>
      <c r="W77" s="3">
        <f>ROUND(W42,2)</f>
        <v>0</v>
      </c>
      <c r="X77" s="3">
        <f>ROUND(X42,2)</f>
        <v>34113.56</v>
      </c>
      <c r="Y77" s="3">
        <f>ROUND(Y42,2)</f>
        <v>23901.1</v>
      </c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>
        <f t="shared" ref="AO77:BD77" si="41">ROUND(AO42,2)</f>
        <v>0</v>
      </c>
      <c r="AP77" s="3">
        <f t="shared" si="41"/>
        <v>0</v>
      </c>
      <c r="AQ77" s="3">
        <f t="shared" si="41"/>
        <v>0</v>
      </c>
      <c r="AR77" s="3">
        <f t="shared" si="41"/>
        <v>110670.73</v>
      </c>
      <c r="AS77" s="3">
        <f t="shared" si="41"/>
        <v>110670.73</v>
      </c>
      <c r="AT77" s="3">
        <f t="shared" si="41"/>
        <v>0</v>
      </c>
      <c r="AU77" s="3">
        <f t="shared" si="41"/>
        <v>0</v>
      </c>
      <c r="AV77" s="3">
        <f t="shared" si="41"/>
        <v>4333.3599999999997</v>
      </c>
      <c r="AW77" s="3">
        <f t="shared" si="41"/>
        <v>4333.3599999999997</v>
      </c>
      <c r="AX77" s="3">
        <f t="shared" si="41"/>
        <v>0</v>
      </c>
      <c r="AY77" s="3">
        <f t="shared" si="41"/>
        <v>4333.3599999999997</v>
      </c>
      <c r="AZ77" s="3">
        <f t="shared" si="41"/>
        <v>0</v>
      </c>
      <c r="BA77" s="3">
        <f t="shared" si="41"/>
        <v>0</v>
      </c>
      <c r="BB77" s="3">
        <f t="shared" si="41"/>
        <v>0</v>
      </c>
      <c r="BC77" s="3">
        <f t="shared" si="41"/>
        <v>0</v>
      </c>
      <c r="BD77" s="3">
        <f t="shared" si="41"/>
        <v>0</v>
      </c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>
        <v>0</v>
      </c>
    </row>
    <row r="79" spans="1:206">
      <c r="A79" s="5">
        <v>50</v>
      </c>
      <c r="B79" s="5">
        <v>0</v>
      </c>
      <c r="C79" s="5">
        <v>0</v>
      </c>
      <c r="D79" s="5">
        <v>1</v>
      </c>
      <c r="E79" s="5">
        <v>201</v>
      </c>
      <c r="F79" s="5">
        <f>ROUND(Source!O77,O79)</f>
        <v>52656.07</v>
      </c>
      <c r="G79" s="5" t="s">
        <v>118</v>
      </c>
      <c r="H79" s="5" t="s">
        <v>119</v>
      </c>
      <c r="I79" s="5"/>
      <c r="J79" s="5"/>
      <c r="K79" s="5">
        <v>201</v>
      </c>
      <c r="L79" s="5">
        <v>1</v>
      </c>
      <c r="M79" s="5">
        <v>3</v>
      </c>
      <c r="N79" s="5" t="s">
        <v>3</v>
      </c>
      <c r="O79" s="5">
        <v>2</v>
      </c>
      <c r="P79" s="5"/>
      <c r="Q79" s="5"/>
      <c r="R79" s="5"/>
      <c r="S79" s="5"/>
      <c r="T79" s="5"/>
      <c r="U79" s="5"/>
      <c r="V79" s="5"/>
      <c r="W79" s="5">
        <v>52656.07</v>
      </c>
      <c r="X79" s="5">
        <v>1</v>
      </c>
      <c r="Y79" s="5">
        <v>52656.07</v>
      </c>
      <c r="Z79" s="5"/>
      <c r="AA79" s="5"/>
      <c r="AB79" s="5"/>
    </row>
    <row r="80" spans="1:206">
      <c r="A80" s="5">
        <v>50</v>
      </c>
      <c r="B80" s="5">
        <v>0</v>
      </c>
      <c r="C80" s="5">
        <v>0</v>
      </c>
      <c r="D80" s="5">
        <v>1</v>
      </c>
      <c r="E80" s="5">
        <v>202</v>
      </c>
      <c r="F80" s="5">
        <f>ROUND(Source!P77,O80)</f>
        <v>4333.3599999999997</v>
      </c>
      <c r="G80" s="5" t="s">
        <v>120</v>
      </c>
      <c r="H80" s="5" t="s">
        <v>121</v>
      </c>
      <c r="I80" s="5"/>
      <c r="J80" s="5"/>
      <c r="K80" s="5">
        <v>202</v>
      </c>
      <c r="L80" s="5">
        <v>2</v>
      </c>
      <c r="M80" s="5">
        <v>3</v>
      </c>
      <c r="N80" s="5" t="s">
        <v>3</v>
      </c>
      <c r="O80" s="5">
        <v>2</v>
      </c>
      <c r="P80" s="5"/>
      <c r="Q80" s="5"/>
      <c r="R80" s="5"/>
      <c r="S80" s="5"/>
      <c r="T80" s="5"/>
      <c r="U80" s="5"/>
      <c r="V80" s="5"/>
      <c r="W80" s="5">
        <v>4333.3599999999997</v>
      </c>
      <c r="X80" s="5">
        <v>1</v>
      </c>
      <c r="Y80" s="5">
        <v>4333.3599999999997</v>
      </c>
      <c r="Z80" s="5"/>
      <c r="AA80" s="5"/>
      <c r="AB80" s="5"/>
    </row>
    <row r="81" spans="1:28">
      <c r="A81" s="5">
        <v>50</v>
      </c>
      <c r="B81" s="5">
        <v>0</v>
      </c>
      <c r="C81" s="5">
        <v>0</v>
      </c>
      <c r="D81" s="5">
        <v>1</v>
      </c>
      <c r="E81" s="5">
        <v>222</v>
      </c>
      <c r="F81" s="5">
        <f>ROUND(Source!AO77,O81)</f>
        <v>0</v>
      </c>
      <c r="G81" s="5" t="s">
        <v>122</v>
      </c>
      <c r="H81" s="5" t="s">
        <v>123</v>
      </c>
      <c r="I81" s="5"/>
      <c r="J81" s="5"/>
      <c r="K81" s="5">
        <v>222</v>
      </c>
      <c r="L81" s="5">
        <v>3</v>
      </c>
      <c r="M81" s="5">
        <v>3</v>
      </c>
      <c r="N81" s="5" t="s">
        <v>3</v>
      </c>
      <c r="O81" s="5">
        <v>2</v>
      </c>
      <c r="P81" s="5"/>
      <c r="Q81" s="5"/>
      <c r="R81" s="5"/>
      <c r="S81" s="5"/>
      <c r="T81" s="5"/>
      <c r="U81" s="5"/>
      <c r="V81" s="5"/>
      <c r="W81" s="5">
        <v>0</v>
      </c>
      <c r="X81" s="5">
        <v>1</v>
      </c>
      <c r="Y81" s="5">
        <v>0</v>
      </c>
      <c r="Z81" s="5"/>
      <c r="AA81" s="5"/>
      <c r="AB81" s="5"/>
    </row>
    <row r="82" spans="1:28">
      <c r="A82" s="5">
        <v>50</v>
      </c>
      <c r="B82" s="5">
        <v>0</v>
      </c>
      <c r="C82" s="5">
        <v>0</v>
      </c>
      <c r="D82" s="5">
        <v>1</v>
      </c>
      <c r="E82" s="5">
        <v>225</v>
      </c>
      <c r="F82" s="5">
        <f>ROUND(Source!AV77,O82)</f>
        <v>4333.3599999999997</v>
      </c>
      <c r="G82" s="5" t="s">
        <v>124</v>
      </c>
      <c r="H82" s="5" t="s">
        <v>125</v>
      </c>
      <c r="I82" s="5"/>
      <c r="J82" s="5"/>
      <c r="K82" s="5">
        <v>225</v>
      </c>
      <c r="L82" s="5">
        <v>4</v>
      </c>
      <c r="M82" s="5">
        <v>3</v>
      </c>
      <c r="N82" s="5" t="s">
        <v>3</v>
      </c>
      <c r="O82" s="5">
        <v>2</v>
      </c>
      <c r="P82" s="5"/>
      <c r="Q82" s="5"/>
      <c r="R82" s="5"/>
      <c r="S82" s="5"/>
      <c r="T82" s="5"/>
      <c r="U82" s="5"/>
      <c r="V82" s="5"/>
      <c r="W82" s="5">
        <v>4333.3599999999997</v>
      </c>
      <c r="X82" s="5">
        <v>1</v>
      </c>
      <c r="Y82" s="5">
        <v>4333.3599999999997</v>
      </c>
      <c r="Z82" s="5"/>
      <c r="AA82" s="5"/>
      <c r="AB82" s="5"/>
    </row>
    <row r="83" spans="1:28">
      <c r="A83" s="5">
        <v>50</v>
      </c>
      <c r="B83" s="5">
        <v>0</v>
      </c>
      <c r="C83" s="5">
        <v>0</v>
      </c>
      <c r="D83" s="5">
        <v>1</v>
      </c>
      <c r="E83" s="5">
        <v>226</v>
      </c>
      <c r="F83" s="5">
        <f>ROUND(Source!AW77,O83)</f>
        <v>4333.3599999999997</v>
      </c>
      <c r="G83" s="5" t="s">
        <v>126</v>
      </c>
      <c r="H83" s="5" t="s">
        <v>127</v>
      </c>
      <c r="I83" s="5"/>
      <c r="J83" s="5"/>
      <c r="K83" s="5">
        <v>226</v>
      </c>
      <c r="L83" s="5">
        <v>5</v>
      </c>
      <c r="M83" s="5">
        <v>3</v>
      </c>
      <c r="N83" s="5" t="s">
        <v>3</v>
      </c>
      <c r="O83" s="5">
        <v>2</v>
      </c>
      <c r="P83" s="5"/>
      <c r="Q83" s="5"/>
      <c r="R83" s="5"/>
      <c r="S83" s="5"/>
      <c r="T83" s="5"/>
      <c r="U83" s="5"/>
      <c r="V83" s="5"/>
      <c r="W83" s="5">
        <v>4333.3599999999997</v>
      </c>
      <c r="X83" s="5">
        <v>1</v>
      </c>
      <c r="Y83" s="5">
        <v>4333.3599999999997</v>
      </c>
      <c r="Z83" s="5"/>
      <c r="AA83" s="5"/>
      <c r="AB83" s="5"/>
    </row>
    <row r="84" spans="1:28">
      <c r="A84" s="5">
        <v>50</v>
      </c>
      <c r="B84" s="5">
        <v>0</v>
      </c>
      <c r="C84" s="5">
        <v>0</v>
      </c>
      <c r="D84" s="5">
        <v>1</v>
      </c>
      <c r="E84" s="5">
        <v>227</v>
      </c>
      <c r="F84" s="5">
        <f>ROUND(Source!AX77,O84)</f>
        <v>0</v>
      </c>
      <c r="G84" s="5" t="s">
        <v>128</v>
      </c>
      <c r="H84" s="5" t="s">
        <v>129</v>
      </c>
      <c r="I84" s="5"/>
      <c r="J84" s="5"/>
      <c r="K84" s="5">
        <v>227</v>
      </c>
      <c r="L84" s="5">
        <v>6</v>
      </c>
      <c r="M84" s="5">
        <v>3</v>
      </c>
      <c r="N84" s="5" t="s">
        <v>3</v>
      </c>
      <c r="O84" s="5">
        <v>2</v>
      </c>
      <c r="P84" s="5"/>
      <c r="Q84" s="5"/>
      <c r="R84" s="5"/>
      <c r="S84" s="5"/>
      <c r="T84" s="5"/>
      <c r="U84" s="5"/>
      <c r="V84" s="5"/>
      <c r="W84" s="5">
        <v>0</v>
      </c>
      <c r="X84" s="5">
        <v>1</v>
      </c>
      <c r="Y84" s="5">
        <v>0</v>
      </c>
      <c r="Z84" s="5"/>
      <c r="AA84" s="5"/>
      <c r="AB84" s="5"/>
    </row>
    <row r="85" spans="1:28">
      <c r="A85" s="5">
        <v>50</v>
      </c>
      <c r="B85" s="5">
        <v>0</v>
      </c>
      <c r="C85" s="5">
        <v>0</v>
      </c>
      <c r="D85" s="5">
        <v>1</v>
      </c>
      <c r="E85" s="5">
        <v>228</v>
      </c>
      <c r="F85" s="5">
        <f>ROUND(Source!AY77,O85)</f>
        <v>4333.3599999999997</v>
      </c>
      <c r="G85" s="5" t="s">
        <v>130</v>
      </c>
      <c r="H85" s="5" t="s">
        <v>131</v>
      </c>
      <c r="I85" s="5"/>
      <c r="J85" s="5"/>
      <c r="K85" s="5">
        <v>228</v>
      </c>
      <c r="L85" s="5">
        <v>7</v>
      </c>
      <c r="M85" s="5">
        <v>3</v>
      </c>
      <c r="N85" s="5" t="s">
        <v>3</v>
      </c>
      <c r="O85" s="5">
        <v>2</v>
      </c>
      <c r="P85" s="5"/>
      <c r="Q85" s="5"/>
      <c r="R85" s="5"/>
      <c r="S85" s="5"/>
      <c r="T85" s="5"/>
      <c r="U85" s="5"/>
      <c r="V85" s="5"/>
      <c r="W85" s="5">
        <v>4333.3599999999997</v>
      </c>
      <c r="X85" s="5">
        <v>1</v>
      </c>
      <c r="Y85" s="5">
        <v>4333.3599999999997</v>
      </c>
      <c r="Z85" s="5"/>
      <c r="AA85" s="5"/>
      <c r="AB85" s="5"/>
    </row>
    <row r="86" spans="1:28">
      <c r="A86" s="5">
        <v>50</v>
      </c>
      <c r="B86" s="5">
        <v>0</v>
      </c>
      <c r="C86" s="5">
        <v>0</v>
      </c>
      <c r="D86" s="5">
        <v>1</v>
      </c>
      <c r="E86" s="5">
        <v>216</v>
      </c>
      <c r="F86" s="5">
        <f>ROUND(Source!AP77,O86)</f>
        <v>0</v>
      </c>
      <c r="G86" s="5" t="s">
        <v>132</v>
      </c>
      <c r="H86" s="5" t="s">
        <v>133</v>
      </c>
      <c r="I86" s="5"/>
      <c r="J86" s="5"/>
      <c r="K86" s="5">
        <v>216</v>
      </c>
      <c r="L86" s="5">
        <v>8</v>
      </c>
      <c r="M86" s="5">
        <v>3</v>
      </c>
      <c r="N86" s="5" t="s">
        <v>3</v>
      </c>
      <c r="O86" s="5">
        <v>2</v>
      </c>
      <c r="P86" s="5"/>
      <c r="Q86" s="5"/>
      <c r="R86" s="5"/>
      <c r="S86" s="5"/>
      <c r="T86" s="5"/>
      <c r="U86" s="5"/>
      <c r="V86" s="5"/>
      <c r="W86" s="5">
        <v>0</v>
      </c>
      <c r="X86" s="5">
        <v>1</v>
      </c>
      <c r="Y86" s="5">
        <v>0</v>
      </c>
      <c r="Z86" s="5"/>
      <c r="AA86" s="5"/>
      <c r="AB86" s="5"/>
    </row>
    <row r="87" spans="1:28">
      <c r="A87" s="5">
        <v>50</v>
      </c>
      <c r="B87" s="5">
        <v>0</v>
      </c>
      <c r="C87" s="5">
        <v>0</v>
      </c>
      <c r="D87" s="5">
        <v>1</v>
      </c>
      <c r="E87" s="5">
        <v>223</v>
      </c>
      <c r="F87" s="5">
        <f>ROUND(Source!AQ77,O87)</f>
        <v>0</v>
      </c>
      <c r="G87" s="5" t="s">
        <v>134</v>
      </c>
      <c r="H87" s="5" t="s">
        <v>135</v>
      </c>
      <c r="I87" s="5"/>
      <c r="J87" s="5"/>
      <c r="K87" s="5">
        <v>223</v>
      </c>
      <c r="L87" s="5">
        <v>9</v>
      </c>
      <c r="M87" s="5">
        <v>3</v>
      </c>
      <c r="N87" s="5" t="s">
        <v>3</v>
      </c>
      <c r="O87" s="5">
        <v>2</v>
      </c>
      <c r="P87" s="5"/>
      <c r="Q87" s="5"/>
      <c r="R87" s="5"/>
      <c r="S87" s="5"/>
      <c r="T87" s="5"/>
      <c r="U87" s="5"/>
      <c r="V87" s="5"/>
      <c r="W87" s="5">
        <v>0</v>
      </c>
      <c r="X87" s="5">
        <v>1</v>
      </c>
      <c r="Y87" s="5">
        <v>0</v>
      </c>
      <c r="Z87" s="5"/>
      <c r="AA87" s="5"/>
      <c r="AB87" s="5"/>
    </row>
    <row r="88" spans="1:28">
      <c r="A88" s="5">
        <v>50</v>
      </c>
      <c r="B88" s="5">
        <v>0</v>
      </c>
      <c r="C88" s="5">
        <v>0</v>
      </c>
      <c r="D88" s="5">
        <v>1</v>
      </c>
      <c r="E88" s="5">
        <v>229</v>
      </c>
      <c r="F88" s="5">
        <f>ROUND(Source!AZ77,O88)</f>
        <v>0</v>
      </c>
      <c r="G88" s="5" t="s">
        <v>136</v>
      </c>
      <c r="H88" s="5" t="s">
        <v>137</v>
      </c>
      <c r="I88" s="5"/>
      <c r="J88" s="5"/>
      <c r="K88" s="5">
        <v>229</v>
      </c>
      <c r="L88" s="5">
        <v>10</v>
      </c>
      <c r="M88" s="5">
        <v>3</v>
      </c>
      <c r="N88" s="5" t="s">
        <v>3</v>
      </c>
      <c r="O88" s="5">
        <v>2</v>
      </c>
      <c r="P88" s="5"/>
      <c r="Q88" s="5"/>
      <c r="R88" s="5"/>
      <c r="S88" s="5"/>
      <c r="T88" s="5"/>
      <c r="U88" s="5"/>
      <c r="V88" s="5"/>
      <c r="W88" s="5">
        <v>0</v>
      </c>
      <c r="X88" s="5">
        <v>1</v>
      </c>
      <c r="Y88" s="5">
        <v>0</v>
      </c>
      <c r="Z88" s="5"/>
      <c r="AA88" s="5"/>
      <c r="AB88" s="5"/>
    </row>
    <row r="89" spans="1:28">
      <c r="A89" s="5">
        <v>50</v>
      </c>
      <c r="B89" s="5">
        <v>0</v>
      </c>
      <c r="C89" s="5">
        <v>0</v>
      </c>
      <c r="D89" s="5">
        <v>1</v>
      </c>
      <c r="E89" s="5">
        <v>203</v>
      </c>
      <c r="F89" s="5">
        <f>ROUND(Source!Q77,O89)</f>
        <v>22333.26</v>
      </c>
      <c r="G89" s="5" t="s">
        <v>74</v>
      </c>
      <c r="H89" s="5" t="s">
        <v>138</v>
      </c>
      <c r="I89" s="5"/>
      <c r="J89" s="5"/>
      <c r="K89" s="5">
        <v>203</v>
      </c>
      <c r="L89" s="5">
        <v>11</v>
      </c>
      <c r="M89" s="5">
        <v>3</v>
      </c>
      <c r="N89" s="5" t="s">
        <v>3</v>
      </c>
      <c r="O89" s="5">
        <v>2</v>
      </c>
      <c r="P89" s="5"/>
      <c r="Q89" s="5"/>
      <c r="R89" s="5"/>
      <c r="S89" s="5"/>
      <c r="T89" s="5"/>
      <c r="U89" s="5"/>
      <c r="V89" s="5"/>
      <c r="W89" s="5">
        <v>22333.26</v>
      </c>
      <c r="X89" s="5">
        <v>1</v>
      </c>
      <c r="Y89" s="5">
        <v>22333.26</v>
      </c>
      <c r="Z89" s="5"/>
      <c r="AA89" s="5"/>
      <c r="AB89" s="5"/>
    </row>
    <row r="90" spans="1:28">
      <c r="A90" s="5">
        <v>50</v>
      </c>
      <c r="B90" s="5">
        <v>0</v>
      </c>
      <c r="C90" s="5">
        <v>0</v>
      </c>
      <c r="D90" s="5">
        <v>1</v>
      </c>
      <c r="E90" s="5">
        <v>231</v>
      </c>
      <c r="F90" s="5">
        <f>ROUND(Source!BB77,O90)</f>
        <v>0</v>
      </c>
      <c r="G90" s="5" t="s">
        <v>139</v>
      </c>
      <c r="H90" s="5" t="s">
        <v>140</v>
      </c>
      <c r="I90" s="5"/>
      <c r="J90" s="5"/>
      <c r="K90" s="5">
        <v>231</v>
      </c>
      <c r="L90" s="5">
        <v>12</v>
      </c>
      <c r="M90" s="5">
        <v>3</v>
      </c>
      <c r="N90" s="5" t="s">
        <v>3</v>
      </c>
      <c r="O90" s="5">
        <v>2</v>
      </c>
      <c r="P90" s="5"/>
      <c r="Q90" s="5"/>
      <c r="R90" s="5"/>
      <c r="S90" s="5"/>
      <c r="T90" s="5"/>
      <c r="U90" s="5"/>
      <c r="V90" s="5"/>
      <c r="W90" s="5">
        <v>0</v>
      </c>
      <c r="X90" s="5">
        <v>1</v>
      </c>
      <c r="Y90" s="5">
        <v>0</v>
      </c>
      <c r="Z90" s="5"/>
      <c r="AA90" s="5"/>
      <c r="AB90" s="5"/>
    </row>
    <row r="91" spans="1:28">
      <c r="A91" s="5">
        <v>50</v>
      </c>
      <c r="B91" s="5">
        <v>0</v>
      </c>
      <c r="C91" s="5">
        <v>0</v>
      </c>
      <c r="D91" s="5">
        <v>1</v>
      </c>
      <c r="E91" s="5">
        <v>204</v>
      </c>
      <c r="F91" s="5">
        <f>ROUND(Source!R77,O91)</f>
        <v>5074.08</v>
      </c>
      <c r="G91" s="5" t="s">
        <v>141</v>
      </c>
      <c r="H91" s="5" t="s">
        <v>142</v>
      </c>
      <c r="I91" s="5"/>
      <c r="J91" s="5"/>
      <c r="K91" s="5">
        <v>204</v>
      </c>
      <c r="L91" s="5">
        <v>13</v>
      </c>
      <c r="M91" s="5">
        <v>3</v>
      </c>
      <c r="N91" s="5" t="s">
        <v>3</v>
      </c>
      <c r="O91" s="5">
        <v>2</v>
      </c>
      <c r="P91" s="5"/>
      <c r="Q91" s="5"/>
      <c r="R91" s="5"/>
      <c r="S91" s="5"/>
      <c r="T91" s="5"/>
      <c r="U91" s="5"/>
      <c r="V91" s="5"/>
      <c r="W91" s="5">
        <v>5074.08</v>
      </c>
      <c r="X91" s="5">
        <v>1</v>
      </c>
      <c r="Y91" s="5">
        <v>5074.08</v>
      </c>
      <c r="Z91" s="5"/>
      <c r="AA91" s="5"/>
      <c r="AB91" s="5"/>
    </row>
    <row r="92" spans="1:28">
      <c r="A92" s="5">
        <v>50</v>
      </c>
      <c r="B92" s="5">
        <v>0</v>
      </c>
      <c r="C92" s="5">
        <v>0</v>
      </c>
      <c r="D92" s="5">
        <v>1</v>
      </c>
      <c r="E92" s="5">
        <v>205</v>
      </c>
      <c r="F92" s="5">
        <f>ROUND(Source!S77,O92)</f>
        <v>20915.37</v>
      </c>
      <c r="G92" s="5" t="s">
        <v>143</v>
      </c>
      <c r="H92" s="5" t="s">
        <v>144</v>
      </c>
      <c r="I92" s="5"/>
      <c r="J92" s="5"/>
      <c r="K92" s="5">
        <v>205</v>
      </c>
      <c r="L92" s="5">
        <v>14</v>
      </c>
      <c r="M92" s="5">
        <v>3</v>
      </c>
      <c r="N92" s="5" t="s">
        <v>3</v>
      </c>
      <c r="O92" s="5">
        <v>2</v>
      </c>
      <c r="P92" s="5"/>
      <c r="Q92" s="5"/>
      <c r="R92" s="5"/>
      <c r="S92" s="5"/>
      <c r="T92" s="5"/>
      <c r="U92" s="5"/>
      <c r="V92" s="5"/>
      <c r="W92" s="5">
        <v>20915.37</v>
      </c>
      <c r="X92" s="5">
        <v>1</v>
      </c>
      <c r="Y92" s="5">
        <v>20915.37</v>
      </c>
      <c r="Z92" s="5"/>
      <c r="AA92" s="5"/>
      <c r="AB92" s="5"/>
    </row>
    <row r="93" spans="1:28">
      <c r="A93" s="5">
        <v>50</v>
      </c>
      <c r="B93" s="5">
        <v>0</v>
      </c>
      <c r="C93" s="5">
        <v>0</v>
      </c>
      <c r="D93" s="5">
        <v>1</v>
      </c>
      <c r="E93" s="5">
        <v>232</v>
      </c>
      <c r="F93" s="5">
        <f>ROUND(Source!BC77,O93)</f>
        <v>0</v>
      </c>
      <c r="G93" s="5" t="s">
        <v>145</v>
      </c>
      <c r="H93" s="5" t="s">
        <v>146</v>
      </c>
      <c r="I93" s="5"/>
      <c r="J93" s="5"/>
      <c r="K93" s="5">
        <v>232</v>
      </c>
      <c r="L93" s="5">
        <v>15</v>
      </c>
      <c r="M93" s="5">
        <v>3</v>
      </c>
      <c r="N93" s="5" t="s">
        <v>3</v>
      </c>
      <c r="O93" s="5">
        <v>2</v>
      </c>
      <c r="P93" s="5"/>
      <c r="Q93" s="5"/>
      <c r="R93" s="5"/>
      <c r="S93" s="5"/>
      <c r="T93" s="5"/>
      <c r="U93" s="5"/>
      <c r="V93" s="5"/>
      <c r="W93" s="5">
        <v>0</v>
      </c>
      <c r="X93" s="5">
        <v>1</v>
      </c>
      <c r="Y93" s="5">
        <v>0</v>
      </c>
      <c r="Z93" s="5"/>
      <c r="AA93" s="5"/>
      <c r="AB93" s="5"/>
    </row>
    <row r="94" spans="1:28">
      <c r="A94" s="5">
        <v>50</v>
      </c>
      <c r="B94" s="5">
        <v>0</v>
      </c>
      <c r="C94" s="5">
        <v>0</v>
      </c>
      <c r="D94" s="5">
        <v>1</v>
      </c>
      <c r="E94" s="5">
        <v>214</v>
      </c>
      <c r="F94" s="5">
        <f>ROUND(Source!AS77,O94)</f>
        <v>110670.73</v>
      </c>
      <c r="G94" s="5" t="s">
        <v>147</v>
      </c>
      <c r="H94" s="5" t="s">
        <v>148</v>
      </c>
      <c r="I94" s="5"/>
      <c r="J94" s="5"/>
      <c r="K94" s="5">
        <v>214</v>
      </c>
      <c r="L94" s="5">
        <v>16</v>
      </c>
      <c r="M94" s="5">
        <v>3</v>
      </c>
      <c r="N94" s="5" t="s">
        <v>3</v>
      </c>
      <c r="O94" s="5">
        <v>2</v>
      </c>
      <c r="P94" s="5"/>
      <c r="Q94" s="5"/>
      <c r="R94" s="5"/>
      <c r="S94" s="5"/>
      <c r="T94" s="5"/>
      <c r="U94" s="5"/>
      <c r="V94" s="5"/>
      <c r="W94" s="5">
        <v>110670.73</v>
      </c>
      <c r="X94" s="5">
        <v>1</v>
      </c>
      <c r="Y94" s="5">
        <v>110670.73</v>
      </c>
      <c r="Z94" s="5"/>
      <c r="AA94" s="5"/>
      <c r="AB94" s="5"/>
    </row>
    <row r="95" spans="1:28">
      <c r="A95" s="5">
        <v>50</v>
      </c>
      <c r="B95" s="5">
        <v>0</v>
      </c>
      <c r="C95" s="5">
        <v>0</v>
      </c>
      <c r="D95" s="5">
        <v>1</v>
      </c>
      <c r="E95" s="5">
        <v>215</v>
      </c>
      <c r="F95" s="5">
        <f>ROUND(Source!AT77,O95)</f>
        <v>0</v>
      </c>
      <c r="G95" s="5" t="s">
        <v>149</v>
      </c>
      <c r="H95" s="5" t="s">
        <v>150</v>
      </c>
      <c r="I95" s="5"/>
      <c r="J95" s="5"/>
      <c r="K95" s="5">
        <v>215</v>
      </c>
      <c r="L95" s="5">
        <v>17</v>
      </c>
      <c r="M95" s="5">
        <v>3</v>
      </c>
      <c r="N95" s="5" t="s">
        <v>3</v>
      </c>
      <c r="O95" s="5">
        <v>2</v>
      </c>
      <c r="P95" s="5"/>
      <c r="Q95" s="5"/>
      <c r="R95" s="5"/>
      <c r="S95" s="5"/>
      <c r="T95" s="5"/>
      <c r="U95" s="5"/>
      <c r="V95" s="5"/>
      <c r="W95" s="5">
        <v>0</v>
      </c>
      <c r="X95" s="5">
        <v>1</v>
      </c>
      <c r="Y95" s="5">
        <v>0</v>
      </c>
      <c r="Z95" s="5"/>
      <c r="AA95" s="5"/>
      <c r="AB95" s="5"/>
    </row>
    <row r="96" spans="1:28">
      <c r="A96" s="5">
        <v>50</v>
      </c>
      <c r="B96" s="5">
        <v>0</v>
      </c>
      <c r="C96" s="5">
        <v>0</v>
      </c>
      <c r="D96" s="5">
        <v>1</v>
      </c>
      <c r="E96" s="5">
        <v>217</v>
      </c>
      <c r="F96" s="5">
        <f>ROUND(Source!AU77,O96)</f>
        <v>0</v>
      </c>
      <c r="G96" s="5" t="s">
        <v>151</v>
      </c>
      <c r="H96" s="5" t="s">
        <v>152</v>
      </c>
      <c r="I96" s="5"/>
      <c r="J96" s="5"/>
      <c r="K96" s="5">
        <v>217</v>
      </c>
      <c r="L96" s="5">
        <v>18</v>
      </c>
      <c r="M96" s="5">
        <v>3</v>
      </c>
      <c r="N96" s="5" t="s">
        <v>3</v>
      </c>
      <c r="O96" s="5">
        <v>2</v>
      </c>
      <c r="P96" s="5"/>
      <c r="Q96" s="5"/>
      <c r="R96" s="5"/>
      <c r="S96" s="5"/>
      <c r="T96" s="5"/>
      <c r="U96" s="5"/>
      <c r="V96" s="5"/>
      <c r="W96" s="5">
        <v>0</v>
      </c>
      <c r="X96" s="5">
        <v>1</v>
      </c>
      <c r="Y96" s="5">
        <v>0</v>
      </c>
      <c r="Z96" s="5"/>
      <c r="AA96" s="5"/>
      <c r="AB96" s="5"/>
    </row>
    <row r="97" spans="1:28">
      <c r="A97" s="5">
        <v>50</v>
      </c>
      <c r="B97" s="5">
        <v>0</v>
      </c>
      <c r="C97" s="5">
        <v>0</v>
      </c>
      <c r="D97" s="5">
        <v>1</v>
      </c>
      <c r="E97" s="5">
        <v>230</v>
      </c>
      <c r="F97" s="5">
        <f>ROUND(Source!BA77,O97)</f>
        <v>0</v>
      </c>
      <c r="G97" s="5" t="s">
        <v>153</v>
      </c>
      <c r="H97" s="5" t="s">
        <v>154</v>
      </c>
      <c r="I97" s="5"/>
      <c r="J97" s="5"/>
      <c r="K97" s="5">
        <v>230</v>
      </c>
      <c r="L97" s="5">
        <v>19</v>
      </c>
      <c r="M97" s="5">
        <v>3</v>
      </c>
      <c r="N97" s="5" t="s">
        <v>3</v>
      </c>
      <c r="O97" s="5">
        <v>2</v>
      </c>
      <c r="P97" s="5"/>
      <c r="Q97" s="5"/>
      <c r="R97" s="5"/>
      <c r="S97" s="5"/>
      <c r="T97" s="5"/>
      <c r="U97" s="5"/>
      <c r="V97" s="5"/>
      <c r="W97" s="5">
        <v>0</v>
      </c>
      <c r="X97" s="5">
        <v>1</v>
      </c>
      <c r="Y97" s="5">
        <v>0</v>
      </c>
      <c r="Z97" s="5"/>
      <c r="AA97" s="5"/>
      <c r="AB97" s="5"/>
    </row>
    <row r="98" spans="1:28">
      <c r="A98" s="5">
        <v>50</v>
      </c>
      <c r="B98" s="5">
        <v>0</v>
      </c>
      <c r="C98" s="5">
        <v>0</v>
      </c>
      <c r="D98" s="5">
        <v>1</v>
      </c>
      <c r="E98" s="5">
        <v>206</v>
      </c>
      <c r="F98" s="5">
        <f>ROUND(Source!T77,O98)</f>
        <v>0</v>
      </c>
      <c r="G98" s="5" t="s">
        <v>155</v>
      </c>
      <c r="H98" s="5" t="s">
        <v>156</v>
      </c>
      <c r="I98" s="5"/>
      <c r="J98" s="5"/>
      <c r="K98" s="5">
        <v>206</v>
      </c>
      <c r="L98" s="5">
        <v>20</v>
      </c>
      <c r="M98" s="5">
        <v>3</v>
      </c>
      <c r="N98" s="5" t="s">
        <v>3</v>
      </c>
      <c r="O98" s="5">
        <v>2</v>
      </c>
      <c r="P98" s="5"/>
      <c r="Q98" s="5"/>
      <c r="R98" s="5"/>
      <c r="S98" s="5"/>
      <c r="T98" s="5"/>
      <c r="U98" s="5"/>
      <c r="V98" s="5"/>
      <c r="W98" s="5">
        <v>0</v>
      </c>
      <c r="X98" s="5">
        <v>1</v>
      </c>
      <c r="Y98" s="5">
        <v>0</v>
      </c>
      <c r="Z98" s="5"/>
      <c r="AA98" s="5"/>
      <c r="AB98" s="5"/>
    </row>
    <row r="99" spans="1:28">
      <c r="A99" s="5">
        <v>50</v>
      </c>
      <c r="B99" s="5">
        <v>0</v>
      </c>
      <c r="C99" s="5">
        <v>0</v>
      </c>
      <c r="D99" s="5">
        <v>1</v>
      </c>
      <c r="E99" s="5">
        <v>207</v>
      </c>
      <c r="F99" s="5">
        <f>ROUND(Source!U77,O99)</f>
        <v>49.771999999999998</v>
      </c>
      <c r="G99" s="5" t="s">
        <v>157</v>
      </c>
      <c r="H99" s="5" t="s">
        <v>158</v>
      </c>
      <c r="I99" s="5"/>
      <c r="J99" s="5"/>
      <c r="K99" s="5">
        <v>207</v>
      </c>
      <c r="L99" s="5">
        <v>21</v>
      </c>
      <c r="M99" s="5">
        <v>3</v>
      </c>
      <c r="N99" s="5" t="s">
        <v>3</v>
      </c>
      <c r="O99" s="5">
        <v>7</v>
      </c>
      <c r="P99" s="5"/>
      <c r="Q99" s="5"/>
      <c r="R99" s="5"/>
      <c r="S99" s="5"/>
      <c r="T99" s="5"/>
      <c r="U99" s="5"/>
      <c r="V99" s="5"/>
      <c r="W99" s="5">
        <v>49.771999999999998</v>
      </c>
      <c r="X99" s="5">
        <v>1</v>
      </c>
      <c r="Y99" s="5">
        <v>49.771999999999998</v>
      </c>
      <c r="Z99" s="5"/>
      <c r="AA99" s="5"/>
      <c r="AB99" s="5"/>
    </row>
    <row r="100" spans="1:28">
      <c r="A100" s="5">
        <v>50</v>
      </c>
      <c r="B100" s="5">
        <v>0</v>
      </c>
      <c r="C100" s="5">
        <v>0</v>
      </c>
      <c r="D100" s="5">
        <v>1</v>
      </c>
      <c r="E100" s="5">
        <v>208</v>
      </c>
      <c r="F100" s="5">
        <f>ROUND(Source!V77,O100)</f>
        <v>12.61312</v>
      </c>
      <c r="G100" s="5" t="s">
        <v>159</v>
      </c>
      <c r="H100" s="5" t="s">
        <v>160</v>
      </c>
      <c r="I100" s="5"/>
      <c r="J100" s="5"/>
      <c r="K100" s="5">
        <v>208</v>
      </c>
      <c r="L100" s="5">
        <v>22</v>
      </c>
      <c r="M100" s="5">
        <v>3</v>
      </c>
      <c r="N100" s="5" t="s">
        <v>3</v>
      </c>
      <c r="O100" s="5">
        <v>7</v>
      </c>
      <c r="P100" s="5"/>
      <c r="Q100" s="5"/>
      <c r="R100" s="5"/>
      <c r="S100" s="5"/>
      <c r="T100" s="5"/>
      <c r="U100" s="5"/>
      <c r="V100" s="5"/>
      <c r="W100" s="5">
        <v>12.61312</v>
      </c>
      <c r="X100" s="5">
        <v>1</v>
      </c>
      <c r="Y100" s="5">
        <v>12.61312</v>
      </c>
      <c r="Z100" s="5"/>
      <c r="AA100" s="5"/>
      <c r="AB100" s="5"/>
    </row>
    <row r="101" spans="1:28">
      <c r="A101" s="5">
        <v>50</v>
      </c>
      <c r="B101" s="5">
        <v>0</v>
      </c>
      <c r="C101" s="5">
        <v>0</v>
      </c>
      <c r="D101" s="5">
        <v>1</v>
      </c>
      <c r="E101" s="5">
        <v>209</v>
      </c>
      <c r="F101" s="5">
        <f>ROUND(Source!W77,O101)</f>
        <v>0</v>
      </c>
      <c r="G101" s="5" t="s">
        <v>161</v>
      </c>
      <c r="H101" s="5" t="s">
        <v>162</v>
      </c>
      <c r="I101" s="5"/>
      <c r="J101" s="5"/>
      <c r="K101" s="5">
        <v>209</v>
      </c>
      <c r="L101" s="5">
        <v>23</v>
      </c>
      <c r="M101" s="5">
        <v>3</v>
      </c>
      <c r="N101" s="5" t="s">
        <v>3</v>
      </c>
      <c r="O101" s="5">
        <v>2</v>
      </c>
      <c r="P101" s="5"/>
      <c r="Q101" s="5"/>
      <c r="R101" s="5"/>
      <c r="S101" s="5"/>
      <c r="T101" s="5"/>
      <c r="U101" s="5"/>
      <c r="V101" s="5"/>
      <c r="W101" s="5">
        <v>0</v>
      </c>
      <c r="X101" s="5">
        <v>1</v>
      </c>
      <c r="Y101" s="5">
        <v>0</v>
      </c>
      <c r="Z101" s="5"/>
      <c r="AA101" s="5"/>
      <c r="AB101" s="5"/>
    </row>
    <row r="102" spans="1:28">
      <c r="A102" s="5">
        <v>50</v>
      </c>
      <c r="B102" s="5">
        <v>0</v>
      </c>
      <c r="C102" s="5">
        <v>0</v>
      </c>
      <c r="D102" s="5">
        <v>1</v>
      </c>
      <c r="E102" s="5">
        <v>233</v>
      </c>
      <c r="F102" s="5">
        <f>ROUND(Source!BD77,O102)</f>
        <v>0</v>
      </c>
      <c r="G102" s="5" t="s">
        <v>163</v>
      </c>
      <c r="H102" s="5" t="s">
        <v>164</v>
      </c>
      <c r="I102" s="5"/>
      <c r="J102" s="5"/>
      <c r="K102" s="5">
        <v>233</v>
      </c>
      <c r="L102" s="5">
        <v>24</v>
      </c>
      <c r="M102" s="5">
        <v>3</v>
      </c>
      <c r="N102" s="5" t="s">
        <v>3</v>
      </c>
      <c r="O102" s="5">
        <v>2</v>
      </c>
      <c r="P102" s="5"/>
      <c r="Q102" s="5"/>
      <c r="R102" s="5"/>
      <c r="S102" s="5"/>
      <c r="T102" s="5"/>
      <c r="U102" s="5"/>
      <c r="V102" s="5"/>
      <c r="W102" s="5">
        <v>0</v>
      </c>
      <c r="X102" s="5">
        <v>1</v>
      </c>
      <c r="Y102" s="5">
        <v>0</v>
      </c>
      <c r="Z102" s="5"/>
      <c r="AA102" s="5"/>
      <c r="AB102" s="5"/>
    </row>
    <row r="103" spans="1:28">
      <c r="A103" s="5">
        <v>50</v>
      </c>
      <c r="B103" s="5">
        <v>0</v>
      </c>
      <c r="C103" s="5">
        <v>0</v>
      </c>
      <c r="D103" s="5">
        <v>1</v>
      </c>
      <c r="E103" s="5">
        <v>210</v>
      </c>
      <c r="F103" s="5">
        <f>ROUND(Source!X77,O103)</f>
        <v>34113.56</v>
      </c>
      <c r="G103" s="5" t="s">
        <v>165</v>
      </c>
      <c r="H103" s="5" t="s">
        <v>166</v>
      </c>
      <c r="I103" s="5"/>
      <c r="J103" s="5"/>
      <c r="K103" s="5">
        <v>210</v>
      </c>
      <c r="L103" s="5">
        <v>25</v>
      </c>
      <c r="M103" s="5">
        <v>3</v>
      </c>
      <c r="N103" s="5" t="s">
        <v>3</v>
      </c>
      <c r="O103" s="5">
        <v>2</v>
      </c>
      <c r="P103" s="5"/>
      <c r="Q103" s="5"/>
      <c r="R103" s="5"/>
      <c r="S103" s="5"/>
      <c r="T103" s="5"/>
      <c r="U103" s="5"/>
      <c r="V103" s="5"/>
      <c r="W103" s="5">
        <v>34113.56</v>
      </c>
      <c r="X103" s="5">
        <v>1</v>
      </c>
      <c r="Y103" s="5">
        <v>34113.56</v>
      </c>
      <c r="Z103" s="5"/>
      <c r="AA103" s="5"/>
      <c r="AB103" s="5"/>
    </row>
    <row r="104" spans="1:28">
      <c r="A104" s="5">
        <v>50</v>
      </c>
      <c r="B104" s="5">
        <v>0</v>
      </c>
      <c r="C104" s="5">
        <v>0</v>
      </c>
      <c r="D104" s="5">
        <v>1</v>
      </c>
      <c r="E104" s="5">
        <v>211</v>
      </c>
      <c r="F104" s="5">
        <f>ROUND(Source!Y77,O104)</f>
        <v>23901.1</v>
      </c>
      <c r="G104" s="5" t="s">
        <v>167</v>
      </c>
      <c r="H104" s="5" t="s">
        <v>168</v>
      </c>
      <c r="I104" s="5"/>
      <c r="J104" s="5"/>
      <c r="K104" s="5">
        <v>211</v>
      </c>
      <c r="L104" s="5">
        <v>26</v>
      </c>
      <c r="M104" s="5">
        <v>3</v>
      </c>
      <c r="N104" s="5" t="s">
        <v>3</v>
      </c>
      <c r="O104" s="5">
        <v>2</v>
      </c>
      <c r="P104" s="5"/>
      <c r="Q104" s="5"/>
      <c r="R104" s="5"/>
      <c r="S104" s="5"/>
      <c r="T104" s="5"/>
      <c r="U104" s="5"/>
      <c r="V104" s="5"/>
      <c r="W104" s="5">
        <v>23901.1</v>
      </c>
      <c r="X104" s="5">
        <v>1</v>
      </c>
      <c r="Y104" s="5">
        <v>23901.1</v>
      </c>
      <c r="Z104" s="5"/>
      <c r="AA104" s="5"/>
      <c r="AB104" s="5"/>
    </row>
    <row r="105" spans="1:28">
      <c r="A105" s="5">
        <v>50</v>
      </c>
      <c r="B105" s="5">
        <v>0</v>
      </c>
      <c r="C105" s="5">
        <v>0</v>
      </c>
      <c r="D105" s="5">
        <v>1</v>
      </c>
      <c r="E105" s="5">
        <v>224</v>
      </c>
      <c r="F105" s="5">
        <f>ROUND(Source!AR77,O105)</f>
        <v>110670.73</v>
      </c>
      <c r="G105" s="5" t="s">
        <v>169</v>
      </c>
      <c r="H105" s="5" t="s">
        <v>170</v>
      </c>
      <c r="I105" s="5"/>
      <c r="J105" s="5"/>
      <c r="K105" s="5">
        <v>224</v>
      </c>
      <c r="L105" s="5">
        <v>27</v>
      </c>
      <c r="M105" s="5">
        <v>3</v>
      </c>
      <c r="N105" s="5" t="s">
        <v>3</v>
      </c>
      <c r="O105" s="5">
        <v>2</v>
      </c>
      <c r="P105" s="5"/>
      <c r="Q105" s="5"/>
      <c r="R105" s="5"/>
      <c r="S105" s="5"/>
      <c r="T105" s="5"/>
      <c r="U105" s="5"/>
      <c r="V105" s="5"/>
      <c r="W105" s="5">
        <v>110670.73</v>
      </c>
      <c r="X105" s="5">
        <v>1</v>
      </c>
      <c r="Y105" s="5">
        <v>110670.73</v>
      </c>
      <c r="Z105" s="5"/>
      <c r="AA105" s="5"/>
      <c r="AB105" s="5"/>
    </row>
    <row r="108" spans="1:28">
      <c r="A108">
        <v>70</v>
      </c>
      <c r="B108">
        <v>1</v>
      </c>
      <c r="D108">
        <v>1</v>
      </c>
      <c r="E108" t="s">
        <v>179</v>
      </c>
      <c r="F108" t="s">
        <v>180</v>
      </c>
      <c r="G108">
        <v>0</v>
      </c>
      <c r="H108">
        <v>0</v>
      </c>
      <c r="I108" t="s">
        <v>3</v>
      </c>
      <c r="J108">
        <v>1</v>
      </c>
      <c r="K108">
        <v>0</v>
      </c>
      <c r="L108" t="s">
        <v>3</v>
      </c>
      <c r="M108" t="s">
        <v>3</v>
      </c>
      <c r="N108">
        <v>0</v>
      </c>
      <c r="P108" t="s">
        <v>181</v>
      </c>
    </row>
    <row r="109" spans="1:28">
      <c r="A109">
        <v>70</v>
      </c>
      <c r="B109">
        <v>1</v>
      </c>
      <c r="D109">
        <v>2</v>
      </c>
      <c r="E109" t="s">
        <v>182</v>
      </c>
      <c r="F109" t="s">
        <v>183</v>
      </c>
      <c r="G109">
        <v>0</v>
      </c>
      <c r="H109">
        <v>0</v>
      </c>
      <c r="I109" t="s">
        <v>3</v>
      </c>
      <c r="J109">
        <v>1</v>
      </c>
      <c r="K109">
        <v>0</v>
      </c>
      <c r="L109" t="s">
        <v>3</v>
      </c>
      <c r="M109" t="s">
        <v>3</v>
      </c>
      <c r="N109">
        <v>0</v>
      </c>
      <c r="P109" t="s">
        <v>184</v>
      </c>
    </row>
    <row r="110" spans="1:28">
      <c r="A110">
        <v>70</v>
      </c>
      <c r="B110">
        <v>1</v>
      </c>
      <c r="D110">
        <v>3</v>
      </c>
      <c r="E110" t="s">
        <v>185</v>
      </c>
      <c r="F110" t="s">
        <v>186</v>
      </c>
      <c r="G110">
        <v>1</v>
      </c>
      <c r="H110">
        <v>0</v>
      </c>
      <c r="I110" t="s">
        <v>3</v>
      </c>
      <c r="J110">
        <v>1</v>
      </c>
      <c r="K110">
        <v>0</v>
      </c>
      <c r="L110" t="s">
        <v>3</v>
      </c>
      <c r="M110" t="s">
        <v>3</v>
      </c>
      <c r="N110">
        <v>0</v>
      </c>
      <c r="P110" t="s">
        <v>187</v>
      </c>
    </row>
    <row r="111" spans="1:28">
      <c r="A111">
        <v>70</v>
      </c>
      <c r="B111">
        <v>1</v>
      </c>
      <c r="D111">
        <v>4</v>
      </c>
      <c r="E111" t="s">
        <v>188</v>
      </c>
      <c r="F111" t="s">
        <v>189</v>
      </c>
      <c r="G111">
        <v>1</v>
      </c>
      <c r="H111">
        <v>0</v>
      </c>
      <c r="I111" t="s">
        <v>3</v>
      </c>
      <c r="J111">
        <v>2</v>
      </c>
      <c r="K111">
        <v>0</v>
      </c>
      <c r="L111" t="s">
        <v>3</v>
      </c>
      <c r="M111" t="s">
        <v>3</v>
      </c>
      <c r="N111">
        <v>0</v>
      </c>
      <c r="P111" t="s">
        <v>3</v>
      </c>
    </row>
    <row r="112" spans="1:28">
      <c r="A112">
        <v>70</v>
      </c>
      <c r="B112">
        <v>1</v>
      </c>
      <c r="D112">
        <v>5</v>
      </c>
      <c r="E112" t="s">
        <v>190</v>
      </c>
      <c r="F112" t="s">
        <v>191</v>
      </c>
      <c r="G112">
        <v>0</v>
      </c>
      <c r="H112">
        <v>0</v>
      </c>
      <c r="I112" t="s">
        <v>3</v>
      </c>
      <c r="J112">
        <v>2</v>
      </c>
      <c r="K112">
        <v>0</v>
      </c>
      <c r="L112" t="s">
        <v>3</v>
      </c>
      <c r="M112" t="s">
        <v>3</v>
      </c>
      <c r="N112">
        <v>0</v>
      </c>
      <c r="P112" t="s">
        <v>3</v>
      </c>
    </row>
    <row r="113" spans="1:16">
      <c r="A113">
        <v>70</v>
      </c>
      <c r="B113">
        <v>1</v>
      </c>
      <c r="D113">
        <v>6</v>
      </c>
      <c r="E113" t="s">
        <v>192</v>
      </c>
      <c r="F113" t="s">
        <v>193</v>
      </c>
      <c r="G113">
        <v>0</v>
      </c>
      <c r="H113">
        <v>0</v>
      </c>
      <c r="I113" t="s">
        <v>3</v>
      </c>
      <c r="J113">
        <v>2</v>
      </c>
      <c r="K113">
        <v>0</v>
      </c>
      <c r="L113" t="s">
        <v>3</v>
      </c>
      <c r="M113" t="s">
        <v>3</v>
      </c>
      <c r="N113">
        <v>0</v>
      </c>
      <c r="P113" t="s">
        <v>3</v>
      </c>
    </row>
    <row r="114" spans="1:16">
      <c r="A114">
        <v>70</v>
      </c>
      <c r="B114">
        <v>1</v>
      </c>
      <c r="D114">
        <v>7</v>
      </c>
      <c r="E114" t="s">
        <v>194</v>
      </c>
      <c r="F114" t="s">
        <v>195</v>
      </c>
      <c r="G114">
        <v>0</v>
      </c>
      <c r="H114">
        <v>0</v>
      </c>
      <c r="I114" t="s">
        <v>196</v>
      </c>
      <c r="J114">
        <v>0</v>
      </c>
      <c r="K114">
        <v>0</v>
      </c>
      <c r="L114" t="s">
        <v>3</v>
      </c>
      <c r="M114" t="s">
        <v>3</v>
      </c>
      <c r="N114">
        <v>0</v>
      </c>
      <c r="P114" t="s">
        <v>197</v>
      </c>
    </row>
    <row r="115" spans="1:16">
      <c r="A115">
        <v>70</v>
      </c>
      <c r="B115">
        <v>1</v>
      </c>
      <c r="D115">
        <v>8</v>
      </c>
      <c r="E115" t="s">
        <v>198</v>
      </c>
      <c r="F115" t="s">
        <v>199</v>
      </c>
      <c r="G115">
        <v>1</v>
      </c>
      <c r="H115">
        <v>0</v>
      </c>
      <c r="I115" t="s">
        <v>3</v>
      </c>
      <c r="J115">
        <v>5</v>
      </c>
      <c r="K115">
        <v>0</v>
      </c>
      <c r="L115" t="s">
        <v>3</v>
      </c>
      <c r="M115" t="s">
        <v>3</v>
      </c>
      <c r="N115">
        <v>0</v>
      </c>
      <c r="P115" t="s">
        <v>3</v>
      </c>
    </row>
    <row r="116" spans="1:16">
      <c r="A116">
        <v>70</v>
      </c>
      <c r="B116">
        <v>1</v>
      </c>
      <c r="D116">
        <v>9</v>
      </c>
      <c r="E116" t="s">
        <v>200</v>
      </c>
      <c r="F116" t="s">
        <v>201</v>
      </c>
      <c r="G116">
        <v>0</v>
      </c>
      <c r="H116">
        <v>0</v>
      </c>
      <c r="I116" t="s">
        <v>3</v>
      </c>
      <c r="J116">
        <v>5</v>
      </c>
      <c r="K116">
        <v>0</v>
      </c>
      <c r="L116" t="s">
        <v>3</v>
      </c>
      <c r="M116" t="s">
        <v>3</v>
      </c>
      <c r="N116">
        <v>0</v>
      </c>
      <c r="P116" t="s">
        <v>202</v>
      </c>
    </row>
    <row r="117" spans="1:16">
      <c r="A117">
        <v>70</v>
      </c>
      <c r="B117">
        <v>1</v>
      </c>
      <c r="D117">
        <v>10</v>
      </c>
      <c r="E117" t="s">
        <v>203</v>
      </c>
      <c r="F117" t="s">
        <v>204</v>
      </c>
      <c r="G117">
        <v>0</v>
      </c>
      <c r="H117">
        <v>0</v>
      </c>
      <c r="I117" t="s">
        <v>205</v>
      </c>
      <c r="J117">
        <v>5</v>
      </c>
      <c r="K117">
        <v>0</v>
      </c>
      <c r="L117" t="s">
        <v>3</v>
      </c>
      <c r="M117" t="s">
        <v>3</v>
      </c>
      <c r="N117">
        <v>0</v>
      </c>
      <c r="P117" t="s">
        <v>206</v>
      </c>
    </row>
    <row r="118" spans="1:16">
      <c r="A118">
        <v>70</v>
      </c>
      <c r="B118">
        <v>1</v>
      </c>
      <c r="D118">
        <v>11</v>
      </c>
      <c r="E118" t="s">
        <v>207</v>
      </c>
      <c r="F118" t="s">
        <v>208</v>
      </c>
      <c r="G118">
        <v>0</v>
      </c>
      <c r="H118">
        <v>0</v>
      </c>
      <c r="I118" t="s">
        <v>209</v>
      </c>
      <c r="J118">
        <v>0</v>
      </c>
      <c r="K118">
        <v>0</v>
      </c>
      <c r="L118" t="s">
        <v>3</v>
      </c>
      <c r="M118" t="s">
        <v>3</v>
      </c>
      <c r="N118">
        <v>0</v>
      </c>
      <c r="P118" t="s">
        <v>210</v>
      </c>
    </row>
    <row r="119" spans="1:16">
      <c r="A119">
        <v>70</v>
      </c>
      <c r="B119">
        <v>1</v>
      </c>
      <c r="D119">
        <v>12</v>
      </c>
      <c r="E119" t="s">
        <v>211</v>
      </c>
      <c r="F119" t="s">
        <v>212</v>
      </c>
      <c r="G119">
        <v>0</v>
      </c>
      <c r="H119">
        <v>0</v>
      </c>
      <c r="I119" t="s">
        <v>213</v>
      </c>
      <c r="J119">
        <v>0</v>
      </c>
      <c r="K119">
        <v>0</v>
      </c>
      <c r="L119" t="s">
        <v>3</v>
      </c>
      <c r="M119" t="s">
        <v>3</v>
      </c>
      <c r="N119">
        <v>0</v>
      </c>
      <c r="P119" t="s">
        <v>214</v>
      </c>
    </row>
    <row r="120" spans="1:16">
      <c r="A120">
        <v>70</v>
      </c>
      <c r="B120">
        <v>1</v>
      </c>
      <c r="D120">
        <v>13</v>
      </c>
      <c r="E120" t="s">
        <v>215</v>
      </c>
      <c r="F120" t="s">
        <v>216</v>
      </c>
      <c r="G120">
        <v>0</v>
      </c>
      <c r="H120">
        <v>0</v>
      </c>
      <c r="I120" t="s">
        <v>217</v>
      </c>
      <c r="J120">
        <v>0</v>
      </c>
      <c r="K120">
        <v>0</v>
      </c>
      <c r="L120" t="s">
        <v>3</v>
      </c>
      <c r="M120" t="s">
        <v>3</v>
      </c>
      <c r="N120">
        <v>0</v>
      </c>
      <c r="P120" t="s">
        <v>218</v>
      </c>
    </row>
    <row r="121" spans="1:16">
      <c r="A121">
        <v>70</v>
      </c>
      <c r="B121">
        <v>1</v>
      </c>
      <c r="D121">
        <v>14</v>
      </c>
      <c r="E121" t="s">
        <v>219</v>
      </c>
      <c r="F121" t="s">
        <v>220</v>
      </c>
      <c r="G121">
        <v>1</v>
      </c>
      <c r="H121">
        <v>0</v>
      </c>
      <c r="I121" t="s">
        <v>3</v>
      </c>
      <c r="J121">
        <v>0</v>
      </c>
      <c r="K121">
        <v>0</v>
      </c>
      <c r="L121" t="s">
        <v>3</v>
      </c>
      <c r="M121" t="s">
        <v>3</v>
      </c>
      <c r="N121">
        <v>0</v>
      </c>
      <c r="P121" t="s">
        <v>3</v>
      </c>
    </row>
    <row r="122" spans="1:16">
      <c r="A122">
        <v>70</v>
      </c>
      <c r="B122">
        <v>1</v>
      </c>
      <c r="D122">
        <v>15</v>
      </c>
      <c r="E122" t="s">
        <v>221</v>
      </c>
      <c r="F122" t="s">
        <v>222</v>
      </c>
      <c r="G122">
        <v>0</v>
      </c>
      <c r="H122">
        <v>0</v>
      </c>
      <c r="I122" t="s">
        <v>3</v>
      </c>
      <c r="J122">
        <v>0</v>
      </c>
      <c r="K122">
        <v>0</v>
      </c>
      <c r="L122" t="s">
        <v>3</v>
      </c>
      <c r="M122" t="s">
        <v>3</v>
      </c>
      <c r="N122">
        <v>0</v>
      </c>
      <c r="P122" t="s">
        <v>223</v>
      </c>
    </row>
    <row r="123" spans="1:16">
      <c r="A123">
        <v>70</v>
      </c>
      <c r="B123">
        <v>1</v>
      </c>
      <c r="D123">
        <v>16</v>
      </c>
      <c r="E123" t="s">
        <v>224</v>
      </c>
      <c r="F123" t="s">
        <v>225</v>
      </c>
      <c r="G123">
        <v>0</v>
      </c>
      <c r="H123">
        <v>0</v>
      </c>
      <c r="I123" t="s">
        <v>3</v>
      </c>
      <c r="J123">
        <v>3</v>
      </c>
      <c r="K123">
        <v>0</v>
      </c>
      <c r="L123" t="s">
        <v>3</v>
      </c>
      <c r="M123" t="s">
        <v>3</v>
      </c>
      <c r="N123">
        <v>0</v>
      </c>
      <c r="P123" t="s">
        <v>3</v>
      </c>
    </row>
    <row r="124" spans="1:16">
      <c r="A124">
        <v>70</v>
      </c>
      <c r="B124">
        <v>1</v>
      </c>
      <c r="D124">
        <v>17</v>
      </c>
      <c r="E124" t="s">
        <v>226</v>
      </c>
      <c r="F124" t="s">
        <v>227</v>
      </c>
      <c r="G124">
        <v>1</v>
      </c>
      <c r="H124">
        <v>0</v>
      </c>
      <c r="I124" t="s">
        <v>3</v>
      </c>
      <c r="J124">
        <v>3</v>
      </c>
      <c r="K124">
        <v>0</v>
      </c>
      <c r="L124" t="s">
        <v>3</v>
      </c>
      <c r="M124" t="s">
        <v>3</v>
      </c>
      <c r="N124">
        <v>0</v>
      </c>
      <c r="P124" t="s">
        <v>3</v>
      </c>
    </row>
    <row r="125" spans="1:16">
      <c r="A125">
        <v>70</v>
      </c>
      <c r="B125">
        <v>1</v>
      </c>
      <c r="D125">
        <v>1</v>
      </c>
      <c r="E125" t="s">
        <v>228</v>
      </c>
      <c r="F125" t="s">
        <v>229</v>
      </c>
      <c r="G125">
        <v>0.9</v>
      </c>
      <c r="H125">
        <v>1</v>
      </c>
      <c r="I125" t="s">
        <v>230</v>
      </c>
      <c r="J125">
        <v>0</v>
      </c>
      <c r="K125">
        <v>0</v>
      </c>
      <c r="L125" t="s">
        <v>3</v>
      </c>
      <c r="M125" t="s">
        <v>3</v>
      </c>
      <c r="N125">
        <v>0</v>
      </c>
      <c r="P125" t="s">
        <v>231</v>
      </c>
    </row>
    <row r="126" spans="1:16">
      <c r="A126">
        <v>70</v>
      </c>
      <c r="B126">
        <v>1</v>
      </c>
      <c r="D126">
        <v>2</v>
      </c>
      <c r="E126" t="s">
        <v>232</v>
      </c>
      <c r="F126" t="s">
        <v>233</v>
      </c>
      <c r="G126">
        <v>0.85</v>
      </c>
      <c r="H126">
        <v>1</v>
      </c>
      <c r="I126" t="s">
        <v>234</v>
      </c>
      <c r="J126">
        <v>0</v>
      </c>
      <c r="K126">
        <v>0</v>
      </c>
      <c r="L126" t="s">
        <v>3</v>
      </c>
      <c r="M126" t="s">
        <v>3</v>
      </c>
      <c r="N126">
        <v>0</v>
      </c>
      <c r="P126" t="s">
        <v>235</v>
      </c>
    </row>
    <row r="127" spans="1:16">
      <c r="A127">
        <v>70</v>
      </c>
      <c r="B127">
        <v>1</v>
      </c>
      <c r="D127">
        <v>3</v>
      </c>
      <c r="E127" t="s">
        <v>236</v>
      </c>
      <c r="F127" t="s">
        <v>237</v>
      </c>
      <c r="G127">
        <v>1.03</v>
      </c>
      <c r="H127">
        <v>0</v>
      </c>
      <c r="I127" t="s">
        <v>3</v>
      </c>
      <c r="J127">
        <v>0</v>
      </c>
      <c r="K127">
        <v>0</v>
      </c>
      <c r="L127" t="s">
        <v>3</v>
      </c>
      <c r="M127" t="s">
        <v>3</v>
      </c>
      <c r="N127">
        <v>0</v>
      </c>
      <c r="P127" t="s">
        <v>238</v>
      </c>
    </row>
    <row r="128" spans="1:16">
      <c r="A128">
        <v>70</v>
      </c>
      <c r="B128">
        <v>1</v>
      </c>
      <c r="D128">
        <v>4</v>
      </c>
      <c r="E128" t="s">
        <v>239</v>
      </c>
      <c r="F128" t="s">
        <v>240</v>
      </c>
      <c r="G128">
        <v>1.1499999999999999</v>
      </c>
      <c r="H128">
        <v>0</v>
      </c>
      <c r="I128" t="s">
        <v>3</v>
      </c>
      <c r="J128">
        <v>0</v>
      </c>
      <c r="K128">
        <v>0</v>
      </c>
      <c r="L128" t="s">
        <v>3</v>
      </c>
      <c r="M128" t="s">
        <v>3</v>
      </c>
      <c r="N128">
        <v>0</v>
      </c>
      <c r="P128" t="s">
        <v>241</v>
      </c>
    </row>
    <row r="129" spans="1:50">
      <c r="A129">
        <v>70</v>
      </c>
      <c r="B129">
        <v>1</v>
      </c>
      <c r="D129">
        <v>5</v>
      </c>
      <c r="E129" t="s">
        <v>242</v>
      </c>
      <c r="F129" t="s">
        <v>243</v>
      </c>
      <c r="G129">
        <v>7</v>
      </c>
      <c r="H129">
        <v>0</v>
      </c>
      <c r="I129" t="s">
        <v>3</v>
      </c>
      <c r="J129">
        <v>0</v>
      </c>
      <c r="K129">
        <v>0</v>
      </c>
      <c r="L129" t="s">
        <v>3</v>
      </c>
      <c r="M129" t="s">
        <v>3</v>
      </c>
      <c r="N129">
        <v>0</v>
      </c>
      <c r="P129" t="s">
        <v>3</v>
      </c>
    </row>
    <row r="130" spans="1:50">
      <c r="A130">
        <v>70</v>
      </c>
      <c r="B130">
        <v>1</v>
      </c>
      <c r="D130">
        <v>6</v>
      </c>
      <c r="E130" t="s">
        <v>244</v>
      </c>
      <c r="F130" t="s">
        <v>3</v>
      </c>
      <c r="G130">
        <v>2</v>
      </c>
      <c r="H130">
        <v>0</v>
      </c>
      <c r="I130" t="s">
        <v>3</v>
      </c>
      <c r="J130">
        <v>0</v>
      </c>
      <c r="K130">
        <v>0</v>
      </c>
      <c r="L130" t="s">
        <v>3</v>
      </c>
      <c r="M130" t="s">
        <v>3</v>
      </c>
      <c r="N130">
        <v>0</v>
      </c>
      <c r="P130" t="s">
        <v>3</v>
      </c>
    </row>
    <row r="132" spans="1:50">
      <c r="A132">
        <v>-1</v>
      </c>
    </row>
    <row r="134" spans="1:50">
      <c r="A134" s="4">
        <v>75</v>
      </c>
      <c r="B134" s="4" t="s">
        <v>245</v>
      </c>
      <c r="C134" s="4">
        <v>2026</v>
      </c>
      <c r="D134" s="4">
        <v>1</v>
      </c>
      <c r="E134" s="4">
        <v>0</v>
      </c>
      <c r="F134" s="4">
        <v>1</v>
      </c>
      <c r="G134" s="4">
        <v>0</v>
      </c>
      <c r="H134" s="4">
        <v>1</v>
      </c>
      <c r="I134" s="4">
        <v>0</v>
      </c>
      <c r="J134" s="4">
        <v>3</v>
      </c>
      <c r="K134" s="4">
        <v>0</v>
      </c>
      <c r="L134" s="4">
        <v>0</v>
      </c>
      <c r="M134" s="4">
        <v>0</v>
      </c>
      <c r="N134" s="4">
        <v>38182922</v>
      </c>
      <c r="O134" s="4">
        <v>1</v>
      </c>
    </row>
    <row r="135" spans="1:50">
      <c r="A135" s="6">
        <v>2</v>
      </c>
      <c r="B135" s="6" t="s">
        <v>246</v>
      </c>
      <c r="C135" s="6" t="s">
        <v>247</v>
      </c>
      <c r="D135" s="6">
        <v>0</v>
      </c>
      <c r="E135" s="6">
        <v>0</v>
      </c>
      <c r="F135" s="6">
        <v>0</v>
      </c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>
        <v>38182923</v>
      </c>
    </row>
    <row r="136" spans="1:50">
      <c r="A136" s="6">
        <v>1</v>
      </c>
      <c r="B136" s="6" t="s">
        <v>248</v>
      </c>
      <c r="C136" s="6" t="s">
        <v>249</v>
      </c>
      <c r="D136" s="6">
        <v>2026</v>
      </c>
      <c r="E136" s="6">
        <v>3</v>
      </c>
      <c r="F136" s="6">
        <v>1</v>
      </c>
      <c r="G136" s="6">
        <v>1</v>
      </c>
      <c r="H136" s="6">
        <v>0</v>
      </c>
      <c r="I136" s="6">
        <v>2</v>
      </c>
      <c r="J136" s="6">
        <v>1</v>
      </c>
      <c r="K136" s="6">
        <v>1</v>
      </c>
      <c r="L136" s="6">
        <v>1</v>
      </c>
      <c r="M136" s="6">
        <v>1</v>
      </c>
      <c r="N136" s="6">
        <v>1</v>
      </c>
      <c r="O136" s="6">
        <v>1</v>
      </c>
      <c r="P136" s="6">
        <v>1</v>
      </c>
      <c r="Q136" s="6">
        <v>1</v>
      </c>
      <c r="R136" s="6" t="s">
        <v>3</v>
      </c>
      <c r="S136" s="6" t="s">
        <v>3</v>
      </c>
      <c r="T136" s="6" t="s">
        <v>3</v>
      </c>
      <c r="U136" s="6" t="s">
        <v>3</v>
      </c>
      <c r="V136" s="6" t="s">
        <v>3</v>
      </c>
      <c r="W136" s="6" t="s">
        <v>3</v>
      </c>
      <c r="X136" s="6" t="s">
        <v>3</v>
      </c>
      <c r="Y136" s="6" t="s">
        <v>3</v>
      </c>
      <c r="Z136" s="6" t="s">
        <v>3</v>
      </c>
      <c r="AA136" s="6" t="s">
        <v>3</v>
      </c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>
        <v>38182924</v>
      </c>
      <c r="AO136" s="6" t="s">
        <v>250</v>
      </c>
      <c r="AP136" s="6" t="s">
        <v>251</v>
      </c>
      <c r="AQ136" s="6">
        <v>46078</v>
      </c>
      <c r="AR136" s="6">
        <v>409</v>
      </c>
      <c r="AS136" s="6" t="s">
        <v>252</v>
      </c>
      <c r="AT136" s="6" t="s">
        <v>253</v>
      </c>
      <c r="AU136" s="6" t="s">
        <v>251</v>
      </c>
      <c r="AV136" s="6">
        <v>45772</v>
      </c>
      <c r="AW136" s="6">
        <v>229</v>
      </c>
      <c r="AX136" s="6" t="s">
        <v>254</v>
      </c>
    </row>
    <row r="140" spans="1:50">
      <c r="A140">
        <v>65</v>
      </c>
      <c r="C140">
        <v>1</v>
      </c>
      <c r="D140">
        <v>0</v>
      </c>
      <c r="E140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EC53"/>
  <sheetViews>
    <sheetView workbookViewId="0"/>
  </sheetViews>
  <sheetFormatPr defaultColWidth="9.140625" defaultRowHeight="12.75"/>
  <cols>
    <col min="1" max="256" width="9.140625" style="2" customWidth="1"/>
    <col min="257" max="16384" width="9.140625" style="2"/>
  </cols>
  <sheetData>
    <row r="1" spans="1:133">
      <c r="A1" s="2">
        <v>0</v>
      </c>
      <c r="B1" s="2" t="s">
        <v>0</v>
      </c>
      <c r="D1" s="2" t="s">
        <v>255</v>
      </c>
      <c r="F1" s="2">
        <v>0</v>
      </c>
      <c r="G1" s="2">
        <v>0</v>
      </c>
      <c r="H1" s="2">
        <v>0</v>
      </c>
      <c r="I1" s="2" t="s">
        <v>2</v>
      </c>
      <c r="J1" s="2" t="s">
        <v>3</v>
      </c>
      <c r="K1" s="2">
        <v>1</v>
      </c>
      <c r="L1" s="2">
        <v>28227</v>
      </c>
      <c r="M1" s="2">
        <v>38175928</v>
      </c>
      <c r="N1" s="2">
        <v>12</v>
      </c>
      <c r="O1" s="2">
        <v>1</v>
      </c>
      <c r="P1" s="2">
        <v>0</v>
      </c>
      <c r="Q1" s="2">
        <v>5</v>
      </c>
    </row>
    <row r="4" spans="1:133">
      <c r="A4" s="7">
        <v>8</v>
      </c>
      <c r="B4" s="7">
        <v>1</v>
      </c>
      <c r="C4" s="7">
        <v>-1</v>
      </c>
      <c r="D4" s="7"/>
      <c r="E4" s="7"/>
      <c r="F4" s="7" t="s">
        <v>4</v>
      </c>
      <c r="G4" s="7" t="s">
        <v>5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>
        <v>0</v>
      </c>
    </row>
    <row r="12" spans="1:133">
      <c r="A12" s="7">
        <v>1</v>
      </c>
      <c r="B12" s="7">
        <v>51</v>
      </c>
      <c r="C12" s="7">
        <v>0</v>
      </c>
      <c r="D12" s="7"/>
      <c r="E12" s="7">
        <v>0</v>
      </c>
      <c r="F12" s="7" t="s">
        <v>6</v>
      </c>
      <c r="G12" s="7" t="s">
        <v>5</v>
      </c>
      <c r="H12" s="7" t="s">
        <v>3</v>
      </c>
      <c r="I12" s="7">
        <v>0</v>
      </c>
      <c r="J12" s="7" t="s">
        <v>3</v>
      </c>
      <c r="K12" s="7">
        <v>0</v>
      </c>
      <c r="L12" s="7">
        <v>0</v>
      </c>
      <c r="M12" s="7">
        <v>523</v>
      </c>
      <c r="N12" s="7"/>
      <c r="O12" s="7">
        <v>0</v>
      </c>
      <c r="P12" s="7">
        <v>0</v>
      </c>
      <c r="Q12" s="7">
        <v>7</v>
      </c>
      <c r="R12" s="7">
        <v>0</v>
      </c>
      <c r="S12" s="7"/>
      <c r="T12" s="7">
        <v>4</v>
      </c>
      <c r="U12" s="7" t="s">
        <v>3</v>
      </c>
      <c r="V12" s="7">
        <v>0</v>
      </c>
      <c r="W12" s="7" t="s">
        <v>3</v>
      </c>
      <c r="X12" s="7" t="s">
        <v>3</v>
      </c>
      <c r="Y12" s="7" t="s">
        <v>3</v>
      </c>
      <c r="Z12" s="7"/>
      <c r="AA12" s="7" t="s">
        <v>3</v>
      </c>
      <c r="AB12" s="7" t="s">
        <v>3</v>
      </c>
      <c r="AC12" s="7" t="s">
        <v>3</v>
      </c>
      <c r="AD12" s="7" t="s">
        <v>3</v>
      </c>
      <c r="AE12" s="7" t="s">
        <v>3</v>
      </c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>
        <v>0</v>
      </c>
      <c r="BC12" s="7"/>
      <c r="BD12" s="7"/>
      <c r="BE12" s="7"/>
      <c r="BF12" s="7"/>
      <c r="BG12" s="7"/>
      <c r="BH12" s="7" t="s">
        <v>7</v>
      </c>
      <c r="BI12" s="7" t="s">
        <v>8</v>
      </c>
      <c r="BJ12" s="7">
        <v>1</v>
      </c>
      <c r="BK12" s="7">
        <v>1</v>
      </c>
      <c r="BL12" s="7">
        <v>0</v>
      </c>
      <c r="BM12" s="7">
        <v>1</v>
      </c>
      <c r="BN12" s="7">
        <v>1</v>
      </c>
      <c r="BO12" s="7">
        <v>0</v>
      </c>
      <c r="BP12" s="7">
        <v>6</v>
      </c>
      <c r="BQ12" s="7">
        <v>2</v>
      </c>
      <c r="BR12" s="7">
        <v>1</v>
      </c>
      <c r="BS12" s="7">
        <v>1</v>
      </c>
      <c r="BT12" s="7">
        <v>0</v>
      </c>
      <c r="BU12" s="7">
        <v>0</v>
      </c>
      <c r="BV12" s="7">
        <v>1</v>
      </c>
      <c r="BW12" s="7">
        <v>0</v>
      </c>
      <c r="BX12" s="7">
        <v>0</v>
      </c>
      <c r="BY12" s="7" t="s">
        <v>9</v>
      </c>
      <c r="BZ12" s="7" t="s">
        <v>10</v>
      </c>
      <c r="CA12" s="7" t="s">
        <v>11</v>
      </c>
      <c r="CB12" s="7" t="s">
        <v>11</v>
      </c>
      <c r="CC12" s="7" t="s">
        <v>11</v>
      </c>
      <c r="CD12" s="7" t="s">
        <v>11</v>
      </c>
      <c r="CE12" s="7" t="s">
        <v>12</v>
      </c>
      <c r="CF12" s="7">
        <v>0</v>
      </c>
      <c r="CG12" s="7">
        <v>0</v>
      </c>
      <c r="CH12" s="7">
        <v>487489544</v>
      </c>
      <c r="CI12" s="7" t="s">
        <v>3</v>
      </c>
      <c r="CJ12" s="7" t="s">
        <v>3</v>
      </c>
      <c r="CK12" s="7">
        <v>18</v>
      </c>
      <c r="CL12" s="7"/>
      <c r="CM12" s="7"/>
      <c r="CN12" s="7"/>
      <c r="CO12" s="7"/>
      <c r="CP12" s="7"/>
      <c r="CQ12" s="7" t="s">
        <v>13</v>
      </c>
      <c r="CR12" s="7" t="s">
        <v>14</v>
      </c>
      <c r="CS12" s="7">
        <v>46073</v>
      </c>
      <c r="CT12" s="7">
        <v>540</v>
      </c>
      <c r="CU12" s="7">
        <v>17</v>
      </c>
      <c r="CV12" s="7" t="s">
        <v>344</v>
      </c>
      <c r="CW12" s="7"/>
      <c r="CX12" s="7"/>
      <c r="CY12" s="7">
        <v>0</v>
      </c>
      <c r="CZ12" s="7" t="s">
        <v>3</v>
      </c>
      <c r="DA12" s="7" t="s">
        <v>3</v>
      </c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>
        <v>0</v>
      </c>
    </row>
    <row r="14" spans="1:133">
      <c r="A14" s="7">
        <v>22</v>
      </c>
      <c r="B14" s="7">
        <v>1</v>
      </c>
      <c r="C14" s="7">
        <v>0</v>
      </c>
      <c r="D14" s="7">
        <v>38182922</v>
      </c>
      <c r="E14" s="7">
        <v>0</v>
      </c>
      <c r="F14" s="7">
        <v>2</v>
      </c>
      <c r="G14" s="7">
        <v>1</v>
      </c>
      <c r="H14" s="7"/>
      <c r="I14" s="7"/>
      <c r="J14" s="7"/>
      <c r="K14" s="7"/>
      <c r="L14" s="7"/>
      <c r="M14" s="7"/>
      <c r="N14" s="7"/>
      <c r="O14" s="7"/>
    </row>
    <row r="16" spans="1:133">
      <c r="A16" s="8">
        <v>3</v>
      </c>
      <c r="B16" s="8">
        <v>1</v>
      </c>
      <c r="C16" s="8" t="s">
        <v>15</v>
      </c>
      <c r="D16" s="8" t="s">
        <v>5</v>
      </c>
      <c r="E16" s="9">
        <f>ROUND((Source!F59)/1000,2)</f>
        <v>110.67</v>
      </c>
      <c r="F16" s="9">
        <f>ROUND((Source!F60)/1000,2)</f>
        <v>0</v>
      </c>
      <c r="G16" s="9">
        <f>ROUND((Source!F51)/1000,2)</f>
        <v>0</v>
      </c>
      <c r="H16" s="9">
        <f>ROUND((Source!F61)/1000+(Source!F62)/1000,2)</f>
        <v>0</v>
      </c>
      <c r="I16" s="9">
        <f>E16+F16+G16+H16</f>
        <v>110.67</v>
      </c>
      <c r="J16" s="9">
        <f>ROUND((Source!F57+Source!F56)/1000,2)</f>
        <v>25.99</v>
      </c>
      <c r="K16" s="9">
        <v>56.99</v>
      </c>
      <c r="L16" s="9">
        <v>0</v>
      </c>
      <c r="M16" s="9">
        <v>0</v>
      </c>
      <c r="N16" s="9">
        <f>I16+L16+M16</f>
        <v>110.67</v>
      </c>
      <c r="AI16" s="8">
        <v>0</v>
      </c>
      <c r="AJ16" s="8">
        <v>0</v>
      </c>
      <c r="AK16" s="8" t="s">
        <v>3</v>
      </c>
      <c r="AL16" s="8" t="s">
        <v>3</v>
      </c>
      <c r="AM16" s="8" t="s">
        <v>3</v>
      </c>
      <c r="AN16" s="8">
        <v>0</v>
      </c>
      <c r="AO16" s="8" t="s">
        <v>3</v>
      </c>
      <c r="AP16" s="8" t="s">
        <v>3</v>
      </c>
      <c r="AT16" s="9">
        <v>52656.07</v>
      </c>
      <c r="AU16" s="9">
        <v>4333.3599999999997</v>
      </c>
      <c r="AV16" s="9">
        <v>0</v>
      </c>
      <c r="AW16" s="9">
        <v>0</v>
      </c>
      <c r="AX16" s="9">
        <v>0</v>
      </c>
      <c r="AY16" s="9">
        <v>22333.26</v>
      </c>
      <c r="AZ16" s="9">
        <v>5074.08</v>
      </c>
      <c r="BA16" s="9">
        <v>20915.37</v>
      </c>
      <c r="BB16" s="9">
        <v>110670.73</v>
      </c>
      <c r="BC16" s="9">
        <v>0</v>
      </c>
      <c r="BD16" s="9">
        <v>0</v>
      </c>
      <c r="BE16" s="9">
        <v>0</v>
      </c>
      <c r="BF16" s="9">
        <v>49.771999999999998</v>
      </c>
      <c r="BG16" s="9">
        <v>12.61312</v>
      </c>
      <c r="BH16" s="9">
        <v>0</v>
      </c>
      <c r="BI16" s="9">
        <v>34113.56</v>
      </c>
      <c r="BJ16" s="9">
        <v>23901.1</v>
      </c>
      <c r="BK16" s="9">
        <v>110670.73</v>
      </c>
    </row>
    <row r="18" spans="1:16">
      <c r="A18" s="2">
        <v>51</v>
      </c>
      <c r="E18" s="2">
        <v>110.67</v>
      </c>
      <c r="F18" s="2">
        <v>0</v>
      </c>
      <c r="G18" s="2">
        <v>0</v>
      </c>
      <c r="H18" s="2">
        <v>0</v>
      </c>
      <c r="I18" s="2">
        <v>110.67</v>
      </c>
      <c r="J18" s="2">
        <v>25.99</v>
      </c>
      <c r="K18" s="2">
        <v>56.99</v>
      </c>
      <c r="L18" s="2">
        <v>0</v>
      </c>
      <c r="M18" s="2">
        <v>0</v>
      </c>
      <c r="N18" s="2">
        <v>110.67</v>
      </c>
    </row>
    <row r="20" spans="1:16">
      <c r="A20" s="10">
        <v>50</v>
      </c>
      <c r="B20" s="10">
        <v>0</v>
      </c>
      <c r="C20" s="10">
        <v>0</v>
      </c>
      <c r="D20" s="10">
        <v>1</v>
      </c>
      <c r="E20" s="10">
        <v>201</v>
      </c>
      <c r="F20" s="10">
        <v>52656.07</v>
      </c>
      <c r="G20" s="10" t="s">
        <v>118</v>
      </c>
      <c r="H20" s="10" t="s">
        <v>119</v>
      </c>
      <c r="I20" s="10"/>
      <c r="J20" s="10"/>
      <c r="K20" s="10">
        <v>201</v>
      </c>
      <c r="L20" s="10">
        <v>1</v>
      </c>
      <c r="M20" s="10">
        <v>3</v>
      </c>
      <c r="N20" s="10" t="s">
        <v>3</v>
      </c>
      <c r="O20" s="10">
        <v>2</v>
      </c>
      <c r="P20" s="10"/>
    </row>
    <row r="21" spans="1:16">
      <c r="A21" s="10">
        <v>50</v>
      </c>
      <c r="B21" s="10">
        <v>0</v>
      </c>
      <c r="C21" s="10">
        <v>0</v>
      </c>
      <c r="D21" s="10">
        <v>1</v>
      </c>
      <c r="E21" s="10">
        <v>202</v>
      </c>
      <c r="F21" s="10">
        <v>4333.3599999999997</v>
      </c>
      <c r="G21" s="10" t="s">
        <v>120</v>
      </c>
      <c r="H21" s="10" t="s">
        <v>121</v>
      </c>
      <c r="I21" s="10"/>
      <c r="J21" s="10"/>
      <c r="K21" s="10">
        <v>202</v>
      </c>
      <c r="L21" s="10">
        <v>2</v>
      </c>
      <c r="M21" s="10">
        <v>3</v>
      </c>
      <c r="N21" s="10" t="s">
        <v>3</v>
      </c>
      <c r="O21" s="10">
        <v>2</v>
      </c>
      <c r="P21" s="10"/>
    </row>
    <row r="22" spans="1:16">
      <c r="A22" s="10">
        <v>50</v>
      </c>
      <c r="B22" s="10">
        <v>0</v>
      </c>
      <c r="C22" s="10">
        <v>0</v>
      </c>
      <c r="D22" s="10">
        <v>1</v>
      </c>
      <c r="E22" s="10">
        <v>222</v>
      </c>
      <c r="F22" s="10">
        <v>0</v>
      </c>
      <c r="G22" s="10" t="s">
        <v>122</v>
      </c>
      <c r="H22" s="10" t="s">
        <v>123</v>
      </c>
      <c r="I22" s="10"/>
      <c r="J22" s="10"/>
      <c r="K22" s="10">
        <v>222</v>
      </c>
      <c r="L22" s="10">
        <v>3</v>
      </c>
      <c r="M22" s="10">
        <v>3</v>
      </c>
      <c r="N22" s="10" t="s">
        <v>3</v>
      </c>
      <c r="O22" s="10">
        <v>2</v>
      </c>
      <c r="P22" s="10"/>
    </row>
    <row r="23" spans="1:16">
      <c r="A23" s="10">
        <v>50</v>
      </c>
      <c r="B23" s="10">
        <v>0</v>
      </c>
      <c r="C23" s="10">
        <v>0</v>
      </c>
      <c r="D23" s="10">
        <v>1</v>
      </c>
      <c r="E23" s="10">
        <v>225</v>
      </c>
      <c r="F23" s="10">
        <v>4333.3599999999997</v>
      </c>
      <c r="G23" s="10" t="s">
        <v>124</v>
      </c>
      <c r="H23" s="10" t="s">
        <v>125</v>
      </c>
      <c r="I23" s="10"/>
      <c r="J23" s="10"/>
      <c r="K23" s="10">
        <v>225</v>
      </c>
      <c r="L23" s="10">
        <v>4</v>
      </c>
      <c r="M23" s="10">
        <v>3</v>
      </c>
      <c r="N23" s="10" t="s">
        <v>3</v>
      </c>
      <c r="O23" s="10">
        <v>2</v>
      </c>
      <c r="P23" s="10"/>
    </row>
    <row r="24" spans="1:16">
      <c r="A24" s="10">
        <v>50</v>
      </c>
      <c r="B24" s="10">
        <v>0</v>
      </c>
      <c r="C24" s="10">
        <v>0</v>
      </c>
      <c r="D24" s="10">
        <v>1</v>
      </c>
      <c r="E24" s="10">
        <v>226</v>
      </c>
      <c r="F24" s="10">
        <v>4333.3599999999997</v>
      </c>
      <c r="G24" s="10" t="s">
        <v>126</v>
      </c>
      <c r="H24" s="10" t="s">
        <v>127</v>
      </c>
      <c r="I24" s="10"/>
      <c r="J24" s="10"/>
      <c r="K24" s="10">
        <v>226</v>
      </c>
      <c r="L24" s="10">
        <v>5</v>
      </c>
      <c r="M24" s="10">
        <v>3</v>
      </c>
      <c r="N24" s="10" t="s">
        <v>3</v>
      </c>
      <c r="O24" s="10">
        <v>2</v>
      </c>
      <c r="P24" s="10"/>
    </row>
    <row r="25" spans="1:16">
      <c r="A25" s="10">
        <v>50</v>
      </c>
      <c r="B25" s="10">
        <v>0</v>
      </c>
      <c r="C25" s="10">
        <v>0</v>
      </c>
      <c r="D25" s="10">
        <v>1</v>
      </c>
      <c r="E25" s="10">
        <v>227</v>
      </c>
      <c r="F25" s="10">
        <v>0</v>
      </c>
      <c r="G25" s="10" t="s">
        <v>128</v>
      </c>
      <c r="H25" s="10" t="s">
        <v>129</v>
      </c>
      <c r="I25" s="10"/>
      <c r="J25" s="10"/>
      <c r="K25" s="10">
        <v>227</v>
      </c>
      <c r="L25" s="10">
        <v>6</v>
      </c>
      <c r="M25" s="10">
        <v>3</v>
      </c>
      <c r="N25" s="10" t="s">
        <v>3</v>
      </c>
      <c r="O25" s="10">
        <v>2</v>
      </c>
      <c r="P25" s="10"/>
    </row>
    <row r="26" spans="1:16">
      <c r="A26" s="10">
        <v>50</v>
      </c>
      <c r="B26" s="10">
        <v>0</v>
      </c>
      <c r="C26" s="10">
        <v>0</v>
      </c>
      <c r="D26" s="10">
        <v>1</v>
      </c>
      <c r="E26" s="10">
        <v>228</v>
      </c>
      <c r="F26" s="10">
        <v>4333.3599999999997</v>
      </c>
      <c r="G26" s="10" t="s">
        <v>130</v>
      </c>
      <c r="H26" s="10" t="s">
        <v>131</v>
      </c>
      <c r="I26" s="10"/>
      <c r="J26" s="10"/>
      <c r="K26" s="10">
        <v>228</v>
      </c>
      <c r="L26" s="10">
        <v>7</v>
      </c>
      <c r="M26" s="10">
        <v>3</v>
      </c>
      <c r="N26" s="10" t="s">
        <v>3</v>
      </c>
      <c r="O26" s="10">
        <v>2</v>
      </c>
      <c r="P26" s="10"/>
    </row>
    <row r="27" spans="1:16">
      <c r="A27" s="10">
        <v>50</v>
      </c>
      <c r="B27" s="10">
        <v>0</v>
      </c>
      <c r="C27" s="10">
        <v>0</v>
      </c>
      <c r="D27" s="10">
        <v>1</v>
      </c>
      <c r="E27" s="10">
        <v>216</v>
      </c>
      <c r="F27" s="10">
        <v>0</v>
      </c>
      <c r="G27" s="10" t="s">
        <v>132</v>
      </c>
      <c r="H27" s="10" t="s">
        <v>133</v>
      </c>
      <c r="I27" s="10"/>
      <c r="J27" s="10"/>
      <c r="K27" s="10">
        <v>216</v>
      </c>
      <c r="L27" s="10">
        <v>8</v>
      </c>
      <c r="M27" s="10">
        <v>3</v>
      </c>
      <c r="N27" s="10" t="s">
        <v>3</v>
      </c>
      <c r="O27" s="10">
        <v>2</v>
      </c>
      <c r="P27" s="10"/>
    </row>
    <row r="28" spans="1:16">
      <c r="A28" s="10">
        <v>50</v>
      </c>
      <c r="B28" s="10">
        <v>0</v>
      </c>
      <c r="C28" s="10">
        <v>0</v>
      </c>
      <c r="D28" s="10">
        <v>1</v>
      </c>
      <c r="E28" s="10">
        <v>223</v>
      </c>
      <c r="F28" s="10">
        <v>0</v>
      </c>
      <c r="G28" s="10" t="s">
        <v>134</v>
      </c>
      <c r="H28" s="10" t="s">
        <v>135</v>
      </c>
      <c r="I28" s="10"/>
      <c r="J28" s="10"/>
      <c r="K28" s="10">
        <v>223</v>
      </c>
      <c r="L28" s="10">
        <v>9</v>
      </c>
      <c r="M28" s="10">
        <v>3</v>
      </c>
      <c r="N28" s="10" t="s">
        <v>3</v>
      </c>
      <c r="O28" s="10">
        <v>2</v>
      </c>
      <c r="P28" s="10"/>
    </row>
    <row r="29" spans="1:16">
      <c r="A29" s="10">
        <v>50</v>
      </c>
      <c r="B29" s="10">
        <v>0</v>
      </c>
      <c r="C29" s="10">
        <v>0</v>
      </c>
      <c r="D29" s="10">
        <v>1</v>
      </c>
      <c r="E29" s="10">
        <v>229</v>
      </c>
      <c r="F29" s="10">
        <v>0</v>
      </c>
      <c r="G29" s="10" t="s">
        <v>136</v>
      </c>
      <c r="H29" s="10" t="s">
        <v>137</v>
      </c>
      <c r="I29" s="10"/>
      <c r="J29" s="10"/>
      <c r="K29" s="10">
        <v>229</v>
      </c>
      <c r="L29" s="10">
        <v>10</v>
      </c>
      <c r="M29" s="10">
        <v>3</v>
      </c>
      <c r="N29" s="10" t="s">
        <v>3</v>
      </c>
      <c r="O29" s="10">
        <v>2</v>
      </c>
      <c r="P29" s="10"/>
    </row>
    <row r="30" spans="1:16">
      <c r="A30" s="10">
        <v>50</v>
      </c>
      <c r="B30" s="10">
        <v>0</v>
      </c>
      <c r="C30" s="10">
        <v>0</v>
      </c>
      <c r="D30" s="10">
        <v>1</v>
      </c>
      <c r="E30" s="10">
        <v>203</v>
      </c>
      <c r="F30" s="10">
        <v>22333.26</v>
      </c>
      <c r="G30" s="10" t="s">
        <v>74</v>
      </c>
      <c r="H30" s="10" t="s">
        <v>138</v>
      </c>
      <c r="I30" s="10"/>
      <c r="J30" s="10"/>
      <c r="K30" s="10">
        <v>203</v>
      </c>
      <c r="L30" s="10">
        <v>11</v>
      </c>
      <c r="M30" s="10">
        <v>3</v>
      </c>
      <c r="N30" s="10" t="s">
        <v>3</v>
      </c>
      <c r="O30" s="10">
        <v>2</v>
      </c>
      <c r="P30" s="10"/>
    </row>
    <row r="31" spans="1:16">
      <c r="A31" s="10">
        <v>50</v>
      </c>
      <c r="B31" s="10">
        <v>0</v>
      </c>
      <c r="C31" s="10">
        <v>0</v>
      </c>
      <c r="D31" s="10">
        <v>1</v>
      </c>
      <c r="E31" s="10">
        <v>231</v>
      </c>
      <c r="F31" s="10">
        <v>0</v>
      </c>
      <c r="G31" s="10" t="s">
        <v>139</v>
      </c>
      <c r="H31" s="10" t="s">
        <v>140</v>
      </c>
      <c r="I31" s="10"/>
      <c r="J31" s="10"/>
      <c r="K31" s="10">
        <v>231</v>
      </c>
      <c r="L31" s="10">
        <v>12</v>
      </c>
      <c r="M31" s="10">
        <v>3</v>
      </c>
      <c r="N31" s="10" t="s">
        <v>3</v>
      </c>
      <c r="O31" s="10">
        <v>2</v>
      </c>
      <c r="P31" s="10"/>
    </row>
    <row r="32" spans="1:16">
      <c r="A32" s="10">
        <v>50</v>
      </c>
      <c r="B32" s="10">
        <v>0</v>
      </c>
      <c r="C32" s="10">
        <v>0</v>
      </c>
      <c r="D32" s="10">
        <v>1</v>
      </c>
      <c r="E32" s="10">
        <v>204</v>
      </c>
      <c r="F32" s="10">
        <v>5074.08</v>
      </c>
      <c r="G32" s="10" t="s">
        <v>141</v>
      </c>
      <c r="H32" s="10" t="s">
        <v>142</v>
      </c>
      <c r="I32" s="10"/>
      <c r="J32" s="10"/>
      <c r="K32" s="10">
        <v>204</v>
      </c>
      <c r="L32" s="10">
        <v>13</v>
      </c>
      <c r="M32" s="10">
        <v>3</v>
      </c>
      <c r="N32" s="10" t="s">
        <v>3</v>
      </c>
      <c r="O32" s="10">
        <v>2</v>
      </c>
      <c r="P32" s="10"/>
    </row>
    <row r="33" spans="1:16">
      <c r="A33" s="10">
        <v>50</v>
      </c>
      <c r="B33" s="10">
        <v>0</v>
      </c>
      <c r="C33" s="10">
        <v>0</v>
      </c>
      <c r="D33" s="10">
        <v>1</v>
      </c>
      <c r="E33" s="10">
        <v>205</v>
      </c>
      <c r="F33" s="10">
        <v>20915.37</v>
      </c>
      <c r="G33" s="10" t="s">
        <v>143</v>
      </c>
      <c r="H33" s="10" t="s">
        <v>144</v>
      </c>
      <c r="I33" s="10"/>
      <c r="J33" s="10"/>
      <c r="K33" s="10">
        <v>205</v>
      </c>
      <c r="L33" s="10">
        <v>14</v>
      </c>
      <c r="M33" s="10">
        <v>3</v>
      </c>
      <c r="N33" s="10" t="s">
        <v>3</v>
      </c>
      <c r="O33" s="10">
        <v>2</v>
      </c>
      <c r="P33" s="10"/>
    </row>
    <row r="34" spans="1:16">
      <c r="A34" s="10">
        <v>50</v>
      </c>
      <c r="B34" s="10">
        <v>0</v>
      </c>
      <c r="C34" s="10">
        <v>0</v>
      </c>
      <c r="D34" s="10">
        <v>1</v>
      </c>
      <c r="E34" s="10">
        <v>232</v>
      </c>
      <c r="F34" s="10">
        <v>0</v>
      </c>
      <c r="G34" s="10" t="s">
        <v>145</v>
      </c>
      <c r="H34" s="10" t="s">
        <v>146</v>
      </c>
      <c r="I34" s="10"/>
      <c r="J34" s="10"/>
      <c r="K34" s="10">
        <v>232</v>
      </c>
      <c r="L34" s="10">
        <v>15</v>
      </c>
      <c r="M34" s="10">
        <v>3</v>
      </c>
      <c r="N34" s="10" t="s">
        <v>3</v>
      </c>
      <c r="O34" s="10">
        <v>2</v>
      </c>
      <c r="P34" s="10"/>
    </row>
    <row r="35" spans="1:16">
      <c r="A35" s="10">
        <v>50</v>
      </c>
      <c r="B35" s="10">
        <v>0</v>
      </c>
      <c r="C35" s="10">
        <v>0</v>
      </c>
      <c r="D35" s="10">
        <v>1</v>
      </c>
      <c r="E35" s="10">
        <v>214</v>
      </c>
      <c r="F35" s="10">
        <v>110670.73</v>
      </c>
      <c r="G35" s="10" t="s">
        <v>147</v>
      </c>
      <c r="H35" s="10" t="s">
        <v>148</v>
      </c>
      <c r="I35" s="10"/>
      <c r="J35" s="10"/>
      <c r="K35" s="10">
        <v>214</v>
      </c>
      <c r="L35" s="10">
        <v>16</v>
      </c>
      <c r="M35" s="10">
        <v>3</v>
      </c>
      <c r="N35" s="10" t="s">
        <v>3</v>
      </c>
      <c r="O35" s="10">
        <v>2</v>
      </c>
      <c r="P35" s="10"/>
    </row>
    <row r="36" spans="1:16">
      <c r="A36" s="10">
        <v>50</v>
      </c>
      <c r="B36" s="10">
        <v>0</v>
      </c>
      <c r="C36" s="10">
        <v>0</v>
      </c>
      <c r="D36" s="10">
        <v>1</v>
      </c>
      <c r="E36" s="10">
        <v>215</v>
      </c>
      <c r="F36" s="10">
        <v>0</v>
      </c>
      <c r="G36" s="10" t="s">
        <v>149</v>
      </c>
      <c r="H36" s="10" t="s">
        <v>150</v>
      </c>
      <c r="I36" s="10"/>
      <c r="J36" s="10"/>
      <c r="K36" s="10">
        <v>215</v>
      </c>
      <c r="L36" s="10">
        <v>17</v>
      </c>
      <c r="M36" s="10">
        <v>3</v>
      </c>
      <c r="N36" s="10" t="s">
        <v>3</v>
      </c>
      <c r="O36" s="10">
        <v>2</v>
      </c>
      <c r="P36" s="10"/>
    </row>
    <row r="37" spans="1:16">
      <c r="A37" s="10">
        <v>50</v>
      </c>
      <c r="B37" s="10">
        <v>0</v>
      </c>
      <c r="C37" s="10">
        <v>0</v>
      </c>
      <c r="D37" s="10">
        <v>1</v>
      </c>
      <c r="E37" s="10">
        <v>217</v>
      </c>
      <c r="F37" s="10">
        <v>0</v>
      </c>
      <c r="G37" s="10" t="s">
        <v>151</v>
      </c>
      <c r="H37" s="10" t="s">
        <v>152</v>
      </c>
      <c r="I37" s="10"/>
      <c r="J37" s="10"/>
      <c r="K37" s="10">
        <v>217</v>
      </c>
      <c r="L37" s="10">
        <v>18</v>
      </c>
      <c r="M37" s="10">
        <v>3</v>
      </c>
      <c r="N37" s="10" t="s">
        <v>3</v>
      </c>
      <c r="O37" s="10">
        <v>2</v>
      </c>
      <c r="P37" s="10"/>
    </row>
    <row r="38" spans="1:16">
      <c r="A38" s="10">
        <v>50</v>
      </c>
      <c r="B38" s="10">
        <v>0</v>
      </c>
      <c r="C38" s="10">
        <v>0</v>
      </c>
      <c r="D38" s="10">
        <v>1</v>
      </c>
      <c r="E38" s="10">
        <v>230</v>
      </c>
      <c r="F38" s="10">
        <v>0</v>
      </c>
      <c r="G38" s="10" t="s">
        <v>153</v>
      </c>
      <c r="H38" s="10" t="s">
        <v>154</v>
      </c>
      <c r="I38" s="10"/>
      <c r="J38" s="10"/>
      <c r="K38" s="10">
        <v>230</v>
      </c>
      <c r="L38" s="10">
        <v>19</v>
      </c>
      <c r="M38" s="10">
        <v>3</v>
      </c>
      <c r="N38" s="10" t="s">
        <v>3</v>
      </c>
      <c r="O38" s="10">
        <v>2</v>
      </c>
      <c r="P38" s="10"/>
    </row>
    <row r="39" spans="1:16">
      <c r="A39" s="10">
        <v>50</v>
      </c>
      <c r="B39" s="10">
        <v>0</v>
      </c>
      <c r="C39" s="10">
        <v>0</v>
      </c>
      <c r="D39" s="10">
        <v>1</v>
      </c>
      <c r="E39" s="10">
        <v>206</v>
      </c>
      <c r="F39" s="10">
        <v>0</v>
      </c>
      <c r="G39" s="10" t="s">
        <v>155</v>
      </c>
      <c r="H39" s="10" t="s">
        <v>156</v>
      </c>
      <c r="I39" s="10"/>
      <c r="J39" s="10"/>
      <c r="K39" s="10">
        <v>206</v>
      </c>
      <c r="L39" s="10">
        <v>20</v>
      </c>
      <c r="M39" s="10">
        <v>3</v>
      </c>
      <c r="N39" s="10" t="s">
        <v>3</v>
      </c>
      <c r="O39" s="10">
        <v>2</v>
      </c>
      <c r="P39" s="10"/>
    </row>
    <row r="40" spans="1:16">
      <c r="A40" s="10">
        <v>50</v>
      </c>
      <c r="B40" s="10">
        <v>0</v>
      </c>
      <c r="C40" s="10">
        <v>0</v>
      </c>
      <c r="D40" s="10">
        <v>1</v>
      </c>
      <c r="E40" s="10">
        <v>207</v>
      </c>
      <c r="F40" s="10">
        <v>49.771999999999998</v>
      </c>
      <c r="G40" s="10" t="s">
        <v>157</v>
      </c>
      <c r="H40" s="10" t="s">
        <v>158</v>
      </c>
      <c r="I40" s="10"/>
      <c r="J40" s="10"/>
      <c r="K40" s="10">
        <v>207</v>
      </c>
      <c r="L40" s="10">
        <v>21</v>
      </c>
      <c r="M40" s="10">
        <v>3</v>
      </c>
      <c r="N40" s="10" t="s">
        <v>3</v>
      </c>
      <c r="O40" s="10">
        <v>-1</v>
      </c>
      <c r="P40" s="10"/>
    </row>
    <row r="41" spans="1:16">
      <c r="A41" s="10">
        <v>50</v>
      </c>
      <c r="B41" s="10">
        <v>0</v>
      </c>
      <c r="C41" s="10">
        <v>0</v>
      </c>
      <c r="D41" s="10">
        <v>1</v>
      </c>
      <c r="E41" s="10">
        <v>208</v>
      </c>
      <c r="F41" s="10">
        <v>12.61312</v>
      </c>
      <c r="G41" s="10" t="s">
        <v>159</v>
      </c>
      <c r="H41" s="10" t="s">
        <v>160</v>
      </c>
      <c r="I41" s="10"/>
      <c r="J41" s="10"/>
      <c r="K41" s="10">
        <v>208</v>
      </c>
      <c r="L41" s="10">
        <v>22</v>
      </c>
      <c r="M41" s="10">
        <v>3</v>
      </c>
      <c r="N41" s="10" t="s">
        <v>3</v>
      </c>
      <c r="O41" s="10">
        <v>-1</v>
      </c>
      <c r="P41" s="10"/>
    </row>
    <row r="42" spans="1:16">
      <c r="A42" s="10">
        <v>50</v>
      </c>
      <c r="B42" s="10">
        <v>0</v>
      </c>
      <c r="C42" s="10">
        <v>0</v>
      </c>
      <c r="D42" s="10">
        <v>1</v>
      </c>
      <c r="E42" s="10">
        <v>209</v>
      </c>
      <c r="F42" s="10">
        <v>0</v>
      </c>
      <c r="G42" s="10" t="s">
        <v>161</v>
      </c>
      <c r="H42" s="10" t="s">
        <v>162</v>
      </c>
      <c r="I42" s="10"/>
      <c r="J42" s="10"/>
      <c r="K42" s="10">
        <v>209</v>
      </c>
      <c r="L42" s="10">
        <v>23</v>
      </c>
      <c r="M42" s="10">
        <v>3</v>
      </c>
      <c r="N42" s="10" t="s">
        <v>3</v>
      </c>
      <c r="O42" s="10">
        <v>2</v>
      </c>
      <c r="P42" s="10"/>
    </row>
    <row r="43" spans="1:16">
      <c r="A43" s="10">
        <v>50</v>
      </c>
      <c r="B43" s="10">
        <v>0</v>
      </c>
      <c r="C43" s="10">
        <v>0</v>
      </c>
      <c r="D43" s="10">
        <v>1</v>
      </c>
      <c r="E43" s="10">
        <v>233</v>
      </c>
      <c r="F43" s="10">
        <v>0</v>
      </c>
      <c r="G43" s="10" t="s">
        <v>163</v>
      </c>
      <c r="H43" s="10" t="s">
        <v>164</v>
      </c>
      <c r="I43" s="10"/>
      <c r="J43" s="10"/>
      <c r="K43" s="10">
        <v>233</v>
      </c>
      <c r="L43" s="10">
        <v>24</v>
      </c>
      <c r="M43" s="10">
        <v>3</v>
      </c>
      <c r="N43" s="10" t="s">
        <v>3</v>
      </c>
      <c r="O43" s="10">
        <v>2</v>
      </c>
      <c r="P43" s="10"/>
    </row>
    <row r="44" spans="1:16">
      <c r="A44" s="10">
        <v>50</v>
      </c>
      <c r="B44" s="10">
        <v>0</v>
      </c>
      <c r="C44" s="10">
        <v>0</v>
      </c>
      <c r="D44" s="10">
        <v>1</v>
      </c>
      <c r="E44" s="10">
        <v>210</v>
      </c>
      <c r="F44" s="10">
        <v>34113.56</v>
      </c>
      <c r="G44" s="10" t="s">
        <v>165</v>
      </c>
      <c r="H44" s="10" t="s">
        <v>166</v>
      </c>
      <c r="I44" s="10"/>
      <c r="J44" s="10"/>
      <c r="K44" s="10">
        <v>210</v>
      </c>
      <c r="L44" s="10">
        <v>25</v>
      </c>
      <c r="M44" s="10">
        <v>3</v>
      </c>
      <c r="N44" s="10" t="s">
        <v>3</v>
      </c>
      <c r="O44" s="10">
        <v>2</v>
      </c>
      <c r="P44" s="10"/>
    </row>
    <row r="45" spans="1:16">
      <c r="A45" s="10">
        <v>50</v>
      </c>
      <c r="B45" s="10">
        <v>0</v>
      </c>
      <c r="C45" s="10">
        <v>0</v>
      </c>
      <c r="D45" s="10">
        <v>1</v>
      </c>
      <c r="E45" s="10">
        <v>211</v>
      </c>
      <c r="F45" s="10">
        <v>23901.1</v>
      </c>
      <c r="G45" s="10" t="s">
        <v>167</v>
      </c>
      <c r="H45" s="10" t="s">
        <v>168</v>
      </c>
      <c r="I45" s="10"/>
      <c r="J45" s="10"/>
      <c r="K45" s="10">
        <v>211</v>
      </c>
      <c r="L45" s="10">
        <v>26</v>
      </c>
      <c r="M45" s="10">
        <v>3</v>
      </c>
      <c r="N45" s="10" t="s">
        <v>3</v>
      </c>
      <c r="O45" s="10">
        <v>2</v>
      </c>
      <c r="P45" s="10"/>
    </row>
    <row r="46" spans="1:16">
      <c r="A46" s="10">
        <v>50</v>
      </c>
      <c r="B46" s="10">
        <v>0</v>
      </c>
      <c r="C46" s="10">
        <v>0</v>
      </c>
      <c r="D46" s="10">
        <v>1</v>
      </c>
      <c r="E46" s="10">
        <v>224</v>
      </c>
      <c r="F46" s="10">
        <v>110670.73</v>
      </c>
      <c r="G46" s="10" t="s">
        <v>169</v>
      </c>
      <c r="H46" s="10" t="s">
        <v>170</v>
      </c>
      <c r="I46" s="10"/>
      <c r="J46" s="10"/>
      <c r="K46" s="10">
        <v>224</v>
      </c>
      <c r="L46" s="10">
        <v>27</v>
      </c>
      <c r="M46" s="10">
        <v>3</v>
      </c>
      <c r="N46" s="10" t="s">
        <v>3</v>
      </c>
      <c r="O46" s="10">
        <v>2</v>
      </c>
      <c r="P46" s="10"/>
    </row>
    <row r="48" spans="1:16">
      <c r="A48" s="2">
        <v>-1</v>
      </c>
    </row>
    <row r="51" spans="1:50">
      <c r="A51" s="11">
        <v>75</v>
      </c>
      <c r="B51" s="11" t="s">
        <v>245</v>
      </c>
      <c r="C51" s="11">
        <v>2026</v>
      </c>
      <c r="D51" s="11">
        <v>1</v>
      </c>
      <c r="E51" s="11">
        <v>0</v>
      </c>
      <c r="F51" s="11">
        <v>1</v>
      </c>
      <c r="G51" s="11">
        <v>0</v>
      </c>
      <c r="H51" s="11">
        <v>1</v>
      </c>
      <c r="I51" s="11">
        <v>0</v>
      </c>
      <c r="J51" s="11">
        <v>3</v>
      </c>
      <c r="K51" s="11">
        <v>0</v>
      </c>
      <c r="L51" s="11">
        <v>0</v>
      </c>
      <c r="M51" s="11">
        <v>0</v>
      </c>
      <c r="N51" s="11">
        <v>38182922</v>
      </c>
      <c r="O51" s="11">
        <v>1</v>
      </c>
    </row>
    <row r="52" spans="1:50">
      <c r="A52" s="12">
        <v>2</v>
      </c>
      <c r="B52" s="12" t="s">
        <v>246</v>
      </c>
      <c r="C52" s="12" t="s">
        <v>247</v>
      </c>
      <c r="D52" s="12">
        <v>0</v>
      </c>
      <c r="E52" s="12">
        <v>0</v>
      </c>
      <c r="F52" s="12">
        <v>0</v>
      </c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>
        <v>38182923</v>
      </c>
    </row>
    <row r="53" spans="1:50">
      <c r="A53" s="12">
        <v>1</v>
      </c>
      <c r="B53" s="12" t="s">
        <v>248</v>
      </c>
      <c r="C53" s="12" t="s">
        <v>249</v>
      </c>
      <c r="D53" s="12">
        <v>2026</v>
      </c>
      <c r="E53" s="12">
        <v>3</v>
      </c>
      <c r="F53" s="12">
        <v>1</v>
      </c>
      <c r="G53" s="12">
        <v>1</v>
      </c>
      <c r="H53" s="12">
        <v>0</v>
      </c>
      <c r="I53" s="12">
        <v>2</v>
      </c>
      <c r="J53" s="12">
        <v>1</v>
      </c>
      <c r="K53" s="12">
        <v>1</v>
      </c>
      <c r="L53" s="12">
        <v>1</v>
      </c>
      <c r="M53" s="12">
        <v>1</v>
      </c>
      <c r="N53" s="12">
        <v>1</v>
      </c>
      <c r="O53" s="12">
        <v>1</v>
      </c>
      <c r="P53" s="12">
        <v>1</v>
      </c>
      <c r="Q53" s="12">
        <v>1</v>
      </c>
      <c r="R53" s="12" t="s">
        <v>3</v>
      </c>
      <c r="S53" s="12" t="s">
        <v>3</v>
      </c>
      <c r="T53" s="12" t="s">
        <v>3</v>
      </c>
      <c r="U53" s="12" t="s">
        <v>3</v>
      </c>
      <c r="V53" s="12" t="s">
        <v>3</v>
      </c>
      <c r="W53" s="12" t="s">
        <v>3</v>
      </c>
      <c r="X53" s="12" t="s">
        <v>3</v>
      </c>
      <c r="Y53" s="12" t="s">
        <v>3</v>
      </c>
      <c r="Z53" s="12" t="s">
        <v>3</v>
      </c>
      <c r="AA53" s="12" t="s">
        <v>3</v>
      </c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>
        <v>38182924</v>
      </c>
      <c r="AO53" s="12" t="s">
        <v>250</v>
      </c>
      <c r="AP53" s="12" t="s">
        <v>251</v>
      </c>
      <c r="AQ53" s="12">
        <v>46078</v>
      </c>
      <c r="AR53" s="12">
        <v>409</v>
      </c>
      <c r="AS53" s="12" t="s">
        <v>252</v>
      </c>
      <c r="AT53" s="12" t="s">
        <v>253</v>
      </c>
      <c r="AU53" s="12" t="s">
        <v>251</v>
      </c>
      <c r="AV53" s="12">
        <v>45772</v>
      </c>
      <c r="AW53" s="12">
        <v>229</v>
      </c>
      <c r="AX53" s="12" t="s">
        <v>254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DO56"/>
  <sheetViews>
    <sheetView workbookViewId="0"/>
  </sheetViews>
  <sheetFormatPr defaultColWidth="9.140625" defaultRowHeight="12.75"/>
  <cols>
    <col min="1" max="256" width="9.140625" customWidth="1"/>
  </cols>
  <sheetData>
    <row r="1" spans="1:119">
      <c r="A1">
        <f>ROW(Source!A24)</f>
        <v>24</v>
      </c>
      <c r="B1">
        <v>38182922</v>
      </c>
      <c r="C1">
        <v>38182940</v>
      </c>
      <c r="D1">
        <v>35338390</v>
      </c>
      <c r="E1">
        <v>117</v>
      </c>
      <c r="F1">
        <v>1</v>
      </c>
      <c r="G1">
        <v>1</v>
      </c>
      <c r="H1">
        <v>1</v>
      </c>
      <c r="I1" t="s">
        <v>256</v>
      </c>
      <c r="J1" t="s">
        <v>3</v>
      </c>
      <c r="K1" t="s">
        <v>257</v>
      </c>
      <c r="L1">
        <v>1191</v>
      </c>
      <c r="N1">
        <v>1013</v>
      </c>
      <c r="O1" t="s">
        <v>258</v>
      </c>
      <c r="P1" t="s">
        <v>258</v>
      </c>
      <c r="Q1">
        <v>1</v>
      </c>
      <c r="W1">
        <v>0</v>
      </c>
      <c r="X1">
        <v>370475345</v>
      </c>
      <c r="Y1">
        <f>AT1</f>
        <v>5.9</v>
      </c>
      <c r="AA1">
        <v>0</v>
      </c>
      <c r="AB1">
        <v>0</v>
      </c>
      <c r="AC1">
        <v>0</v>
      </c>
      <c r="AD1">
        <v>352.06</v>
      </c>
      <c r="AE1">
        <v>0</v>
      </c>
      <c r="AF1">
        <v>0</v>
      </c>
      <c r="AG1">
        <v>0</v>
      </c>
      <c r="AH1">
        <v>352.06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0</v>
      </c>
      <c r="AP1">
        <v>0</v>
      </c>
      <c r="AQ1">
        <v>1</v>
      </c>
      <c r="AR1">
        <v>0</v>
      </c>
      <c r="AS1" t="s">
        <v>3</v>
      </c>
      <c r="AT1">
        <v>5.9</v>
      </c>
      <c r="AU1" t="s">
        <v>3</v>
      </c>
      <c r="AV1">
        <v>1</v>
      </c>
      <c r="AW1">
        <v>2</v>
      </c>
      <c r="AX1">
        <v>38182941</v>
      </c>
      <c r="AY1">
        <v>1</v>
      </c>
      <c r="AZ1">
        <v>0</v>
      </c>
      <c r="BA1">
        <v>1</v>
      </c>
      <c r="BB1">
        <v>1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2077.154</v>
      </c>
      <c r="BN1">
        <v>5.9</v>
      </c>
      <c r="BO1">
        <v>0</v>
      </c>
      <c r="BP1">
        <v>1</v>
      </c>
      <c r="BQ1">
        <v>0</v>
      </c>
      <c r="BR1">
        <v>0</v>
      </c>
      <c r="BS1">
        <v>0</v>
      </c>
      <c r="BT1">
        <v>2077.154</v>
      </c>
      <c r="BU1">
        <v>5.9</v>
      </c>
      <c r="BV1">
        <v>0</v>
      </c>
      <c r="BW1">
        <v>1</v>
      </c>
      <c r="CU1">
        <f>ROUND(AT1*Source!I24*AH1*AL1,2)</f>
        <v>93.47</v>
      </c>
      <c r="CV1">
        <f>ROUND(Y1*Source!I24,7)</f>
        <v>0.26550000000000001</v>
      </c>
      <c r="CW1">
        <v>0</v>
      </c>
      <c r="CX1">
        <f>ROUND(Y1*Source!I24,7)</f>
        <v>0.26550000000000001</v>
      </c>
      <c r="CY1">
        <f>AD1</f>
        <v>352.06</v>
      </c>
      <c r="CZ1">
        <f>AH1</f>
        <v>352.06</v>
      </c>
      <c r="DA1">
        <f>AL1</f>
        <v>1</v>
      </c>
      <c r="DB1">
        <f>ROUND(ROUND(AT1*CZ1,2),6)</f>
        <v>2077.15</v>
      </c>
      <c r="DC1">
        <f>ROUND(ROUND(AT1*AG1,2),6)</f>
        <v>0</v>
      </c>
      <c r="DD1" t="s">
        <v>3</v>
      </c>
      <c r="DE1" t="s">
        <v>3</v>
      </c>
      <c r="DF1">
        <f t="shared" ref="DF1:DF7" si="0">ROUND(ROUND(AE1,2)*CX1,2)</f>
        <v>0</v>
      </c>
      <c r="DG1">
        <f>ROUND(ROUND(AF1,2)*CX1,2)</f>
        <v>0</v>
      </c>
      <c r="DH1">
        <f t="shared" ref="DH1:DH32" si="1">ROUND(ROUND(AG1,2)*CX1,2)</f>
        <v>0</v>
      </c>
      <c r="DI1">
        <f t="shared" ref="DI1:DI32" si="2">ROUND(ROUND(AH1,2)*CX1,2)</f>
        <v>93.47</v>
      </c>
      <c r="DJ1">
        <f>DI1</f>
        <v>93.47</v>
      </c>
      <c r="DK1">
        <v>1</v>
      </c>
      <c r="DL1" t="s">
        <v>3</v>
      </c>
      <c r="DM1">
        <v>0</v>
      </c>
      <c r="DN1" t="s">
        <v>3</v>
      </c>
      <c r="DO1">
        <v>0</v>
      </c>
    </row>
    <row r="2" spans="1:119">
      <c r="A2">
        <f>ROW(Source!A24)</f>
        <v>24</v>
      </c>
      <c r="B2">
        <v>38182922</v>
      </c>
      <c r="C2">
        <v>38182940</v>
      </c>
      <c r="D2">
        <v>35338624</v>
      </c>
      <c r="E2">
        <v>117</v>
      </c>
      <c r="F2">
        <v>1</v>
      </c>
      <c r="G2">
        <v>1</v>
      </c>
      <c r="H2">
        <v>1</v>
      </c>
      <c r="I2" t="s">
        <v>259</v>
      </c>
      <c r="J2" t="s">
        <v>3</v>
      </c>
      <c r="K2" t="s">
        <v>260</v>
      </c>
      <c r="L2">
        <v>1191</v>
      </c>
      <c r="N2">
        <v>1013</v>
      </c>
      <c r="O2" t="s">
        <v>258</v>
      </c>
      <c r="P2" t="s">
        <v>258</v>
      </c>
      <c r="Q2">
        <v>1</v>
      </c>
      <c r="W2">
        <v>0</v>
      </c>
      <c r="X2">
        <v>-1417349443</v>
      </c>
      <c r="Y2">
        <f>AT2</f>
        <v>29.39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1</v>
      </c>
      <c r="AK2">
        <v>1</v>
      </c>
      <c r="AL2">
        <v>1</v>
      </c>
      <c r="AM2">
        <v>-2</v>
      </c>
      <c r="AN2">
        <v>0</v>
      </c>
      <c r="AO2">
        <v>0</v>
      </c>
      <c r="AP2">
        <v>0</v>
      </c>
      <c r="AQ2">
        <v>1</v>
      </c>
      <c r="AR2">
        <v>0</v>
      </c>
      <c r="AS2" t="s">
        <v>3</v>
      </c>
      <c r="AT2">
        <v>29.39</v>
      </c>
      <c r="AU2" t="s">
        <v>3</v>
      </c>
      <c r="AV2">
        <v>2</v>
      </c>
      <c r="AW2">
        <v>2</v>
      </c>
      <c r="AX2">
        <v>38182942</v>
      </c>
      <c r="AY2">
        <v>1</v>
      </c>
      <c r="AZ2">
        <v>0</v>
      </c>
      <c r="BA2">
        <v>2</v>
      </c>
      <c r="BB2">
        <v>1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V2">
        <v>0</v>
      </c>
      <c r="CW2">
        <v>0</v>
      </c>
      <c r="CX2">
        <f>ROUND(Y2*Source!I24,7)</f>
        <v>1.3225499999999999</v>
      </c>
      <c r="CY2">
        <f>AD2</f>
        <v>0</v>
      </c>
      <c r="CZ2">
        <f>AH2</f>
        <v>0</v>
      </c>
      <c r="DA2">
        <f>AL2</f>
        <v>1</v>
      </c>
      <c r="DB2">
        <f>ROUND(ROUND(AT2*CZ2,2),6)</f>
        <v>0</v>
      </c>
      <c r="DC2">
        <f>ROUND(ROUND(AT2*AG2,2),6)</f>
        <v>0</v>
      </c>
      <c r="DD2" t="s">
        <v>3</v>
      </c>
      <c r="DE2" t="s">
        <v>3</v>
      </c>
      <c r="DF2">
        <f t="shared" si="0"/>
        <v>0</v>
      </c>
      <c r="DG2">
        <f>ROUND(ROUND(AF2,2)*CX2,2)</f>
        <v>0</v>
      </c>
      <c r="DH2">
        <f t="shared" si="1"/>
        <v>0</v>
      </c>
      <c r="DI2">
        <f t="shared" si="2"/>
        <v>0</v>
      </c>
      <c r="DJ2">
        <f>DI2</f>
        <v>0</v>
      </c>
      <c r="DK2">
        <v>0</v>
      </c>
      <c r="DL2" t="s">
        <v>3</v>
      </c>
      <c r="DM2">
        <v>0</v>
      </c>
      <c r="DN2" t="s">
        <v>3</v>
      </c>
      <c r="DO2">
        <v>0</v>
      </c>
    </row>
    <row r="3" spans="1:119">
      <c r="A3">
        <f>ROW(Source!A24)</f>
        <v>24</v>
      </c>
      <c r="B3">
        <v>38182922</v>
      </c>
      <c r="C3">
        <v>38182940</v>
      </c>
      <c r="D3">
        <v>35344726</v>
      </c>
      <c r="E3">
        <v>1</v>
      </c>
      <c r="F3">
        <v>1</v>
      </c>
      <c r="G3">
        <v>1</v>
      </c>
      <c r="H3">
        <v>2</v>
      </c>
      <c r="I3" t="s">
        <v>261</v>
      </c>
      <c r="J3" t="s">
        <v>262</v>
      </c>
      <c r="K3" t="s">
        <v>263</v>
      </c>
      <c r="L3">
        <v>1368</v>
      </c>
      <c r="N3">
        <v>1011</v>
      </c>
      <c r="O3" t="s">
        <v>66</v>
      </c>
      <c r="P3" t="s">
        <v>66</v>
      </c>
      <c r="Q3">
        <v>1</v>
      </c>
      <c r="W3">
        <v>0</v>
      </c>
      <c r="X3">
        <v>1473885390</v>
      </c>
      <c r="Y3">
        <f>AT3</f>
        <v>29.39</v>
      </c>
      <c r="AA3">
        <v>0</v>
      </c>
      <c r="AB3">
        <v>1250.8800000000001</v>
      </c>
      <c r="AC3">
        <v>497.4</v>
      </c>
      <c r="AD3">
        <v>0</v>
      </c>
      <c r="AE3">
        <v>0</v>
      </c>
      <c r="AF3">
        <v>947.64</v>
      </c>
      <c r="AG3">
        <v>497.4</v>
      </c>
      <c r="AH3">
        <v>0</v>
      </c>
      <c r="AI3">
        <v>1</v>
      </c>
      <c r="AJ3">
        <v>1.32</v>
      </c>
      <c r="AK3">
        <v>1</v>
      </c>
      <c r="AL3">
        <v>1</v>
      </c>
      <c r="AM3">
        <v>2</v>
      </c>
      <c r="AN3">
        <v>0</v>
      </c>
      <c r="AO3">
        <v>0</v>
      </c>
      <c r="AP3">
        <v>0</v>
      </c>
      <c r="AQ3">
        <v>1</v>
      </c>
      <c r="AR3">
        <v>0</v>
      </c>
      <c r="AS3" t="s">
        <v>3</v>
      </c>
      <c r="AT3">
        <v>29.39</v>
      </c>
      <c r="AU3" t="s">
        <v>3</v>
      </c>
      <c r="AV3">
        <v>1</v>
      </c>
      <c r="AW3">
        <v>2</v>
      </c>
      <c r="AX3">
        <v>38182943</v>
      </c>
      <c r="AY3">
        <v>1</v>
      </c>
      <c r="AZ3">
        <v>0</v>
      </c>
      <c r="BA3">
        <v>3</v>
      </c>
      <c r="BB3">
        <v>1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27851.139599999999</v>
      </c>
      <c r="BL3">
        <v>14618.585999999999</v>
      </c>
      <c r="BM3">
        <v>0</v>
      </c>
      <c r="BN3">
        <v>0</v>
      </c>
      <c r="BO3">
        <v>29.39</v>
      </c>
      <c r="BP3">
        <v>1</v>
      </c>
      <c r="BQ3">
        <v>0</v>
      </c>
      <c r="BR3">
        <v>27851.139599999999</v>
      </c>
      <c r="BS3">
        <v>14618.585999999999</v>
      </c>
      <c r="BT3">
        <v>0</v>
      </c>
      <c r="BU3">
        <v>0</v>
      </c>
      <c r="BV3">
        <v>29.39</v>
      </c>
      <c r="BW3">
        <v>1</v>
      </c>
      <c r="CV3">
        <v>0</v>
      </c>
      <c r="CW3">
        <f>ROUND(Y3*Source!I24*DO3,7)</f>
        <v>1.3225499999999999</v>
      </c>
      <c r="CX3">
        <f>ROUND(Y3*Source!I24,7)</f>
        <v>1.3225499999999999</v>
      </c>
      <c r="CY3">
        <f>AB3</f>
        <v>1250.8800000000001</v>
      </c>
      <c r="CZ3">
        <f>AF3</f>
        <v>947.64</v>
      </c>
      <c r="DA3">
        <f>AJ3</f>
        <v>1.32</v>
      </c>
      <c r="DB3">
        <f>ROUND(ROUND(AT3*CZ3,2),6)</f>
        <v>27851.14</v>
      </c>
      <c r="DC3">
        <f>ROUND(ROUND(AT3*AG3,2),6)</f>
        <v>14618.59</v>
      </c>
      <c r="DD3" t="s">
        <v>3</v>
      </c>
      <c r="DE3" t="s">
        <v>3</v>
      </c>
      <c r="DF3">
        <f t="shared" si="0"/>
        <v>0</v>
      </c>
      <c r="DG3">
        <f>ROUND(ROUND(AF3*AJ3,2)*CX3,2)</f>
        <v>1654.35</v>
      </c>
      <c r="DH3">
        <f t="shared" si="1"/>
        <v>657.84</v>
      </c>
      <c r="DI3">
        <f t="shared" si="2"/>
        <v>0</v>
      </c>
      <c r="DJ3">
        <f>DG3+DH3</f>
        <v>2312.19</v>
      </c>
      <c r="DK3">
        <v>0</v>
      </c>
      <c r="DL3" t="s">
        <v>264</v>
      </c>
      <c r="DM3">
        <v>5</v>
      </c>
      <c r="DN3" t="s">
        <v>258</v>
      </c>
      <c r="DO3">
        <v>1</v>
      </c>
    </row>
    <row r="4" spans="1:119">
      <c r="A4">
        <f>ROW(Source!A25)</f>
        <v>25</v>
      </c>
      <c r="B4">
        <v>38182922</v>
      </c>
      <c r="C4">
        <v>38182946</v>
      </c>
      <c r="D4">
        <v>35338454</v>
      </c>
      <c r="E4">
        <v>117</v>
      </c>
      <c r="F4">
        <v>1</v>
      </c>
      <c r="G4">
        <v>1</v>
      </c>
      <c r="H4">
        <v>1</v>
      </c>
      <c r="I4" t="s">
        <v>265</v>
      </c>
      <c r="J4" t="s">
        <v>3</v>
      </c>
      <c r="K4" t="s">
        <v>266</v>
      </c>
      <c r="L4">
        <v>1191</v>
      </c>
      <c r="N4">
        <v>1013</v>
      </c>
      <c r="O4" t="s">
        <v>258</v>
      </c>
      <c r="P4" t="s">
        <v>258</v>
      </c>
      <c r="Q4">
        <v>1</v>
      </c>
      <c r="W4">
        <v>0</v>
      </c>
      <c r="X4">
        <v>888410196</v>
      </c>
      <c r="Y4">
        <f>(AT4*ROUND(0.8,7))</f>
        <v>150.08000000000001</v>
      </c>
      <c r="AA4">
        <v>0</v>
      </c>
      <c r="AB4">
        <v>0</v>
      </c>
      <c r="AC4">
        <v>0</v>
      </c>
      <c r="AD4">
        <v>432.81</v>
      </c>
      <c r="AE4">
        <v>0</v>
      </c>
      <c r="AF4">
        <v>0</v>
      </c>
      <c r="AG4">
        <v>0</v>
      </c>
      <c r="AH4">
        <v>432.81</v>
      </c>
      <c r="AI4">
        <v>1</v>
      </c>
      <c r="AJ4">
        <v>1</v>
      </c>
      <c r="AK4">
        <v>1</v>
      </c>
      <c r="AL4">
        <v>1</v>
      </c>
      <c r="AM4">
        <v>-2</v>
      </c>
      <c r="AN4">
        <v>0</v>
      </c>
      <c r="AO4">
        <v>0</v>
      </c>
      <c r="AP4">
        <v>1</v>
      </c>
      <c r="AQ4">
        <v>1</v>
      </c>
      <c r="AR4">
        <v>0</v>
      </c>
      <c r="AS4" t="s">
        <v>3</v>
      </c>
      <c r="AT4">
        <v>187.6</v>
      </c>
      <c r="AU4" t="s">
        <v>34</v>
      </c>
      <c r="AV4">
        <v>1</v>
      </c>
      <c r="AW4">
        <v>2</v>
      </c>
      <c r="AX4">
        <v>38182947</v>
      </c>
      <c r="AY4">
        <v>1</v>
      </c>
      <c r="AZ4">
        <v>0</v>
      </c>
      <c r="BA4">
        <v>4</v>
      </c>
      <c r="BB4">
        <v>1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81195.156000000003</v>
      </c>
      <c r="BN4">
        <v>187.6</v>
      </c>
      <c r="BO4">
        <v>0</v>
      </c>
      <c r="BP4">
        <v>1</v>
      </c>
      <c r="BQ4">
        <v>0</v>
      </c>
      <c r="BR4">
        <v>0</v>
      </c>
      <c r="BS4">
        <v>0</v>
      </c>
      <c r="BT4">
        <v>64956.124800000005</v>
      </c>
      <c r="BU4">
        <v>150.08000000000001</v>
      </c>
      <c r="BV4">
        <v>0</v>
      </c>
      <c r="BW4">
        <v>1</v>
      </c>
      <c r="CU4">
        <f>ROUND(AT4*Source!I25*AH4*AL4,2)</f>
        <v>8119.52</v>
      </c>
      <c r="CV4">
        <f>ROUND(Y4*Source!I25,7)</f>
        <v>15.007999999999999</v>
      </c>
      <c r="CW4">
        <v>0</v>
      </c>
      <c r="CX4">
        <f>ROUND(Y4*Source!I25,7)</f>
        <v>15.007999999999999</v>
      </c>
      <c r="CY4">
        <f>AD4</f>
        <v>432.81</v>
      </c>
      <c r="CZ4">
        <f>AH4</f>
        <v>432.81</v>
      </c>
      <c r="DA4">
        <f>AL4</f>
        <v>1</v>
      </c>
      <c r="DB4">
        <f>ROUND((ROUND(AT4*CZ4,2)*ROUND(0.8,7)),6)</f>
        <v>64956.127999999997</v>
      </c>
      <c r="DC4">
        <f>ROUND((ROUND(AT4*AG4,2)*ROUND(0.8,7)),6)</f>
        <v>0</v>
      </c>
      <c r="DD4" t="s">
        <v>3</v>
      </c>
      <c r="DE4" t="s">
        <v>3</v>
      </c>
      <c r="DF4">
        <f t="shared" si="0"/>
        <v>0</v>
      </c>
      <c r="DG4">
        <f>ROUND(ROUND(AF4,2)*CX4,2)</f>
        <v>0</v>
      </c>
      <c r="DH4">
        <f t="shared" si="1"/>
        <v>0</v>
      </c>
      <c r="DI4">
        <f t="shared" si="2"/>
        <v>6495.61</v>
      </c>
      <c r="DJ4">
        <f>DI4</f>
        <v>6495.61</v>
      </c>
      <c r="DK4">
        <v>1</v>
      </c>
      <c r="DL4" t="s">
        <v>3</v>
      </c>
      <c r="DM4">
        <v>0</v>
      </c>
      <c r="DN4" t="s">
        <v>3</v>
      </c>
      <c r="DO4">
        <v>0</v>
      </c>
    </row>
    <row r="5" spans="1:119">
      <c r="A5">
        <f>ROW(Source!A25)</f>
        <v>25</v>
      </c>
      <c r="B5">
        <v>38182922</v>
      </c>
      <c r="C5">
        <v>38182946</v>
      </c>
      <c r="D5">
        <v>35338624</v>
      </c>
      <c r="E5">
        <v>117</v>
      </c>
      <c r="F5">
        <v>1</v>
      </c>
      <c r="G5">
        <v>1</v>
      </c>
      <c r="H5">
        <v>1</v>
      </c>
      <c r="I5" t="s">
        <v>259</v>
      </c>
      <c r="J5" t="s">
        <v>3</v>
      </c>
      <c r="K5" t="s">
        <v>260</v>
      </c>
      <c r="L5">
        <v>1191</v>
      </c>
      <c r="N5">
        <v>1013</v>
      </c>
      <c r="O5" t="s">
        <v>258</v>
      </c>
      <c r="P5" t="s">
        <v>258</v>
      </c>
      <c r="Q5">
        <v>1</v>
      </c>
      <c r="W5">
        <v>0</v>
      </c>
      <c r="X5">
        <v>-1417349443</v>
      </c>
      <c r="Y5">
        <f>(AT5*ROUND(0.8,7))</f>
        <v>10.304000000000002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1</v>
      </c>
      <c r="AK5">
        <v>1</v>
      </c>
      <c r="AL5">
        <v>1</v>
      </c>
      <c r="AM5">
        <v>-2</v>
      </c>
      <c r="AN5">
        <v>0</v>
      </c>
      <c r="AO5">
        <v>0</v>
      </c>
      <c r="AP5">
        <v>1</v>
      </c>
      <c r="AQ5">
        <v>1</v>
      </c>
      <c r="AR5">
        <v>0</v>
      </c>
      <c r="AS5" t="s">
        <v>3</v>
      </c>
      <c r="AT5">
        <v>12.88</v>
      </c>
      <c r="AU5" t="s">
        <v>34</v>
      </c>
      <c r="AV5">
        <v>2</v>
      </c>
      <c r="AW5">
        <v>2</v>
      </c>
      <c r="AX5">
        <v>38182948</v>
      </c>
      <c r="AY5">
        <v>1</v>
      </c>
      <c r="AZ5">
        <v>0</v>
      </c>
      <c r="BA5">
        <v>5</v>
      </c>
      <c r="BB5">
        <v>1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V5">
        <v>0</v>
      </c>
      <c r="CW5">
        <v>0</v>
      </c>
      <c r="CX5">
        <f>ROUND(Y5*Source!I25,7)</f>
        <v>1.0304</v>
      </c>
      <c r="CY5">
        <f>AD5</f>
        <v>0</v>
      </c>
      <c r="CZ5">
        <f>AH5</f>
        <v>0</v>
      </c>
      <c r="DA5">
        <f>AL5</f>
        <v>1</v>
      </c>
      <c r="DB5">
        <f>ROUND((ROUND(AT5*CZ5,2)*ROUND(0.8,7)),6)</f>
        <v>0</v>
      </c>
      <c r="DC5">
        <f>ROUND((ROUND(AT5*AG5,2)*ROUND(0.8,7)),6)</f>
        <v>0</v>
      </c>
      <c r="DD5" t="s">
        <v>3</v>
      </c>
      <c r="DE5" t="s">
        <v>3</v>
      </c>
      <c r="DF5">
        <f t="shared" si="0"/>
        <v>0</v>
      </c>
      <c r="DG5">
        <f>ROUND(ROUND(AF5,2)*CX5,2)</f>
        <v>0</v>
      </c>
      <c r="DH5">
        <f t="shared" si="1"/>
        <v>0</v>
      </c>
      <c r="DI5">
        <f t="shared" si="2"/>
        <v>0</v>
      </c>
      <c r="DJ5">
        <f>DI5</f>
        <v>0</v>
      </c>
      <c r="DK5">
        <v>0</v>
      </c>
      <c r="DL5" t="s">
        <v>3</v>
      </c>
      <c r="DM5">
        <v>0</v>
      </c>
      <c r="DN5" t="s">
        <v>3</v>
      </c>
      <c r="DO5">
        <v>0</v>
      </c>
    </row>
    <row r="6" spans="1:119">
      <c r="A6">
        <f>ROW(Source!A25)</f>
        <v>25</v>
      </c>
      <c r="B6">
        <v>38182922</v>
      </c>
      <c r="C6">
        <v>38182946</v>
      </c>
      <c r="D6">
        <v>35345762</v>
      </c>
      <c r="E6">
        <v>1</v>
      </c>
      <c r="F6">
        <v>1</v>
      </c>
      <c r="G6">
        <v>1</v>
      </c>
      <c r="H6">
        <v>2</v>
      </c>
      <c r="I6" t="s">
        <v>267</v>
      </c>
      <c r="J6" t="s">
        <v>268</v>
      </c>
      <c r="K6" t="s">
        <v>269</v>
      </c>
      <c r="L6">
        <v>1368</v>
      </c>
      <c r="N6">
        <v>1011</v>
      </c>
      <c r="O6" t="s">
        <v>66</v>
      </c>
      <c r="P6" t="s">
        <v>66</v>
      </c>
      <c r="Q6">
        <v>1</v>
      </c>
      <c r="W6">
        <v>0</v>
      </c>
      <c r="X6">
        <v>-1505731505</v>
      </c>
      <c r="Y6">
        <f>(AT6*ROUND(0.8,7))</f>
        <v>9.9200000000000017</v>
      </c>
      <c r="AA6">
        <v>0</v>
      </c>
      <c r="AB6">
        <v>4931.99</v>
      </c>
      <c r="AC6">
        <v>707.35</v>
      </c>
      <c r="AD6">
        <v>0</v>
      </c>
      <c r="AE6">
        <v>0</v>
      </c>
      <c r="AF6">
        <v>4403.5600000000004</v>
      </c>
      <c r="AG6">
        <v>707.35</v>
      </c>
      <c r="AH6">
        <v>0</v>
      </c>
      <c r="AI6">
        <v>1</v>
      </c>
      <c r="AJ6">
        <v>1.1200000000000001</v>
      </c>
      <c r="AK6">
        <v>1</v>
      </c>
      <c r="AL6">
        <v>1</v>
      </c>
      <c r="AM6">
        <v>2</v>
      </c>
      <c r="AN6">
        <v>0</v>
      </c>
      <c r="AO6">
        <v>0</v>
      </c>
      <c r="AP6">
        <v>1</v>
      </c>
      <c r="AQ6">
        <v>1</v>
      </c>
      <c r="AR6">
        <v>0</v>
      </c>
      <c r="AS6" t="s">
        <v>3</v>
      </c>
      <c r="AT6">
        <v>12.4</v>
      </c>
      <c r="AU6" t="s">
        <v>34</v>
      </c>
      <c r="AV6">
        <v>1</v>
      </c>
      <c r="AW6">
        <v>2</v>
      </c>
      <c r="AX6">
        <v>38182949</v>
      </c>
      <c r="AY6">
        <v>1</v>
      </c>
      <c r="AZ6">
        <v>0</v>
      </c>
      <c r="BA6">
        <v>6</v>
      </c>
      <c r="BB6">
        <v>1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54604.144000000008</v>
      </c>
      <c r="BL6">
        <v>8771.1400000000012</v>
      </c>
      <c r="BM6">
        <v>0</v>
      </c>
      <c r="BN6">
        <v>0</v>
      </c>
      <c r="BO6">
        <v>12.4</v>
      </c>
      <c r="BP6">
        <v>1</v>
      </c>
      <c r="BQ6">
        <v>0</v>
      </c>
      <c r="BR6">
        <v>43683.315200000012</v>
      </c>
      <c r="BS6">
        <v>7016.9120000000012</v>
      </c>
      <c r="BT6">
        <v>0</v>
      </c>
      <c r="BU6">
        <v>0</v>
      </c>
      <c r="BV6">
        <v>9.9200000000000017</v>
      </c>
      <c r="BW6">
        <v>1</v>
      </c>
      <c r="CV6">
        <v>0</v>
      </c>
      <c r="CW6">
        <f>ROUND(Y6*Source!I25*DO6,7)</f>
        <v>0.99199999999999999</v>
      </c>
      <c r="CX6">
        <f>ROUND(Y6*Source!I25,7)</f>
        <v>0.99199999999999999</v>
      </c>
      <c r="CY6">
        <f>AB6</f>
        <v>4931.99</v>
      </c>
      <c r="CZ6">
        <f>AF6</f>
        <v>4403.5600000000004</v>
      </c>
      <c r="DA6">
        <f>AJ6</f>
        <v>1.1200000000000001</v>
      </c>
      <c r="DB6">
        <f>ROUND((ROUND(AT6*CZ6,2)*ROUND(0.8,7)),6)</f>
        <v>43683.311999999998</v>
      </c>
      <c r="DC6">
        <f>ROUND((ROUND(AT6*AG6,2)*ROUND(0.8,7)),6)</f>
        <v>7016.9120000000003</v>
      </c>
      <c r="DD6" t="s">
        <v>3</v>
      </c>
      <c r="DE6" t="s">
        <v>3</v>
      </c>
      <c r="DF6">
        <f t="shared" si="0"/>
        <v>0</v>
      </c>
      <c r="DG6">
        <f>ROUND(ROUND(AF6*AJ6,2)*CX6,2)</f>
        <v>4892.53</v>
      </c>
      <c r="DH6">
        <f t="shared" si="1"/>
        <v>701.69</v>
      </c>
      <c r="DI6">
        <f t="shared" si="2"/>
        <v>0</v>
      </c>
      <c r="DJ6">
        <f>DG6+DH6</f>
        <v>5594.2199999999993</v>
      </c>
      <c r="DK6">
        <v>0</v>
      </c>
      <c r="DL6" t="s">
        <v>270</v>
      </c>
      <c r="DM6">
        <v>9</v>
      </c>
      <c r="DN6" t="s">
        <v>258</v>
      </c>
      <c r="DO6">
        <v>1</v>
      </c>
    </row>
    <row r="7" spans="1:119">
      <c r="A7">
        <f>ROW(Source!A25)</f>
        <v>25</v>
      </c>
      <c r="B7">
        <v>38182922</v>
      </c>
      <c r="C7">
        <v>38182946</v>
      </c>
      <c r="D7">
        <v>35346009</v>
      </c>
      <c r="E7">
        <v>1</v>
      </c>
      <c r="F7">
        <v>1</v>
      </c>
      <c r="G7">
        <v>1</v>
      </c>
      <c r="H7">
        <v>2</v>
      </c>
      <c r="I7" t="s">
        <v>271</v>
      </c>
      <c r="J7" t="s">
        <v>272</v>
      </c>
      <c r="K7" t="s">
        <v>273</v>
      </c>
      <c r="L7">
        <v>1368</v>
      </c>
      <c r="N7">
        <v>1011</v>
      </c>
      <c r="O7" t="s">
        <v>66</v>
      </c>
      <c r="P7" t="s">
        <v>66</v>
      </c>
      <c r="Q7">
        <v>1</v>
      </c>
      <c r="W7">
        <v>0</v>
      </c>
      <c r="X7">
        <v>-849950259</v>
      </c>
      <c r="Y7">
        <f>(AT7*ROUND(0.8,7))</f>
        <v>0.38400000000000001</v>
      </c>
      <c r="AA7">
        <v>0</v>
      </c>
      <c r="AB7">
        <v>652.84</v>
      </c>
      <c r="AC7">
        <v>432.81</v>
      </c>
      <c r="AD7">
        <v>0</v>
      </c>
      <c r="AE7">
        <v>0</v>
      </c>
      <c r="AF7">
        <v>652.84</v>
      </c>
      <c r="AG7">
        <v>432.81</v>
      </c>
      <c r="AH7">
        <v>0</v>
      </c>
      <c r="AI7">
        <v>1</v>
      </c>
      <c r="AJ7">
        <v>1</v>
      </c>
      <c r="AK7">
        <v>1</v>
      </c>
      <c r="AL7">
        <v>1</v>
      </c>
      <c r="AM7">
        <v>-2</v>
      </c>
      <c r="AN7">
        <v>0</v>
      </c>
      <c r="AO7">
        <v>0</v>
      </c>
      <c r="AP7">
        <v>1</v>
      </c>
      <c r="AQ7">
        <v>1</v>
      </c>
      <c r="AR7">
        <v>0</v>
      </c>
      <c r="AS7" t="s">
        <v>3</v>
      </c>
      <c r="AT7">
        <v>0.48</v>
      </c>
      <c r="AU7" t="s">
        <v>34</v>
      </c>
      <c r="AV7">
        <v>1</v>
      </c>
      <c r="AW7">
        <v>2</v>
      </c>
      <c r="AX7">
        <v>38182950</v>
      </c>
      <c r="AY7">
        <v>1</v>
      </c>
      <c r="AZ7">
        <v>0</v>
      </c>
      <c r="BA7">
        <v>7</v>
      </c>
      <c r="BB7">
        <v>1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313.36320000000001</v>
      </c>
      <c r="BL7">
        <v>207.74879999999999</v>
      </c>
      <c r="BM7">
        <v>0</v>
      </c>
      <c r="BN7">
        <v>0</v>
      </c>
      <c r="BO7">
        <v>0.48</v>
      </c>
      <c r="BP7">
        <v>1</v>
      </c>
      <c r="BQ7">
        <v>0</v>
      </c>
      <c r="BR7">
        <v>250.69056</v>
      </c>
      <c r="BS7">
        <v>166.19904</v>
      </c>
      <c r="BT7">
        <v>0</v>
      </c>
      <c r="BU7">
        <v>0</v>
      </c>
      <c r="BV7">
        <v>0.38400000000000001</v>
      </c>
      <c r="BW7">
        <v>1</v>
      </c>
      <c r="CV7">
        <v>0</v>
      </c>
      <c r="CW7">
        <f>ROUND(Y7*Source!I25*DO7,7)</f>
        <v>3.8399999999999997E-2</v>
      </c>
      <c r="CX7">
        <f>ROUND(Y7*Source!I25,7)</f>
        <v>3.8399999999999997E-2</v>
      </c>
      <c r="CY7">
        <f>AB7</f>
        <v>652.84</v>
      </c>
      <c r="CZ7">
        <f>AF7</f>
        <v>652.84</v>
      </c>
      <c r="DA7">
        <f>AJ7</f>
        <v>1</v>
      </c>
      <c r="DB7">
        <f>ROUND((ROUND(AT7*CZ7,2)*ROUND(0.8,7)),6)</f>
        <v>250.68799999999999</v>
      </c>
      <c r="DC7">
        <f>ROUND((ROUND(AT7*AG7,2)*ROUND(0.8,7)),6)</f>
        <v>166.2</v>
      </c>
      <c r="DD7" t="s">
        <v>3</v>
      </c>
      <c r="DE7" t="s">
        <v>3</v>
      </c>
      <c r="DF7">
        <f t="shared" si="0"/>
        <v>0</v>
      </c>
      <c r="DG7">
        <f t="shared" ref="DG7:DG15" si="3">ROUND(ROUND(AF7,2)*CX7,2)</f>
        <v>25.07</v>
      </c>
      <c r="DH7">
        <f t="shared" si="1"/>
        <v>16.62</v>
      </c>
      <c r="DI7">
        <f t="shared" si="2"/>
        <v>0</v>
      </c>
      <c r="DJ7">
        <f>DG7+DH7</f>
        <v>41.69</v>
      </c>
      <c r="DK7">
        <v>1</v>
      </c>
      <c r="DL7" t="s">
        <v>274</v>
      </c>
      <c r="DM7">
        <v>4</v>
      </c>
      <c r="DN7" t="s">
        <v>258</v>
      </c>
      <c r="DO7">
        <v>1</v>
      </c>
    </row>
    <row r="8" spans="1:119">
      <c r="A8">
        <f>ROW(Source!A25)</f>
        <v>25</v>
      </c>
      <c r="B8">
        <v>38182922</v>
      </c>
      <c r="C8">
        <v>38182946</v>
      </c>
      <c r="D8">
        <v>35410630</v>
      </c>
      <c r="E8">
        <v>1</v>
      </c>
      <c r="F8">
        <v>1</v>
      </c>
      <c r="G8">
        <v>1</v>
      </c>
      <c r="H8">
        <v>3</v>
      </c>
      <c r="I8" t="s">
        <v>275</v>
      </c>
      <c r="J8" t="s">
        <v>276</v>
      </c>
      <c r="K8" t="s">
        <v>277</v>
      </c>
      <c r="L8">
        <v>1348</v>
      </c>
      <c r="N8">
        <v>1009</v>
      </c>
      <c r="O8" t="s">
        <v>84</v>
      </c>
      <c r="P8" t="s">
        <v>84</v>
      </c>
      <c r="Q8">
        <v>1000</v>
      </c>
      <c r="W8">
        <v>0</v>
      </c>
      <c r="X8">
        <v>192185020</v>
      </c>
      <c r="Y8">
        <f t="shared" ref="Y8:Y13" si="4">(AT8*ROUND(0,7))</f>
        <v>0</v>
      </c>
      <c r="AA8">
        <v>25474.25</v>
      </c>
      <c r="AB8">
        <v>0</v>
      </c>
      <c r="AC8">
        <v>0</v>
      </c>
      <c r="AD8">
        <v>0</v>
      </c>
      <c r="AE8">
        <v>21588.35</v>
      </c>
      <c r="AF8">
        <v>0</v>
      </c>
      <c r="AG8">
        <v>0</v>
      </c>
      <c r="AH8">
        <v>0</v>
      </c>
      <c r="AI8">
        <v>1.18</v>
      </c>
      <c r="AJ8">
        <v>1</v>
      </c>
      <c r="AK8">
        <v>1</v>
      </c>
      <c r="AL8">
        <v>1</v>
      </c>
      <c r="AM8">
        <v>2</v>
      </c>
      <c r="AN8">
        <v>0</v>
      </c>
      <c r="AO8">
        <v>0</v>
      </c>
      <c r="AP8">
        <v>1</v>
      </c>
      <c r="AQ8">
        <v>1</v>
      </c>
      <c r="AR8">
        <v>0</v>
      </c>
      <c r="AS8" t="s">
        <v>3</v>
      </c>
      <c r="AT8">
        <v>0.114</v>
      </c>
      <c r="AU8" t="s">
        <v>33</v>
      </c>
      <c r="AV8">
        <v>0</v>
      </c>
      <c r="AW8">
        <v>2</v>
      </c>
      <c r="AX8">
        <v>38182951</v>
      </c>
      <c r="AY8">
        <v>1</v>
      </c>
      <c r="AZ8">
        <v>0</v>
      </c>
      <c r="BA8">
        <v>8</v>
      </c>
      <c r="BB8">
        <v>1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2461.0718999999999</v>
      </c>
      <c r="BK8">
        <v>0</v>
      </c>
      <c r="BL8">
        <v>0</v>
      </c>
      <c r="BM8">
        <v>0</v>
      </c>
      <c r="BN8">
        <v>0</v>
      </c>
      <c r="BO8">
        <v>0</v>
      </c>
      <c r="BP8">
        <v>1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v>0</v>
      </c>
      <c r="CX8">
        <f>ROUND(Y8*Source!I25,7)</f>
        <v>0</v>
      </c>
      <c r="CY8">
        <f t="shared" ref="CY8:CY13" si="5">AA8</f>
        <v>25474.25</v>
      </c>
      <c r="CZ8">
        <f t="shared" ref="CZ8:CZ13" si="6">AE8</f>
        <v>21588.35</v>
      </c>
      <c r="DA8">
        <f t="shared" ref="DA8:DA13" si="7">AI8</f>
        <v>1.18</v>
      </c>
      <c r="DB8">
        <f t="shared" ref="DB8:DB13" si="8">ROUND((ROUND(AT8*CZ8,2)*ROUND(0,7)),6)</f>
        <v>0</v>
      </c>
      <c r="DC8">
        <f t="shared" ref="DC8:DC13" si="9">ROUND((ROUND(AT8*AG8,2)*ROUND(0,7)),6)</f>
        <v>0</v>
      </c>
      <c r="DD8" t="s">
        <v>3</v>
      </c>
      <c r="DE8" t="s">
        <v>3</v>
      </c>
      <c r="DF8">
        <f>ROUND(ROUND(AE8*AI8,2)*CX8,2)</f>
        <v>0</v>
      </c>
      <c r="DG8">
        <f t="shared" si="3"/>
        <v>0</v>
      </c>
      <c r="DH8">
        <f t="shared" si="1"/>
        <v>0</v>
      </c>
      <c r="DI8">
        <f t="shared" si="2"/>
        <v>0</v>
      </c>
      <c r="DJ8">
        <f t="shared" ref="DJ8:DJ13" si="10">DF8</f>
        <v>0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>
      <c r="A9">
        <f>ROW(Source!A25)</f>
        <v>25</v>
      </c>
      <c r="B9">
        <v>38182922</v>
      </c>
      <c r="C9">
        <v>38182946</v>
      </c>
      <c r="D9">
        <v>35412767</v>
      </c>
      <c r="E9">
        <v>1</v>
      </c>
      <c r="F9">
        <v>1</v>
      </c>
      <c r="G9">
        <v>1</v>
      </c>
      <c r="H9">
        <v>3</v>
      </c>
      <c r="I9" t="s">
        <v>278</v>
      </c>
      <c r="J9" t="s">
        <v>279</v>
      </c>
      <c r="K9" t="s">
        <v>280</v>
      </c>
      <c r="L9">
        <v>1339</v>
      </c>
      <c r="N9">
        <v>1007</v>
      </c>
      <c r="O9" t="s">
        <v>113</v>
      </c>
      <c r="P9" t="s">
        <v>113</v>
      </c>
      <c r="Q9">
        <v>1</v>
      </c>
      <c r="W9">
        <v>0</v>
      </c>
      <c r="X9">
        <v>1964556667</v>
      </c>
      <c r="Y9">
        <f t="shared" si="4"/>
        <v>0</v>
      </c>
      <c r="AA9">
        <v>26.07</v>
      </c>
      <c r="AB9">
        <v>0</v>
      </c>
      <c r="AC9">
        <v>0</v>
      </c>
      <c r="AD9">
        <v>0</v>
      </c>
      <c r="AE9">
        <v>35.71</v>
      </c>
      <c r="AF9">
        <v>0</v>
      </c>
      <c r="AG9">
        <v>0</v>
      </c>
      <c r="AH9">
        <v>0</v>
      </c>
      <c r="AI9">
        <v>0.73</v>
      </c>
      <c r="AJ9">
        <v>1</v>
      </c>
      <c r="AK9">
        <v>1</v>
      </c>
      <c r="AL9">
        <v>1</v>
      </c>
      <c r="AM9">
        <v>2</v>
      </c>
      <c r="AN9">
        <v>0</v>
      </c>
      <c r="AO9">
        <v>0</v>
      </c>
      <c r="AP9">
        <v>1</v>
      </c>
      <c r="AQ9">
        <v>1</v>
      </c>
      <c r="AR9">
        <v>0</v>
      </c>
      <c r="AS9" t="s">
        <v>3</v>
      </c>
      <c r="AT9">
        <v>78.5</v>
      </c>
      <c r="AU9" t="s">
        <v>33</v>
      </c>
      <c r="AV9">
        <v>0</v>
      </c>
      <c r="AW9">
        <v>2</v>
      </c>
      <c r="AX9">
        <v>38182952</v>
      </c>
      <c r="AY9">
        <v>1</v>
      </c>
      <c r="AZ9">
        <v>0</v>
      </c>
      <c r="BA9">
        <v>9</v>
      </c>
      <c r="BB9">
        <v>1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2803.2350000000001</v>
      </c>
      <c r="BK9">
        <v>0</v>
      </c>
      <c r="BL9">
        <v>0</v>
      </c>
      <c r="BM9">
        <v>0</v>
      </c>
      <c r="BN9">
        <v>0</v>
      </c>
      <c r="BO9">
        <v>0</v>
      </c>
      <c r="BP9">
        <v>1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V9">
        <v>0</v>
      </c>
      <c r="CW9">
        <v>0</v>
      </c>
      <c r="CX9">
        <f>ROUND(Y9*Source!I25,7)</f>
        <v>0</v>
      </c>
      <c r="CY9">
        <f t="shared" si="5"/>
        <v>26.07</v>
      </c>
      <c r="CZ9">
        <f t="shared" si="6"/>
        <v>35.71</v>
      </c>
      <c r="DA9">
        <f t="shared" si="7"/>
        <v>0.73</v>
      </c>
      <c r="DB9">
        <f t="shared" si="8"/>
        <v>0</v>
      </c>
      <c r="DC9">
        <f t="shared" si="9"/>
        <v>0</v>
      </c>
      <c r="DD9" t="s">
        <v>3</v>
      </c>
      <c r="DE9" t="s">
        <v>3</v>
      </c>
      <c r="DF9">
        <f>ROUND(ROUND(AE9*AI9,2)*CX9,2)</f>
        <v>0</v>
      </c>
      <c r="DG9">
        <f t="shared" si="3"/>
        <v>0</v>
      </c>
      <c r="DH9">
        <f t="shared" si="1"/>
        <v>0</v>
      </c>
      <c r="DI9">
        <f t="shared" si="2"/>
        <v>0</v>
      </c>
      <c r="DJ9">
        <f t="shared" si="10"/>
        <v>0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>
      <c r="A10">
        <f>ROW(Source!A25)</f>
        <v>25</v>
      </c>
      <c r="B10">
        <v>38182922</v>
      </c>
      <c r="C10">
        <v>38182946</v>
      </c>
      <c r="D10">
        <v>35413250</v>
      </c>
      <c r="E10">
        <v>1</v>
      </c>
      <c r="F10">
        <v>1</v>
      </c>
      <c r="G10">
        <v>1</v>
      </c>
      <c r="H10">
        <v>3</v>
      </c>
      <c r="I10" t="s">
        <v>281</v>
      </c>
      <c r="J10" t="s">
        <v>282</v>
      </c>
      <c r="K10" t="s">
        <v>283</v>
      </c>
      <c r="L10">
        <v>1346</v>
      </c>
      <c r="N10">
        <v>1009</v>
      </c>
      <c r="O10" t="s">
        <v>284</v>
      </c>
      <c r="P10" t="s">
        <v>284</v>
      </c>
      <c r="Q10">
        <v>1</v>
      </c>
      <c r="W10">
        <v>0</v>
      </c>
      <c r="X10">
        <v>219322737</v>
      </c>
      <c r="Y10">
        <f t="shared" si="4"/>
        <v>0</v>
      </c>
      <c r="AA10">
        <v>207.78</v>
      </c>
      <c r="AB10">
        <v>0</v>
      </c>
      <c r="AC10">
        <v>0</v>
      </c>
      <c r="AD10">
        <v>0</v>
      </c>
      <c r="AE10">
        <v>152.78</v>
      </c>
      <c r="AF10">
        <v>0</v>
      </c>
      <c r="AG10">
        <v>0</v>
      </c>
      <c r="AH10">
        <v>0</v>
      </c>
      <c r="AI10">
        <v>1.36</v>
      </c>
      <c r="AJ10">
        <v>1</v>
      </c>
      <c r="AK10">
        <v>1</v>
      </c>
      <c r="AL10">
        <v>1</v>
      </c>
      <c r="AM10">
        <v>2</v>
      </c>
      <c r="AN10">
        <v>0</v>
      </c>
      <c r="AO10">
        <v>0</v>
      </c>
      <c r="AP10">
        <v>1</v>
      </c>
      <c r="AQ10">
        <v>1</v>
      </c>
      <c r="AR10">
        <v>0</v>
      </c>
      <c r="AS10" t="s">
        <v>3</v>
      </c>
      <c r="AT10">
        <v>84</v>
      </c>
      <c r="AU10" t="s">
        <v>33</v>
      </c>
      <c r="AV10">
        <v>0</v>
      </c>
      <c r="AW10">
        <v>2</v>
      </c>
      <c r="AX10">
        <v>38182953</v>
      </c>
      <c r="AY10">
        <v>1</v>
      </c>
      <c r="AZ10">
        <v>0</v>
      </c>
      <c r="BA10">
        <v>10</v>
      </c>
      <c r="BB10">
        <v>1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12833.52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1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v>0</v>
      </c>
      <c r="CX10">
        <f>ROUND(Y10*Source!I25,7)</f>
        <v>0</v>
      </c>
      <c r="CY10">
        <f t="shared" si="5"/>
        <v>207.78</v>
      </c>
      <c r="CZ10">
        <f t="shared" si="6"/>
        <v>152.78</v>
      </c>
      <c r="DA10">
        <f t="shared" si="7"/>
        <v>1.36</v>
      </c>
      <c r="DB10">
        <f t="shared" si="8"/>
        <v>0</v>
      </c>
      <c r="DC10">
        <f t="shared" si="9"/>
        <v>0</v>
      </c>
      <c r="DD10" t="s">
        <v>3</v>
      </c>
      <c r="DE10" t="s">
        <v>3</v>
      </c>
      <c r="DF10">
        <f>ROUND(ROUND(AE10*AI10,2)*CX10,2)</f>
        <v>0</v>
      </c>
      <c r="DG10">
        <f t="shared" si="3"/>
        <v>0</v>
      </c>
      <c r="DH10">
        <f t="shared" si="1"/>
        <v>0</v>
      </c>
      <c r="DI10">
        <f t="shared" si="2"/>
        <v>0</v>
      </c>
      <c r="DJ10">
        <f t="shared" si="10"/>
        <v>0</v>
      </c>
      <c r="DK10">
        <v>0</v>
      </c>
      <c r="DL10" t="s">
        <v>3</v>
      </c>
      <c r="DM10">
        <v>0</v>
      </c>
      <c r="DN10" t="s">
        <v>3</v>
      </c>
      <c r="DO10">
        <v>0</v>
      </c>
    </row>
    <row r="11" spans="1:119">
      <c r="A11">
        <f>ROW(Source!A25)</f>
        <v>25</v>
      </c>
      <c r="B11">
        <v>38182922</v>
      </c>
      <c r="C11">
        <v>38182946</v>
      </c>
      <c r="D11">
        <v>35416145</v>
      </c>
      <c r="E11">
        <v>1</v>
      </c>
      <c r="F11">
        <v>1</v>
      </c>
      <c r="G11">
        <v>1</v>
      </c>
      <c r="H11">
        <v>3</v>
      </c>
      <c r="I11" t="s">
        <v>285</v>
      </c>
      <c r="J11" t="s">
        <v>286</v>
      </c>
      <c r="K11" t="s">
        <v>287</v>
      </c>
      <c r="L11">
        <v>1348</v>
      </c>
      <c r="N11">
        <v>1009</v>
      </c>
      <c r="O11" t="s">
        <v>84</v>
      </c>
      <c r="P11" t="s">
        <v>84</v>
      </c>
      <c r="Q11">
        <v>1000</v>
      </c>
      <c r="W11">
        <v>0</v>
      </c>
      <c r="X11">
        <v>269049756</v>
      </c>
      <c r="Y11">
        <f t="shared" si="4"/>
        <v>0</v>
      </c>
      <c r="AA11">
        <v>9073.61</v>
      </c>
      <c r="AB11">
        <v>0</v>
      </c>
      <c r="AC11">
        <v>0</v>
      </c>
      <c r="AD11">
        <v>0</v>
      </c>
      <c r="AE11">
        <v>4800.8500000000004</v>
      </c>
      <c r="AF11">
        <v>0</v>
      </c>
      <c r="AG11">
        <v>0</v>
      </c>
      <c r="AH11">
        <v>0</v>
      </c>
      <c r="AI11">
        <v>1.89</v>
      </c>
      <c r="AJ11">
        <v>1</v>
      </c>
      <c r="AK11">
        <v>1</v>
      </c>
      <c r="AL11">
        <v>1</v>
      </c>
      <c r="AM11">
        <v>2</v>
      </c>
      <c r="AN11">
        <v>0</v>
      </c>
      <c r="AO11">
        <v>0</v>
      </c>
      <c r="AP11">
        <v>1</v>
      </c>
      <c r="AQ11">
        <v>1</v>
      </c>
      <c r="AR11">
        <v>0</v>
      </c>
      <c r="AS11" t="s">
        <v>3</v>
      </c>
      <c r="AT11">
        <v>0.2656</v>
      </c>
      <c r="AU11" t="s">
        <v>33</v>
      </c>
      <c r="AV11">
        <v>0</v>
      </c>
      <c r="AW11">
        <v>2</v>
      </c>
      <c r="AX11">
        <v>38182954</v>
      </c>
      <c r="AY11">
        <v>1</v>
      </c>
      <c r="AZ11">
        <v>0</v>
      </c>
      <c r="BA11">
        <v>11</v>
      </c>
      <c r="BB11">
        <v>1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1275.1057600000001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1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V11">
        <v>0</v>
      </c>
      <c r="CW11">
        <v>0</v>
      </c>
      <c r="CX11">
        <f>ROUND(Y11*Source!I25,7)</f>
        <v>0</v>
      </c>
      <c r="CY11">
        <f t="shared" si="5"/>
        <v>9073.61</v>
      </c>
      <c r="CZ11">
        <f t="shared" si="6"/>
        <v>4800.8500000000004</v>
      </c>
      <c r="DA11">
        <f t="shared" si="7"/>
        <v>1.89</v>
      </c>
      <c r="DB11">
        <f t="shared" si="8"/>
        <v>0</v>
      </c>
      <c r="DC11">
        <f t="shared" si="9"/>
        <v>0</v>
      </c>
      <c r="DD11" t="s">
        <v>3</v>
      </c>
      <c r="DE11" t="s">
        <v>3</v>
      </c>
      <c r="DF11">
        <f>ROUND(ROUND(AE11*AI11,2)*CX11,2)</f>
        <v>0</v>
      </c>
      <c r="DG11">
        <f t="shared" si="3"/>
        <v>0</v>
      </c>
      <c r="DH11">
        <f t="shared" si="1"/>
        <v>0</v>
      </c>
      <c r="DI11">
        <f t="shared" si="2"/>
        <v>0</v>
      </c>
      <c r="DJ11">
        <f t="shared" si="10"/>
        <v>0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>
      <c r="A12">
        <f>ROW(Source!A25)</f>
        <v>25</v>
      </c>
      <c r="B12">
        <v>38182922</v>
      </c>
      <c r="C12">
        <v>38182946</v>
      </c>
      <c r="D12">
        <v>35416737</v>
      </c>
      <c r="E12">
        <v>1</v>
      </c>
      <c r="F12">
        <v>1</v>
      </c>
      <c r="G12">
        <v>1</v>
      </c>
      <c r="H12">
        <v>3</v>
      </c>
      <c r="I12" t="s">
        <v>288</v>
      </c>
      <c r="J12" t="s">
        <v>289</v>
      </c>
      <c r="K12" t="s">
        <v>290</v>
      </c>
      <c r="L12">
        <v>1339</v>
      </c>
      <c r="N12">
        <v>1007</v>
      </c>
      <c r="O12" t="s">
        <v>113</v>
      </c>
      <c r="P12" t="s">
        <v>113</v>
      </c>
      <c r="Q12">
        <v>1</v>
      </c>
      <c r="W12">
        <v>0</v>
      </c>
      <c r="X12">
        <v>-2089581116</v>
      </c>
      <c r="Y12">
        <f t="shared" si="4"/>
        <v>0</v>
      </c>
      <c r="AA12">
        <v>5769.31</v>
      </c>
      <c r="AB12">
        <v>0</v>
      </c>
      <c r="AC12">
        <v>0</v>
      </c>
      <c r="AD12">
        <v>0</v>
      </c>
      <c r="AE12">
        <v>5769.31</v>
      </c>
      <c r="AF12">
        <v>0</v>
      </c>
      <c r="AG12">
        <v>0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-2</v>
      </c>
      <c r="AN12">
        <v>0</v>
      </c>
      <c r="AO12">
        <v>0</v>
      </c>
      <c r="AP12">
        <v>1</v>
      </c>
      <c r="AQ12">
        <v>1</v>
      </c>
      <c r="AR12">
        <v>0</v>
      </c>
      <c r="AS12" t="s">
        <v>3</v>
      </c>
      <c r="AT12">
        <v>0.66</v>
      </c>
      <c r="AU12" t="s">
        <v>33</v>
      </c>
      <c r="AV12">
        <v>0</v>
      </c>
      <c r="AW12">
        <v>2</v>
      </c>
      <c r="AX12">
        <v>38182955</v>
      </c>
      <c r="AY12">
        <v>1</v>
      </c>
      <c r="AZ12">
        <v>0</v>
      </c>
      <c r="BA12">
        <v>12</v>
      </c>
      <c r="BB12">
        <v>1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3807.7446000000004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1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V12">
        <v>0</v>
      </c>
      <c r="CW12">
        <v>0</v>
      </c>
      <c r="CX12">
        <f>ROUND(Y12*Source!I25,7)</f>
        <v>0</v>
      </c>
      <c r="CY12">
        <f t="shared" si="5"/>
        <v>5769.31</v>
      </c>
      <c r="CZ12">
        <f t="shared" si="6"/>
        <v>5769.31</v>
      </c>
      <c r="DA12">
        <f t="shared" si="7"/>
        <v>1</v>
      </c>
      <c r="DB12">
        <f t="shared" si="8"/>
        <v>0</v>
      </c>
      <c r="DC12">
        <f t="shared" si="9"/>
        <v>0</v>
      </c>
      <c r="DD12" t="s">
        <v>3</v>
      </c>
      <c r="DE12" t="s">
        <v>3</v>
      </c>
      <c r="DF12">
        <f t="shared" ref="DF12:DF18" si="11">ROUND(ROUND(AE12,2)*CX12,2)</f>
        <v>0</v>
      </c>
      <c r="DG12">
        <f t="shared" si="3"/>
        <v>0</v>
      </c>
      <c r="DH12">
        <f t="shared" si="1"/>
        <v>0</v>
      </c>
      <c r="DI12">
        <f t="shared" si="2"/>
        <v>0</v>
      </c>
      <c r="DJ12">
        <f t="shared" si="10"/>
        <v>0</v>
      </c>
      <c r="DK12">
        <v>1</v>
      </c>
      <c r="DL12" t="s">
        <v>3</v>
      </c>
      <c r="DM12">
        <v>0</v>
      </c>
      <c r="DN12" t="s">
        <v>3</v>
      </c>
      <c r="DO12">
        <v>0</v>
      </c>
    </row>
    <row r="13" spans="1:119">
      <c r="A13">
        <f>ROW(Source!A25)</f>
        <v>25</v>
      </c>
      <c r="B13">
        <v>38182922</v>
      </c>
      <c r="C13">
        <v>38182946</v>
      </c>
      <c r="D13">
        <v>35340034</v>
      </c>
      <c r="E13">
        <v>117</v>
      </c>
      <c r="F13">
        <v>1</v>
      </c>
      <c r="G13">
        <v>1</v>
      </c>
      <c r="H13">
        <v>3</v>
      </c>
      <c r="I13" t="s">
        <v>41</v>
      </c>
      <c r="J13" t="s">
        <v>3</v>
      </c>
      <c r="K13" t="s">
        <v>42</v>
      </c>
      <c r="L13">
        <v>1301</v>
      </c>
      <c r="N13">
        <v>1003</v>
      </c>
      <c r="O13" t="s">
        <v>43</v>
      </c>
      <c r="P13" t="s">
        <v>43</v>
      </c>
      <c r="Q13">
        <v>1</v>
      </c>
      <c r="W13">
        <v>0</v>
      </c>
      <c r="X13">
        <v>1219364707</v>
      </c>
      <c r="Y13">
        <f t="shared" si="4"/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0</v>
      </c>
      <c r="AS13" t="s">
        <v>3</v>
      </c>
      <c r="AT13">
        <v>99.7</v>
      </c>
      <c r="AU13" t="s">
        <v>33</v>
      </c>
      <c r="AV13">
        <v>0</v>
      </c>
      <c r="AW13">
        <v>2</v>
      </c>
      <c r="AX13">
        <v>38182956</v>
      </c>
      <c r="AY13">
        <v>1</v>
      </c>
      <c r="AZ13">
        <v>0</v>
      </c>
      <c r="BA13">
        <v>13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V13">
        <v>0</v>
      </c>
      <c r="CW13">
        <v>0</v>
      </c>
      <c r="CX13">
        <f>ROUND(Y13*Source!I25,7)</f>
        <v>0</v>
      </c>
      <c r="CY13">
        <f t="shared" si="5"/>
        <v>0</v>
      </c>
      <c r="CZ13">
        <f t="shared" si="6"/>
        <v>0</v>
      </c>
      <c r="DA13">
        <f t="shared" si="7"/>
        <v>1</v>
      </c>
      <c r="DB13">
        <f t="shared" si="8"/>
        <v>0</v>
      </c>
      <c r="DC13">
        <f t="shared" si="9"/>
        <v>0</v>
      </c>
      <c r="DD13" t="s">
        <v>3</v>
      </c>
      <c r="DE13" t="s">
        <v>3</v>
      </c>
      <c r="DF13">
        <f t="shared" si="11"/>
        <v>0</v>
      </c>
      <c r="DG13">
        <f t="shared" si="3"/>
        <v>0</v>
      </c>
      <c r="DH13">
        <f t="shared" si="1"/>
        <v>0</v>
      </c>
      <c r="DI13">
        <f t="shared" si="2"/>
        <v>0</v>
      </c>
      <c r="DJ13">
        <f t="shared" si="10"/>
        <v>0</v>
      </c>
      <c r="DK13">
        <v>0</v>
      </c>
      <c r="DL13" t="s">
        <v>3</v>
      </c>
      <c r="DM13">
        <v>0</v>
      </c>
      <c r="DN13" t="s">
        <v>3</v>
      </c>
      <c r="DO13">
        <v>0</v>
      </c>
    </row>
    <row r="14" spans="1:119">
      <c r="A14">
        <f>ROW(Source!A27)</f>
        <v>27</v>
      </c>
      <c r="B14">
        <v>38182922</v>
      </c>
      <c r="C14">
        <v>38183869</v>
      </c>
      <c r="D14">
        <v>35338476</v>
      </c>
      <c r="E14">
        <v>117</v>
      </c>
      <c r="F14">
        <v>1</v>
      </c>
      <c r="G14">
        <v>1</v>
      </c>
      <c r="H14">
        <v>1</v>
      </c>
      <c r="I14" t="s">
        <v>291</v>
      </c>
      <c r="J14" t="s">
        <v>3</v>
      </c>
      <c r="K14" t="s">
        <v>292</v>
      </c>
      <c r="L14">
        <v>1191</v>
      </c>
      <c r="N14">
        <v>1013</v>
      </c>
      <c r="O14" t="s">
        <v>258</v>
      </c>
      <c r="P14" t="s">
        <v>258</v>
      </c>
      <c r="Q14">
        <v>1</v>
      </c>
      <c r="W14">
        <v>0</v>
      </c>
      <c r="X14">
        <v>1521243167</v>
      </c>
      <c r="Y14">
        <f t="shared" ref="Y14:Y56" si="12">AT14</f>
        <v>1.59</v>
      </c>
      <c r="AA14">
        <v>0</v>
      </c>
      <c r="AB14">
        <v>0</v>
      </c>
      <c r="AC14">
        <v>0</v>
      </c>
      <c r="AD14">
        <v>478.03</v>
      </c>
      <c r="AE14">
        <v>0</v>
      </c>
      <c r="AF14">
        <v>0</v>
      </c>
      <c r="AG14">
        <v>0</v>
      </c>
      <c r="AH14">
        <v>478.03</v>
      </c>
      <c r="AI14">
        <v>1</v>
      </c>
      <c r="AJ14">
        <v>1</v>
      </c>
      <c r="AK14">
        <v>1</v>
      </c>
      <c r="AL14">
        <v>1</v>
      </c>
      <c r="AM14">
        <v>-2</v>
      </c>
      <c r="AN14">
        <v>0</v>
      </c>
      <c r="AO14">
        <v>0</v>
      </c>
      <c r="AP14">
        <v>1</v>
      </c>
      <c r="AQ14">
        <v>1</v>
      </c>
      <c r="AR14">
        <v>0</v>
      </c>
      <c r="AS14" t="s">
        <v>3</v>
      </c>
      <c r="AT14">
        <v>1.59</v>
      </c>
      <c r="AU14" t="s">
        <v>3</v>
      </c>
      <c r="AV14">
        <v>1</v>
      </c>
      <c r="AW14">
        <v>2</v>
      </c>
      <c r="AX14">
        <v>38183870</v>
      </c>
      <c r="AY14">
        <v>1</v>
      </c>
      <c r="AZ14">
        <v>0</v>
      </c>
      <c r="BA14">
        <v>14</v>
      </c>
      <c r="BB14">
        <v>1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760.06769999999995</v>
      </c>
      <c r="BN14">
        <v>1.59</v>
      </c>
      <c r="BO14">
        <v>0</v>
      </c>
      <c r="BP14">
        <v>1</v>
      </c>
      <c r="BQ14">
        <v>0</v>
      </c>
      <c r="BR14">
        <v>0</v>
      </c>
      <c r="BS14">
        <v>0</v>
      </c>
      <c r="BT14">
        <v>760.06769999999995</v>
      </c>
      <c r="BU14">
        <v>1.59</v>
      </c>
      <c r="BV14">
        <v>0</v>
      </c>
      <c r="BW14">
        <v>1</v>
      </c>
      <c r="CU14">
        <f>ROUND(AT14*Source!I27*AH14*AL14,2)</f>
        <v>760.07</v>
      </c>
      <c r="CV14">
        <f>ROUND(Y14*Source!I27,7)</f>
        <v>1.59</v>
      </c>
      <c r="CW14">
        <v>0</v>
      </c>
      <c r="CX14">
        <f>ROUND(Y14*Source!I27,7)</f>
        <v>1.59</v>
      </c>
      <c r="CY14">
        <f>AD14</f>
        <v>478.03</v>
      </c>
      <c r="CZ14">
        <f>AH14</f>
        <v>478.03</v>
      </c>
      <c r="DA14">
        <f>AL14</f>
        <v>1</v>
      </c>
      <c r="DB14">
        <f t="shared" ref="DB14:DB56" si="13">ROUND(ROUND(AT14*CZ14,2),6)</f>
        <v>760.07</v>
      </c>
      <c r="DC14">
        <f t="shared" ref="DC14:DC56" si="14">ROUND(ROUND(AT14*AG14,2),6)</f>
        <v>0</v>
      </c>
      <c r="DD14" t="s">
        <v>3</v>
      </c>
      <c r="DE14" t="s">
        <v>3</v>
      </c>
      <c r="DF14">
        <f t="shared" si="11"/>
        <v>0</v>
      </c>
      <c r="DG14">
        <f t="shared" si="3"/>
        <v>0</v>
      </c>
      <c r="DH14">
        <f t="shared" si="1"/>
        <v>0</v>
      </c>
      <c r="DI14">
        <f t="shared" si="2"/>
        <v>760.07</v>
      </c>
      <c r="DJ14">
        <f>DI14</f>
        <v>760.07</v>
      </c>
      <c r="DK14">
        <v>1</v>
      </c>
      <c r="DL14" t="s">
        <v>3</v>
      </c>
      <c r="DM14">
        <v>0</v>
      </c>
      <c r="DN14" t="s">
        <v>3</v>
      </c>
      <c r="DO14">
        <v>0</v>
      </c>
    </row>
    <row r="15" spans="1:119">
      <c r="A15">
        <f>ROW(Source!A27)</f>
        <v>27</v>
      </c>
      <c r="B15">
        <v>38182922</v>
      </c>
      <c r="C15">
        <v>38183869</v>
      </c>
      <c r="D15">
        <v>35338624</v>
      </c>
      <c r="E15">
        <v>117</v>
      </c>
      <c r="F15">
        <v>1</v>
      </c>
      <c r="G15">
        <v>1</v>
      </c>
      <c r="H15">
        <v>1</v>
      </c>
      <c r="I15" t="s">
        <v>259</v>
      </c>
      <c r="J15" t="s">
        <v>3</v>
      </c>
      <c r="K15" t="s">
        <v>260</v>
      </c>
      <c r="L15">
        <v>1191</v>
      </c>
      <c r="N15">
        <v>1013</v>
      </c>
      <c r="O15" t="s">
        <v>258</v>
      </c>
      <c r="P15" t="s">
        <v>258</v>
      </c>
      <c r="Q15">
        <v>1</v>
      </c>
      <c r="W15">
        <v>0</v>
      </c>
      <c r="X15">
        <v>-1417349443</v>
      </c>
      <c r="Y15">
        <f t="shared" si="12"/>
        <v>0.75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-2</v>
      </c>
      <c r="AN15">
        <v>0</v>
      </c>
      <c r="AO15">
        <v>0</v>
      </c>
      <c r="AP15">
        <v>1</v>
      </c>
      <c r="AQ15">
        <v>1</v>
      </c>
      <c r="AR15">
        <v>0</v>
      </c>
      <c r="AS15" t="s">
        <v>3</v>
      </c>
      <c r="AT15">
        <v>0.75</v>
      </c>
      <c r="AU15" t="s">
        <v>3</v>
      </c>
      <c r="AV15">
        <v>2</v>
      </c>
      <c r="AW15">
        <v>2</v>
      </c>
      <c r="AX15">
        <v>38183871</v>
      </c>
      <c r="AY15">
        <v>1</v>
      </c>
      <c r="AZ15">
        <v>0</v>
      </c>
      <c r="BA15">
        <v>15</v>
      </c>
      <c r="BB15">
        <v>1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V15">
        <v>0</v>
      </c>
      <c r="CW15">
        <v>0</v>
      </c>
      <c r="CX15">
        <f>ROUND(Y15*Source!I27,7)</f>
        <v>0.75</v>
      </c>
      <c r="CY15">
        <f>AD15</f>
        <v>0</v>
      </c>
      <c r="CZ15">
        <f>AH15</f>
        <v>0</v>
      </c>
      <c r="DA15">
        <f>AL15</f>
        <v>1</v>
      </c>
      <c r="DB15">
        <f t="shared" si="13"/>
        <v>0</v>
      </c>
      <c r="DC15">
        <f t="shared" si="14"/>
        <v>0</v>
      </c>
      <c r="DD15" t="s">
        <v>3</v>
      </c>
      <c r="DE15" t="s">
        <v>3</v>
      </c>
      <c r="DF15">
        <f t="shared" si="11"/>
        <v>0</v>
      </c>
      <c r="DG15">
        <f t="shared" si="3"/>
        <v>0</v>
      </c>
      <c r="DH15">
        <f t="shared" si="1"/>
        <v>0</v>
      </c>
      <c r="DI15">
        <f t="shared" si="2"/>
        <v>0</v>
      </c>
      <c r="DJ15">
        <f>DI15</f>
        <v>0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>
      <c r="A16">
        <f>ROW(Source!A27)</f>
        <v>27</v>
      </c>
      <c r="B16">
        <v>38182922</v>
      </c>
      <c r="C16">
        <v>38183869</v>
      </c>
      <c r="D16">
        <v>35345762</v>
      </c>
      <c r="E16">
        <v>1</v>
      </c>
      <c r="F16">
        <v>1</v>
      </c>
      <c r="G16">
        <v>1</v>
      </c>
      <c r="H16">
        <v>2</v>
      </c>
      <c r="I16" t="s">
        <v>267</v>
      </c>
      <c r="J16" t="s">
        <v>268</v>
      </c>
      <c r="K16" t="s">
        <v>269</v>
      </c>
      <c r="L16">
        <v>1368</v>
      </c>
      <c r="N16">
        <v>1011</v>
      </c>
      <c r="O16" t="s">
        <v>66</v>
      </c>
      <c r="P16" t="s">
        <v>66</v>
      </c>
      <c r="Q16">
        <v>1</v>
      </c>
      <c r="W16">
        <v>0</v>
      </c>
      <c r="X16">
        <v>-1505731505</v>
      </c>
      <c r="Y16">
        <f t="shared" si="12"/>
        <v>0.75</v>
      </c>
      <c r="AA16">
        <v>0</v>
      </c>
      <c r="AB16">
        <v>4931.99</v>
      </c>
      <c r="AC16">
        <v>707.35</v>
      </c>
      <c r="AD16">
        <v>0</v>
      </c>
      <c r="AE16">
        <v>0</v>
      </c>
      <c r="AF16">
        <v>4403.5600000000004</v>
      </c>
      <c r="AG16">
        <v>707.35</v>
      </c>
      <c r="AH16">
        <v>0</v>
      </c>
      <c r="AI16">
        <v>1</v>
      </c>
      <c r="AJ16">
        <v>1.1200000000000001</v>
      </c>
      <c r="AK16">
        <v>1</v>
      </c>
      <c r="AL16">
        <v>1</v>
      </c>
      <c r="AM16">
        <v>2</v>
      </c>
      <c r="AN16">
        <v>0</v>
      </c>
      <c r="AO16">
        <v>0</v>
      </c>
      <c r="AP16">
        <v>1</v>
      </c>
      <c r="AQ16">
        <v>1</v>
      </c>
      <c r="AR16">
        <v>0</v>
      </c>
      <c r="AS16" t="s">
        <v>3</v>
      </c>
      <c r="AT16">
        <v>0.75</v>
      </c>
      <c r="AU16" t="s">
        <v>3</v>
      </c>
      <c r="AV16">
        <v>1</v>
      </c>
      <c r="AW16">
        <v>2</v>
      </c>
      <c r="AX16">
        <v>38183872</v>
      </c>
      <c r="AY16">
        <v>1</v>
      </c>
      <c r="AZ16">
        <v>0</v>
      </c>
      <c r="BA16">
        <v>16</v>
      </c>
      <c r="BB16">
        <v>1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3302.67</v>
      </c>
      <c r="BL16">
        <v>530.51250000000005</v>
      </c>
      <c r="BM16">
        <v>0</v>
      </c>
      <c r="BN16">
        <v>0</v>
      </c>
      <c r="BO16">
        <v>0.75</v>
      </c>
      <c r="BP16">
        <v>1</v>
      </c>
      <c r="BQ16">
        <v>0</v>
      </c>
      <c r="BR16">
        <v>3302.67</v>
      </c>
      <c r="BS16">
        <v>530.51250000000005</v>
      </c>
      <c r="BT16">
        <v>0</v>
      </c>
      <c r="BU16">
        <v>0</v>
      </c>
      <c r="BV16">
        <v>0.75</v>
      </c>
      <c r="BW16">
        <v>1</v>
      </c>
      <c r="CV16">
        <v>0</v>
      </c>
      <c r="CW16">
        <f>ROUND(Y16*Source!I27*DO16,7)</f>
        <v>0.75</v>
      </c>
      <c r="CX16">
        <f>ROUND(Y16*Source!I27,7)</f>
        <v>0.75</v>
      </c>
      <c r="CY16">
        <f>AB16</f>
        <v>4931.99</v>
      </c>
      <c r="CZ16">
        <f>AF16</f>
        <v>4403.5600000000004</v>
      </c>
      <c r="DA16">
        <f>AJ16</f>
        <v>1.1200000000000001</v>
      </c>
      <c r="DB16">
        <f t="shared" si="13"/>
        <v>3302.67</v>
      </c>
      <c r="DC16">
        <f t="shared" si="14"/>
        <v>530.51</v>
      </c>
      <c r="DD16" t="s">
        <v>3</v>
      </c>
      <c r="DE16" t="s">
        <v>3</v>
      </c>
      <c r="DF16">
        <f t="shared" si="11"/>
        <v>0</v>
      </c>
      <c r="DG16">
        <f>ROUND(ROUND(AF16*AJ16,2)*CX16,2)</f>
        <v>3698.99</v>
      </c>
      <c r="DH16">
        <f t="shared" si="1"/>
        <v>530.51</v>
      </c>
      <c r="DI16">
        <f t="shared" si="2"/>
        <v>0</v>
      </c>
      <c r="DJ16">
        <f>DG16+DH16</f>
        <v>4229.5</v>
      </c>
      <c r="DK16">
        <v>0</v>
      </c>
      <c r="DL16" t="s">
        <v>270</v>
      </c>
      <c r="DM16">
        <v>9</v>
      </c>
      <c r="DN16" t="s">
        <v>258</v>
      </c>
      <c r="DO16">
        <v>1</v>
      </c>
    </row>
    <row r="17" spans="1:119">
      <c r="A17">
        <f>ROW(Source!A27)</f>
        <v>27</v>
      </c>
      <c r="B17">
        <v>38182922</v>
      </c>
      <c r="C17">
        <v>38183869</v>
      </c>
      <c r="D17">
        <v>35346167</v>
      </c>
      <c r="E17">
        <v>1</v>
      </c>
      <c r="F17">
        <v>1</v>
      </c>
      <c r="G17">
        <v>1</v>
      </c>
      <c r="H17">
        <v>2</v>
      </c>
      <c r="I17" t="s">
        <v>293</v>
      </c>
      <c r="J17" t="s">
        <v>294</v>
      </c>
      <c r="K17" t="s">
        <v>295</v>
      </c>
      <c r="L17">
        <v>1368</v>
      </c>
      <c r="N17">
        <v>1011</v>
      </c>
      <c r="O17" t="s">
        <v>66</v>
      </c>
      <c r="P17" t="s">
        <v>66</v>
      </c>
      <c r="Q17">
        <v>1</v>
      </c>
      <c r="W17">
        <v>0</v>
      </c>
      <c r="X17">
        <v>-880363394</v>
      </c>
      <c r="Y17">
        <f t="shared" si="12"/>
        <v>0.44</v>
      </c>
      <c r="AA17">
        <v>0</v>
      </c>
      <c r="AB17">
        <v>5.35</v>
      </c>
      <c r="AC17">
        <v>0</v>
      </c>
      <c r="AD17">
        <v>0</v>
      </c>
      <c r="AE17">
        <v>0</v>
      </c>
      <c r="AF17">
        <v>4.3499999999999996</v>
      </c>
      <c r="AG17">
        <v>0</v>
      </c>
      <c r="AH17">
        <v>0</v>
      </c>
      <c r="AI17">
        <v>1</v>
      </c>
      <c r="AJ17">
        <v>1.23</v>
      </c>
      <c r="AK17">
        <v>1</v>
      </c>
      <c r="AL17">
        <v>1</v>
      </c>
      <c r="AM17">
        <v>2</v>
      </c>
      <c r="AN17">
        <v>0</v>
      </c>
      <c r="AO17">
        <v>0</v>
      </c>
      <c r="AP17">
        <v>1</v>
      </c>
      <c r="AQ17">
        <v>1</v>
      </c>
      <c r="AR17">
        <v>0</v>
      </c>
      <c r="AS17" t="s">
        <v>3</v>
      </c>
      <c r="AT17">
        <v>0.44</v>
      </c>
      <c r="AU17" t="s">
        <v>3</v>
      </c>
      <c r="AV17">
        <v>1</v>
      </c>
      <c r="AW17">
        <v>2</v>
      </c>
      <c r="AX17">
        <v>38183873</v>
      </c>
      <c r="AY17">
        <v>1</v>
      </c>
      <c r="AZ17">
        <v>0</v>
      </c>
      <c r="BA17">
        <v>17</v>
      </c>
      <c r="BB17">
        <v>1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1.9139999999999999</v>
      </c>
      <c r="BL17">
        <v>0</v>
      </c>
      <c r="BM17">
        <v>0</v>
      </c>
      <c r="BN17">
        <v>0</v>
      </c>
      <c r="BO17">
        <v>0</v>
      </c>
      <c r="BP17">
        <v>1</v>
      </c>
      <c r="BQ17">
        <v>0</v>
      </c>
      <c r="BR17">
        <v>1.9139999999999999</v>
      </c>
      <c r="BS17">
        <v>0</v>
      </c>
      <c r="BT17">
        <v>0</v>
      </c>
      <c r="BU17">
        <v>0</v>
      </c>
      <c r="BV17">
        <v>0</v>
      </c>
      <c r="BW17">
        <v>1</v>
      </c>
      <c r="CV17">
        <v>0</v>
      </c>
      <c r="CW17">
        <f>ROUND(Y17*Source!I27*DO17,7)</f>
        <v>0</v>
      </c>
      <c r="CX17">
        <f>ROUND(Y17*Source!I27,7)</f>
        <v>0.44</v>
      </c>
      <c r="CY17">
        <f>AB17</f>
        <v>5.35</v>
      </c>
      <c r="CZ17">
        <f>AF17</f>
        <v>4.3499999999999996</v>
      </c>
      <c r="DA17">
        <f>AJ17</f>
        <v>1.23</v>
      </c>
      <c r="DB17">
        <f t="shared" si="13"/>
        <v>1.91</v>
      </c>
      <c r="DC17">
        <f t="shared" si="14"/>
        <v>0</v>
      </c>
      <c r="DD17" t="s">
        <v>3</v>
      </c>
      <c r="DE17" t="s">
        <v>3</v>
      </c>
      <c r="DF17">
        <f t="shared" si="11"/>
        <v>0</v>
      </c>
      <c r="DG17">
        <f>ROUND(ROUND(AF17*AJ17,2)*CX17,2)</f>
        <v>2.35</v>
      </c>
      <c r="DH17">
        <f t="shared" si="1"/>
        <v>0</v>
      </c>
      <c r="DI17">
        <f t="shared" si="2"/>
        <v>0</v>
      </c>
      <c r="DJ17">
        <f>DG17+DH17</f>
        <v>2.35</v>
      </c>
      <c r="DK17">
        <v>0</v>
      </c>
      <c r="DL17" t="s">
        <v>3</v>
      </c>
      <c r="DM17">
        <v>0</v>
      </c>
      <c r="DN17" t="s">
        <v>3</v>
      </c>
      <c r="DO17">
        <v>0</v>
      </c>
    </row>
    <row r="18" spans="1:119">
      <c r="A18">
        <f>ROW(Source!A27)</f>
        <v>27</v>
      </c>
      <c r="B18">
        <v>38182922</v>
      </c>
      <c r="C18">
        <v>38183869</v>
      </c>
      <c r="D18">
        <v>35410783</v>
      </c>
      <c r="E18">
        <v>1</v>
      </c>
      <c r="F18">
        <v>1</v>
      </c>
      <c r="G18">
        <v>1</v>
      </c>
      <c r="H18">
        <v>3</v>
      </c>
      <c r="I18" t="s">
        <v>296</v>
      </c>
      <c r="J18" t="s">
        <v>297</v>
      </c>
      <c r="K18" t="s">
        <v>298</v>
      </c>
      <c r="L18">
        <v>1339</v>
      </c>
      <c r="N18">
        <v>1007</v>
      </c>
      <c r="O18" t="s">
        <v>113</v>
      </c>
      <c r="P18" t="s">
        <v>113</v>
      </c>
      <c r="Q18">
        <v>1</v>
      </c>
      <c r="W18">
        <v>0</v>
      </c>
      <c r="X18">
        <v>-2058989610</v>
      </c>
      <c r="Y18">
        <f t="shared" si="12"/>
        <v>1.59</v>
      </c>
      <c r="AA18">
        <v>89</v>
      </c>
      <c r="AB18">
        <v>0</v>
      </c>
      <c r="AC18">
        <v>0</v>
      </c>
      <c r="AD18">
        <v>0</v>
      </c>
      <c r="AE18">
        <v>89</v>
      </c>
      <c r="AF18">
        <v>0</v>
      </c>
      <c r="AG18">
        <v>0</v>
      </c>
      <c r="AH18">
        <v>0</v>
      </c>
      <c r="AI18">
        <v>1</v>
      </c>
      <c r="AJ18">
        <v>1</v>
      </c>
      <c r="AK18">
        <v>1</v>
      </c>
      <c r="AL18">
        <v>1</v>
      </c>
      <c r="AM18">
        <v>-2</v>
      </c>
      <c r="AN18">
        <v>0</v>
      </c>
      <c r="AO18">
        <v>0</v>
      </c>
      <c r="AP18">
        <v>1</v>
      </c>
      <c r="AQ18">
        <v>1</v>
      </c>
      <c r="AR18">
        <v>0</v>
      </c>
      <c r="AS18" t="s">
        <v>3</v>
      </c>
      <c r="AT18">
        <v>1.59</v>
      </c>
      <c r="AU18" t="s">
        <v>3</v>
      </c>
      <c r="AV18">
        <v>0</v>
      </c>
      <c r="AW18">
        <v>2</v>
      </c>
      <c r="AX18">
        <v>38183874</v>
      </c>
      <c r="AY18">
        <v>1</v>
      </c>
      <c r="AZ18">
        <v>0</v>
      </c>
      <c r="BA18">
        <v>18</v>
      </c>
      <c r="BB18">
        <v>1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141.51000000000002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1</v>
      </c>
      <c r="BQ18">
        <v>141.51000000000002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1</v>
      </c>
      <c r="CV18">
        <v>0</v>
      </c>
      <c r="CW18">
        <v>0</v>
      </c>
      <c r="CX18">
        <f>ROUND(Y18*Source!I27,7)</f>
        <v>1.59</v>
      </c>
      <c r="CY18">
        <f>AA18</f>
        <v>89</v>
      </c>
      <c r="CZ18">
        <f>AE18</f>
        <v>89</v>
      </c>
      <c r="DA18">
        <f>AI18</f>
        <v>1</v>
      </c>
      <c r="DB18">
        <f t="shared" si="13"/>
        <v>141.51</v>
      </c>
      <c r="DC18">
        <f t="shared" si="14"/>
        <v>0</v>
      </c>
      <c r="DD18" t="s">
        <v>3</v>
      </c>
      <c r="DE18" t="s">
        <v>3</v>
      </c>
      <c r="DF18">
        <f t="shared" si="11"/>
        <v>141.51</v>
      </c>
      <c r="DG18">
        <f>ROUND(ROUND(AF18,2)*CX18,2)</f>
        <v>0</v>
      </c>
      <c r="DH18">
        <f t="shared" si="1"/>
        <v>0</v>
      </c>
      <c r="DI18">
        <f t="shared" si="2"/>
        <v>0</v>
      </c>
      <c r="DJ18">
        <f>DF18</f>
        <v>141.51</v>
      </c>
      <c r="DK18">
        <v>1</v>
      </c>
      <c r="DL18" t="s">
        <v>3</v>
      </c>
      <c r="DM18">
        <v>0</v>
      </c>
      <c r="DN18" t="s">
        <v>3</v>
      </c>
      <c r="DO18">
        <v>0</v>
      </c>
    </row>
    <row r="19" spans="1:119">
      <c r="A19">
        <f>ROW(Source!A27)</f>
        <v>27</v>
      </c>
      <c r="B19">
        <v>38182922</v>
      </c>
      <c r="C19">
        <v>38183869</v>
      </c>
      <c r="D19">
        <v>35410787</v>
      </c>
      <c r="E19">
        <v>1</v>
      </c>
      <c r="F19">
        <v>1</v>
      </c>
      <c r="G19">
        <v>1</v>
      </c>
      <c r="H19">
        <v>3</v>
      </c>
      <c r="I19" t="s">
        <v>299</v>
      </c>
      <c r="J19" t="s">
        <v>300</v>
      </c>
      <c r="K19" t="s">
        <v>301</v>
      </c>
      <c r="L19">
        <v>1346</v>
      </c>
      <c r="N19">
        <v>1009</v>
      </c>
      <c r="O19" t="s">
        <v>284</v>
      </c>
      <c r="P19" t="s">
        <v>284</v>
      </c>
      <c r="Q19">
        <v>1</v>
      </c>
      <c r="W19">
        <v>0</v>
      </c>
      <c r="X19">
        <v>-1568219933</v>
      </c>
      <c r="Y19">
        <f t="shared" si="12"/>
        <v>4.0655999999999999</v>
      </c>
      <c r="AA19">
        <v>57.1</v>
      </c>
      <c r="AB19">
        <v>0</v>
      </c>
      <c r="AC19">
        <v>0</v>
      </c>
      <c r="AD19">
        <v>0</v>
      </c>
      <c r="AE19">
        <v>41.38</v>
      </c>
      <c r="AF19">
        <v>0</v>
      </c>
      <c r="AG19">
        <v>0</v>
      </c>
      <c r="AH19">
        <v>0</v>
      </c>
      <c r="AI19">
        <v>1.38</v>
      </c>
      <c r="AJ19">
        <v>1</v>
      </c>
      <c r="AK19">
        <v>1</v>
      </c>
      <c r="AL19">
        <v>1</v>
      </c>
      <c r="AM19">
        <v>2</v>
      </c>
      <c r="AN19">
        <v>0</v>
      </c>
      <c r="AO19">
        <v>0</v>
      </c>
      <c r="AP19">
        <v>1</v>
      </c>
      <c r="AQ19">
        <v>1</v>
      </c>
      <c r="AR19">
        <v>0</v>
      </c>
      <c r="AS19" t="s">
        <v>3</v>
      </c>
      <c r="AT19">
        <v>4.0655999999999999</v>
      </c>
      <c r="AU19" t="s">
        <v>3</v>
      </c>
      <c r="AV19">
        <v>0</v>
      </c>
      <c r="AW19">
        <v>2</v>
      </c>
      <c r="AX19">
        <v>38183875</v>
      </c>
      <c r="AY19">
        <v>1</v>
      </c>
      <c r="AZ19">
        <v>0</v>
      </c>
      <c r="BA19">
        <v>19</v>
      </c>
      <c r="BB19">
        <v>1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168.23452800000001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1</v>
      </c>
      <c r="BQ19">
        <v>168.23452800000001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1</v>
      </c>
      <c r="CV19">
        <v>0</v>
      </c>
      <c r="CW19">
        <v>0</v>
      </c>
      <c r="CX19">
        <f>ROUND(Y19*Source!I27,7)</f>
        <v>4.0655999999999999</v>
      </c>
      <c r="CY19">
        <f>AA19</f>
        <v>57.1</v>
      </c>
      <c r="CZ19">
        <f>AE19</f>
        <v>41.38</v>
      </c>
      <c r="DA19">
        <f>AI19</f>
        <v>1.38</v>
      </c>
      <c r="DB19">
        <f t="shared" si="13"/>
        <v>168.23</v>
      </c>
      <c r="DC19">
        <f t="shared" si="14"/>
        <v>0</v>
      </c>
      <c r="DD19" t="s">
        <v>3</v>
      </c>
      <c r="DE19" t="s">
        <v>3</v>
      </c>
      <c r="DF19">
        <f>ROUND(ROUND(AE19*AI19,2)*CX19,2)</f>
        <v>232.15</v>
      </c>
      <c r="DG19">
        <f>ROUND(ROUND(AF19,2)*CX19,2)</f>
        <v>0</v>
      </c>
      <c r="DH19">
        <f t="shared" si="1"/>
        <v>0</v>
      </c>
      <c r="DI19">
        <f t="shared" si="2"/>
        <v>0</v>
      </c>
      <c r="DJ19">
        <f>DF19</f>
        <v>232.15</v>
      </c>
      <c r="DK19">
        <v>0</v>
      </c>
      <c r="DL19" t="s">
        <v>3</v>
      </c>
      <c r="DM19">
        <v>0</v>
      </c>
      <c r="DN19" t="s">
        <v>3</v>
      </c>
      <c r="DO19">
        <v>0</v>
      </c>
    </row>
    <row r="20" spans="1:119">
      <c r="A20">
        <f>ROW(Source!A27)</f>
        <v>27</v>
      </c>
      <c r="B20">
        <v>38182922</v>
      </c>
      <c r="C20">
        <v>38183869</v>
      </c>
      <c r="D20">
        <v>35423680</v>
      </c>
      <c r="E20">
        <v>1</v>
      </c>
      <c r="F20">
        <v>1</v>
      </c>
      <c r="G20">
        <v>1</v>
      </c>
      <c r="H20">
        <v>3</v>
      </c>
      <c r="I20" t="s">
        <v>302</v>
      </c>
      <c r="J20" t="s">
        <v>303</v>
      </c>
      <c r="K20" t="s">
        <v>304</v>
      </c>
      <c r="L20">
        <v>1339</v>
      </c>
      <c r="N20">
        <v>1007</v>
      </c>
      <c r="O20" t="s">
        <v>113</v>
      </c>
      <c r="P20" t="s">
        <v>113</v>
      </c>
      <c r="Q20">
        <v>1</v>
      </c>
      <c r="W20">
        <v>0</v>
      </c>
      <c r="X20">
        <v>-831399682</v>
      </c>
      <c r="Y20">
        <f t="shared" si="12"/>
        <v>2.7E-2</v>
      </c>
      <c r="AA20">
        <v>13324</v>
      </c>
      <c r="AB20">
        <v>0</v>
      </c>
      <c r="AC20">
        <v>0</v>
      </c>
      <c r="AD20">
        <v>0</v>
      </c>
      <c r="AE20">
        <v>16655</v>
      </c>
      <c r="AF20">
        <v>0</v>
      </c>
      <c r="AG20">
        <v>0</v>
      </c>
      <c r="AH20">
        <v>0</v>
      </c>
      <c r="AI20">
        <v>0.8</v>
      </c>
      <c r="AJ20">
        <v>1</v>
      </c>
      <c r="AK20">
        <v>1</v>
      </c>
      <c r="AL20">
        <v>1</v>
      </c>
      <c r="AM20">
        <v>2</v>
      </c>
      <c r="AN20">
        <v>0</v>
      </c>
      <c r="AO20">
        <v>0</v>
      </c>
      <c r="AP20">
        <v>1</v>
      </c>
      <c r="AQ20">
        <v>1</v>
      </c>
      <c r="AR20">
        <v>0</v>
      </c>
      <c r="AS20" t="s">
        <v>3</v>
      </c>
      <c r="AT20">
        <v>2.7E-2</v>
      </c>
      <c r="AU20" t="s">
        <v>3</v>
      </c>
      <c r="AV20">
        <v>0</v>
      </c>
      <c r="AW20">
        <v>2</v>
      </c>
      <c r="AX20">
        <v>38183876</v>
      </c>
      <c r="AY20">
        <v>1</v>
      </c>
      <c r="AZ20">
        <v>0</v>
      </c>
      <c r="BA20">
        <v>20</v>
      </c>
      <c r="BB20">
        <v>1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449.685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1</v>
      </c>
      <c r="BQ20">
        <v>449.685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1</v>
      </c>
      <c r="CV20">
        <v>0</v>
      </c>
      <c r="CW20">
        <v>0</v>
      </c>
      <c r="CX20">
        <f>ROUND(Y20*Source!I27,7)</f>
        <v>2.7E-2</v>
      </c>
      <c r="CY20">
        <f>AA20</f>
        <v>13324</v>
      </c>
      <c r="CZ20">
        <f>AE20</f>
        <v>16655</v>
      </c>
      <c r="DA20">
        <f>AI20</f>
        <v>0.8</v>
      </c>
      <c r="DB20">
        <f t="shared" si="13"/>
        <v>449.69</v>
      </c>
      <c r="DC20">
        <f t="shared" si="14"/>
        <v>0</v>
      </c>
      <c r="DD20" t="s">
        <v>3</v>
      </c>
      <c r="DE20" t="s">
        <v>3</v>
      </c>
      <c r="DF20">
        <f>ROUND(ROUND(AE20*AI20,2)*CX20,2)</f>
        <v>359.75</v>
      </c>
      <c r="DG20">
        <f>ROUND(ROUND(AF20,2)*CX20,2)</f>
        <v>0</v>
      </c>
      <c r="DH20">
        <f t="shared" si="1"/>
        <v>0</v>
      </c>
      <c r="DI20">
        <f t="shared" si="2"/>
        <v>0</v>
      </c>
      <c r="DJ20">
        <f>DF20</f>
        <v>359.75</v>
      </c>
      <c r="DK20">
        <v>0</v>
      </c>
      <c r="DL20" t="s">
        <v>3</v>
      </c>
      <c r="DM20">
        <v>0</v>
      </c>
      <c r="DN20" t="s">
        <v>3</v>
      </c>
      <c r="DO20">
        <v>0</v>
      </c>
    </row>
    <row r="21" spans="1:119">
      <c r="A21">
        <f>ROW(Source!A28)</f>
        <v>28</v>
      </c>
      <c r="B21">
        <v>38182922</v>
      </c>
      <c r="C21">
        <v>38182974</v>
      </c>
      <c r="D21">
        <v>20031442</v>
      </c>
      <c r="E21">
        <v>117</v>
      </c>
      <c r="F21">
        <v>1</v>
      </c>
      <c r="G21">
        <v>1</v>
      </c>
      <c r="H21">
        <v>1</v>
      </c>
      <c r="I21" t="s">
        <v>265</v>
      </c>
      <c r="J21" t="s">
        <v>3</v>
      </c>
      <c r="K21" t="s">
        <v>266</v>
      </c>
      <c r="L21">
        <v>1191</v>
      </c>
      <c r="N21">
        <v>1013</v>
      </c>
      <c r="O21" t="s">
        <v>258</v>
      </c>
      <c r="P21" t="s">
        <v>258</v>
      </c>
      <c r="Q21">
        <v>1</v>
      </c>
      <c r="W21">
        <v>0</v>
      </c>
      <c r="X21">
        <v>888410196</v>
      </c>
      <c r="Y21">
        <f t="shared" si="12"/>
        <v>187.6</v>
      </c>
      <c r="AA21">
        <v>0</v>
      </c>
      <c r="AB21">
        <v>0</v>
      </c>
      <c r="AC21">
        <v>0</v>
      </c>
      <c r="AD21">
        <v>432.81</v>
      </c>
      <c r="AE21">
        <v>0</v>
      </c>
      <c r="AF21">
        <v>0</v>
      </c>
      <c r="AG21">
        <v>0</v>
      </c>
      <c r="AH21">
        <v>432.81</v>
      </c>
      <c r="AI21">
        <v>1</v>
      </c>
      <c r="AJ21">
        <v>1</v>
      </c>
      <c r="AK21">
        <v>1</v>
      </c>
      <c r="AL21">
        <v>1</v>
      </c>
      <c r="AM21">
        <v>-2</v>
      </c>
      <c r="AN21">
        <v>0</v>
      </c>
      <c r="AO21">
        <v>0</v>
      </c>
      <c r="AP21">
        <v>1</v>
      </c>
      <c r="AQ21">
        <v>1</v>
      </c>
      <c r="AR21">
        <v>0</v>
      </c>
      <c r="AS21" t="s">
        <v>3</v>
      </c>
      <c r="AT21">
        <v>187.6</v>
      </c>
      <c r="AU21" t="s">
        <v>3</v>
      </c>
      <c r="AV21">
        <v>1</v>
      </c>
      <c r="AW21">
        <v>2</v>
      </c>
      <c r="AX21">
        <v>38182985</v>
      </c>
      <c r="AY21">
        <v>1</v>
      </c>
      <c r="AZ21">
        <v>0</v>
      </c>
      <c r="BA21">
        <v>21</v>
      </c>
      <c r="BB21">
        <v>1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81195.156000000003</v>
      </c>
      <c r="BN21">
        <v>187.6</v>
      </c>
      <c r="BO21">
        <v>0</v>
      </c>
      <c r="BP21">
        <v>1</v>
      </c>
      <c r="BQ21">
        <v>0</v>
      </c>
      <c r="BR21">
        <v>0</v>
      </c>
      <c r="BS21">
        <v>0</v>
      </c>
      <c r="BT21">
        <v>81195.156000000003</v>
      </c>
      <c r="BU21">
        <v>187.6</v>
      </c>
      <c r="BV21">
        <v>0</v>
      </c>
      <c r="BW21">
        <v>1</v>
      </c>
      <c r="CU21">
        <f>ROUND(AT21*Source!I28*AH21*AL21,2)</f>
        <v>8119.52</v>
      </c>
      <c r="CV21">
        <f>ROUND(Y21*Source!I28,7)</f>
        <v>18.760000000000002</v>
      </c>
      <c r="CW21">
        <v>0</v>
      </c>
      <c r="CX21">
        <f>ROUND(Y21*Source!I28,7)</f>
        <v>18.760000000000002</v>
      </c>
      <c r="CY21">
        <f>AD21</f>
        <v>432.81</v>
      </c>
      <c r="CZ21">
        <f>AH21</f>
        <v>432.81</v>
      </c>
      <c r="DA21">
        <f>AL21</f>
        <v>1</v>
      </c>
      <c r="DB21">
        <f t="shared" si="13"/>
        <v>81195.16</v>
      </c>
      <c r="DC21">
        <f t="shared" si="14"/>
        <v>0</v>
      </c>
      <c r="DD21" t="s">
        <v>3</v>
      </c>
      <c r="DE21" t="s">
        <v>3</v>
      </c>
      <c r="DF21">
        <f>ROUND(ROUND(AE21,2)*CX21,2)</f>
        <v>0</v>
      </c>
      <c r="DG21">
        <f>ROUND(ROUND(AF21,2)*CX21,2)</f>
        <v>0</v>
      </c>
      <c r="DH21">
        <f t="shared" si="1"/>
        <v>0</v>
      </c>
      <c r="DI21">
        <f t="shared" si="2"/>
        <v>8119.52</v>
      </c>
      <c r="DJ21">
        <f>DI21</f>
        <v>8119.52</v>
      </c>
      <c r="DK21">
        <v>1</v>
      </c>
      <c r="DL21" t="s">
        <v>3</v>
      </c>
      <c r="DM21">
        <v>0</v>
      </c>
      <c r="DN21" t="s">
        <v>3</v>
      </c>
      <c r="DO21">
        <v>0</v>
      </c>
    </row>
    <row r="22" spans="1:119">
      <c r="A22">
        <f>ROW(Source!A28)</f>
        <v>28</v>
      </c>
      <c r="B22">
        <v>38182922</v>
      </c>
      <c r="C22">
        <v>38182974</v>
      </c>
      <c r="D22">
        <v>20031379</v>
      </c>
      <c r="E22">
        <v>117</v>
      </c>
      <c r="F22">
        <v>1</v>
      </c>
      <c r="G22">
        <v>1</v>
      </c>
      <c r="H22">
        <v>1</v>
      </c>
      <c r="I22" t="s">
        <v>259</v>
      </c>
      <c r="J22" t="s">
        <v>3</v>
      </c>
      <c r="K22" t="s">
        <v>260</v>
      </c>
      <c r="L22">
        <v>1191</v>
      </c>
      <c r="N22">
        <v>1013</v>
      </c>
      <c r="O22" t="s">
        <v>258</v>
      </c>
      <c r="P22" t="s">
        <v>258</v>
      </c>
      <c r="Q22">
        <v>1</v>
      </c>
      <c r="W22">
        <v>0</v>
      </c>
      <c r="X22">
        <v>-1417349443</v>
      </c>
      <c r="Y22">
        <f t="shared" si="12"/>
        <v>12.88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1</v>
      </c>
      <c r="AK22">
        <v>1</v>
      </c>
      <c r="AL22">
        <v>1</v>
      </c>
      <c r="AM22">
        <v>-2</v>
      </c>
      <c r="AN22">
        <v>0</v>
      </c>
      <c r="AO22">
        <v>0</v>
      </c>
      <c r="AP22">
        <v>1</v>
      </c>
      <c r="AQ22">
        <v>1</v>
      </c>
      <c r="AR22">
        <v>0</v>
      </c>
      <c r="AS22" t="s">
        <v>3</v>
      </c>
      <c r="AT22">
        <v>12.88</v>
      </c>
      <c r="AU22" t="s">
        <v>3</v>
      </c>
      <c r="AV22">
        <v>2</v>
      </c>
      <c r="AW22">
        <v>2</v>
      </c>
      <c r="AX22">
        <v>38182986</v>
      </c>
      <c r="AY22">
        <v>1</v>
      </c>
      <c r="AZ22">
        <v>0</v>
      </c>
      <c r="BA22">
        <v>22</v>
      </c>
      <c r="BB22">
        <v>1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V22">
        <v>0</v>
      </c>
      <c r="CW22">
        <v>0</v>
      </c>
      <c r="CX22">
        <f>ROUND(Y22*Source!I28,7)</f>
        <v>1.288</v>
      </c>
      <c r="CY22">
        <f>AD22</f>
        <v>0</v>
      </c>
      <c r="CZ22">
        <f>AH22</f>
        <v>0</v>
      </c>
      <c r="DA22">
        <f>AL22</f>
        <v>1</v>
      </c>
      <c r="DB22">
        <f t="shared" si="13"/>
        <v>0</v>
      </c>
      <c r="DC22">
        <f t="shared" si="14"/>
        <v>0</v>
      </c>
      <c r="DD22" t="s">
        <v>3</v>
      </c>
      <c r="DE22" t="s">
        <v>3</v>
      </c>
      <c r="DF22">
        <f>ROUND(ROUND(AE22,2)*CX22,2)</f>
        <v>0</v>
      </c>
      <c r="DG22">
        <f>ROUND(ROUND(AF22,2)*CX22,2)</f>
        <v>0</v>
      </c>
      <c r="DH22">
        <f t="shared" si="1"/>
        <v>0</v>
      </c>
      <c r="DI22">
        <f t="shared" si="2"/>
        <v>0</v>
      </c>
      <c r="DJ22">
        <f>DI22</f>
        <v>0</v>
      </c>
      <c r="DK22">
        <v>0</v>
      </c>
      <c r="DL22" t="s">
        <v>3</v>
      </c>
      <c r="DM22">
        <v>0</v>
      </c>
      <c r="DN22" t="s">
        <v>3</v>
      </c>
      <c r="DO22">
        <v>0</v>
      </c>
    </row>
    <row r="23" spans="1:119">
      <c r="A23">
        <f>ROW(Source!A28)</f>
        <v>28</v>
      </c>
      <c r="B23">
        <v>38182922</v>
      </c>
      <c r="C23">
        <v>38182974</v>
      </c>
      <c r="D23">
        <v>35345762</v>
      </c>
      <c r="E23">
        <v>1</v>
      </c>
      <c r="F23">
        <v>1</v>
      </c>
      <c r="G23">
        <v>1</v>
      </c>
      <c r="H23">
        <v>2</v>
      </c>
      <c r="I23" t="s">
        <v>267</v>
      </c>
      <c r="J23" t="s">
        <v>268</v>
      </c>
      <c r="K23" t="s">
        <v>269</v>
      </c>
      <c r="L23">
        <v>1368</v>
      </c>
      <c r="N23">
        <v>1011</v>
      </c>
      <c r="O23" t="s">
        <v>66</v>
      </c>
      <c r="P23" t="s">
        <v>66</v>
      </c>
      <c r="Q23">
        <v>1</v>
      </c>
      <c r="W23">
        <v>0</v>
      </c>
      <c r="X23">
        <v>-1505731505</v>
      </c>
      <c r="Y23">
        <f t="shared" si="12"/>
        <v>12.4</v>
      </c>
      <c r="AA23">
        <v>0</v>
      </c>
      <c r="AB23">
        <v>4931.99</v>
      </c>
      <c r="AC23">
        <v>707.35</v>
      </c>
      <c r="AD23">
        <v>0</v>
      </c>
      <c r="AE23">
        <v>0</v>
      </c>
      <c r="AF23">
        <v>4403.5600000000004</v>
      </c>
      <c r="AG23">
        <v>707.35</v>
      </c>
      <c r="AH23">
        <v>0</v>
      </c>
      <c r="AI23">
        <v>1</v>
      </c>
      <c r="AJ23">
        <v>1.1200000000000001</v>
      </c>
      <c r="AK23">
        <v>1</v>
      </c>
      <c r="AL23">
        <v>1</v>
      </c>
      <c r="AM23">
        <v>2</v>
      </c>
      <c r="AN23">
        <v>0</v>
      </c>
      <c r="AO23">
        <v>0</v>
      </c>
      <c r="AP23">
        <v>1</v>
      </c>
      <c r="AQ23">
        <v>1</v>
      </c>
      <c r="AR23">
        <v>0</v>
      </c>
      <c r="AS23" t="s">
        <v>3</v>
      </c>
      <c r="AT23">
        <v>12.4</v>
      </c>
      <c r="AU23" t="s">
        <v>3</v>
      </c>
      <c r="AV23">
        <v>1</v>
      </c>
      <c r="AW23">
        <v>2</v>
      </c>
      <c r="AX23">
        <v>38182987</v>
      </c>
      <c r="AY23">
        <v>1</v>
      </c>
      <c r="AZ23">
        <v>0</v>
      </c>
      <c r="BA23">
        <v>23</v>
      </c>
      <c r="BB23">
        <v>1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54604.144000000008</v>
      </c>
      <c r="BL23">
        <v>8771.1400000000012</v>
      </c>
      <c r="BM23">
        <v>0</v>
      </c>
      <c r="BN23">
        <v>0</v>
      </c>
      <c r="BO23">
        <v>12.4</v>
      </c>
      <c r="BP23">
        <v>1</v>
      </c>
      <c r="BQ23">
        <v>0</v>
      </c>
      <c r="BR23">
        <v>54604.144000000008</v>
      </c>
      <c r="BS23">
        <v>8771.1400000000012</v>
      </c>
      <c r="BT23">
        <v>0</v>
      </c>
      <c r="BU23">
        <v>0</v>
      </c>
      <c r="BV23">
        <v>12.4</v>
      </c>
      <c r="BW23">
        <v>1</v>
      </c>
      <c r="CV23">
        <v>0</v>
      </c>
      <c r="CW23">
        <f>ROUND(Y23*Source!I28*DO23,7)</f>
        <v>1.24</v>
      </c>
      <c r="CX23">
        <f>ROUND(Y23*Source!I28,7)</f>
        <v>1.24</v>
      </c>
      <c r="CY23">
        <f>AB23</f>
        <v>4931.99</v>
      </c>
      <c r="CZ23">
        <f>AF23</f>
        <v>4403.5600000000004</v>
      </c>
      <c r="DA23">
        <f>AJ23</f>
        <v>1.1200000000000001</v>
      </c>
      <c r="DB23">
        <f t="shared" si="13"/>
        <v>54604.14</v>
      </c>
      <c r="DC23">
        <f t="shared" si="14"/>
        <v>8771.14</v>
      </c>
      <c r="DD23" t="s">
        <v>3</v>
      </c>
      <c r="DE23" t="s">
        <v>3</v>
      </c>
      <c r="DF23">
        <f>ROUND(ROUND(AE23,2)*CX23,2)</f>
        <v>0</v>
      </c>
      <c r="DG23">
        <f>ROUND(ROUND(AF23*AJ23,2)*CX23,2)</f>
        <v>6115.67</v>
      </c>
      <c r="DH23">
        <f t="shared" si="1"/>
        <v>877.11</v>
      </c>
      <c r="DI23">
        <f t="shared" si="2"/>
        <v>0</v>
      </c>
      <c r="DJ23">
        <f>DG23+DH23</f>
        <v>6992.78</v>
      </c>
      <c r="DK23">
        <v>0</v>
      </c>
      <c r="DL23" t="s">
        <v>270</v>
      </c>
      <c r="DM23">
        <v>9</v>
      </c>
      <c r="DN23" t="s">
        <v>258</v>
      </c>
      <c r="DO23">
        <v>1</v>
      </c>
    </row>
    <row r="24" spans="1:119">
      <c r="A24">
        <f>ROW(Source!A28)</f>
        <v>28</v>
      </c>
      <c r="B24">
        <v>38182922</v>
      </c>
      <c r="C24">
        <v>38182974</v>
      </c>
      <c r="D24">
        <v>35346009</v>
      </c>
      <c r="E24">
        <v>1</v>
      </c>
      <c r="F24">
        <v>1</v>
      </c>
      <c r="G24">
        <v>1</v>
      </c>
      <c r="H24">
        <v>2</v>
      </c>
      <c r="I24" t="s">
        <v>271</v>
      </c>
      <c r="J24" t="s">
        <v>272</v>
      </c>
      <c r="K24" t="s">
        <v>273</v>
      </c>
      <c r="L24">
        <v>1368</v>
      </c>
      <c r="N24">
        <v>1011</v>
      </c>
      <c r="O24" t="s">
        <v>66</v>
      </c>
      <c r="P24" t="s">
        <v>66</v>
      </c>
      <c r="Q24">
        <v>1</v>
      </c>
      <c r="W24">
        <v>0</v>
      </c>
      <c r="X24">
        <v>-849950259</v>
      </c>
      <c r="Y24">
        <f t="shared" si="12"/>
        <v>0.48</v>
      </c>
      <c r="AA24">
        <v>0</v>
      </c>
      <c r="AB24">
        <v>652.84</v>
      </c>
      <c r="AC24">
        <v>432.81</v>
      </c>
      <c r="AD24">
        <v>0</v>
      </c>
      <c r="AE24">
        <v>0</v>
      </c>
      <c r="AF24">
        <v>652.84</v>
      </c>
      <c r="AG24">
        <v>432.81</v>
      </c>
      <c r="AH24">
        <v>0</v>
      </c>
      <c r="AI24">
        <v>1</v>
      </c>
      <c r="AJ24">
        <v>1</v>
      </c>
      <c r="AK24">
        <v>1</v>
      </c>
      <c r="AL24">
        <v>1</v>
      </c>
      <c r="AM24">
        <v>-2</v>
      </c>
      <c r="AN24">
        <v>0</v>
      </c>
      <c r="AO24">
        <v>0</v>
      </c>
      <c r="AP24">
        <v>1</v>
      </c>
      <c r="AQ24">
        <v>1</v>
      </c>
      <c r="AR24">
        <v>0</v>
      </c>
      <c r="AS24" t="s">
        <v>3</v>
      </c>
      <c r="AT24">
        <v>0.48</v>
      </c>
      <c r="AU24" t="s">
        <v>3</v>
      </c>
      <c r="AV24">
        <v>1</v>
      </c>
      <c r="AW24">
        <v>2</v>
      </c>
      <c r="AX24">
        <v>38182988</v>
      </c>
      <c r="AY24">
        <v>1</v>
      </c>
      <c r="AZ24">
        <v>0</v>
      </c>
      <c r="BA24">
        <v>24</v>
      </c>
      <c r="BB24">
        <v>1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313.36320000000001</v>
      </c>
      <c r="BL24">
        <v>207.74879999999999</v>
      </c>
      <c r="BM24">
        <v>0</v>
      </c>
      <c r="BN24">
        <v>0</v>
      </c>
      <c r="BO24">
        <v>0.48</v>
      </c>
      <c r="BP24">
        <v>1</v>
      </c>
      <c r="BQ24">
        <v>0</v>
      </c>
      <c r="BR24">
        <v>313.36320000000001</v>
      </c>
      <c r="BS24">
        <v>207.74879999999999</v>
      </c>
      <c r="BT24">
        <v>0</v>
      </c>
      <c r="BU24">
        <v>0</v>
      </c>
      <c r="BV24">
        <v>0.48</v>
      </c>
      <c r="BW24">
        <v>1</v>
      </c>
      <c r="CV24">
        <v>0</v>
      </c>
      <c r="CW24">
        <f>ROUND(Y24*Source!I28*DO24,7)</f>
        <v>4.8000000000000001E-2</v>
      </c>
      <c r="CX24">
        <f>ROUND(Y24*Source!I28,7)</f>
        <v>4.8000000000000001E-2</v>
      </c>
      <c r="CY24">
        <f>AB24</f>
        <v>652.84</v>
      </c>
      <c r="CZ24">
        <f>AF24</f>
        <v>652.84</v>
      </c>
      <c r="DA24">
        <f>AJ24</f>
        <v>1</v>
      </c>
      <c r="DB24">
        <f t="shared" si="13"/>
        <v>313.36</v>
      </c>
      <c r="DC24">
        <f t="shared" si="14"/>
        <v>207.75</v>
      </c>
      <c r="DD24" t="s">
        <v>3</v>
      </c>
      <c r="DE24" t="s">
        <v>3</v>
      </c>
      <c r="DF24">
        <f>ROUND(ROUND(AE24,2)*CX24,2)</f>
        <v>0</v>
      </c>
      <c r="DG24">
        <f t="shared" ref="DG24:DG32" si="15">ROUND(ROUND(AF24,2)*CX24,2)</f>
        <v>31.34</v>
      </c>
      <c r="DH24">
        <f t="shared" si="1"/>
        <v>20.77</v>
      </c>
      <c r="DI24">
        <f t="shared" si="2"/>
        <v>0</v>
      </c>
      <c r="DJ24">
        <f>DG24+DH24</f>
        <v>52.11</v>
      </c>
      <c r="DK24">
        <v>1</v>
      </c>
      <c r="DL24" t="s">
        <v>274</v>
      </c>
      <c r="DM24">
        <v>4</v>
      </c>
      <c r="DN24" t="s">
        <v>258</v>
      </c>
      <c r="DO24">
        <v>1</v>
      </c>
    </row>
    <row r="25" spans="1:119">
      <c r="A25">
        <f>ROW(Source!A28)</f>
        <v>28</v>
      </c>
      <c r="B25">
        <v>38182922</v>
      </c>
      <c r="C25">
        <v>38182974</v>
      </c>
      <c r="D25">
        <v>35410630</v>
      </c>
      <c r="E25">
        <v>1</v>
      </c>
      <c r="F25">
        <v>1</v>
      </c>
      <c r="G25">
        <v>1</v>
      </c>
      <c r="H25">
        <v>3</v>
      </c>
      <c r="I25" t="s">
        <v>275</v>
      </c>
      <c r="J25" t="s">
        <v>276</v>
      </c>
      <c r="K25" t="s">
        <v>277</v>
      </c>
      <c r="L25">
        <v>1348</v>
      </c>
      <c r="N25">
        <v>1009</v>
      </c>
      <c r="O25" t="s">
        <v>84</v>
      </c>
      <c r="P25" t="s">
        <v>84</v>
      </c>
      <c r="Q25">
        <v>1000</v>
      </c>
      <c r="W25">
        <v>0</v>
      </c>
      <c r="X25">
        <v>192185020</v>
      </c>
      <c r="Y25">
        <f t="shared" si="12"/>
        <v>0.114</v>
      </c>
      <c r="AA25">
        <v>25474.25</v>
      </c>
      <c r="AB25">
        <v>0</v>
      </c>
      <c r="AC25">
        <v>0</v>
      </c>
      <c r="AD25">
        <v>0</v>
      </c>
      <c r="AE25">
        <v>21588.35</v>
      </c>
      <c r="AF25">
        <v>0</v>
      </c>
      <c r="AG25">
        <v>0</v>
      </c>
      <c r="AH25">
        <v>0</v>
      </c>
      <c r="AI25">
        <v>1.18</v>
      </c>
      <c r="AJ25">
        <v>1</v>
      </c>
      <c r="AK25">
        <v>1</v>
      </c>
      <c r="AL25">
        <v>1</v>
      </c>
      <c r="AM25">
        <v>2</v>
      </c>
      <c r="AN25">
        <v>0</v>
      </c>
      <c r="AO25">
        <v>0</v>
      </c>
      <c r="AP25">
        <v>1</v>
      </c>
      <c r="AQ25">
        <v>1</v>
      </c>
      <c r="AR25">
        <v>0</v>
      </c>
      <c r="AS25" t="s">
        <v>3</v>
      </c>
      <c r="AT25">
        <v>0.114</v>
      </c>
      <c r="AU25" t="s">
        <v>3</v>
      </c>
      <c r="AV25">
        <v>0</v>
      </c>
      <c r="AW25">
        <v>2</v>
      </c>
      <c r="AX25">
        <v>38182989</v>
      </c>
      <c r="AY25">
        <v>1</v>
      </c>
      <c r="AZ25">
        <v>0</v>
      </c>
      <c r="BA25">
        <v>25</v>
      </c>
      <c r="BB25">
        <v>1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2461.0718999999999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1</v>
      </c>
      <c r="BQ25">
        <v>2461.0718999999999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1</v>
      </c>
      <c r="CV25">
        <v>0</v>
      </c>
      <c r="CW25">
        <v>0</v>
      </c>
      <c r="CX25">
        <f>ROUND(Y25*Source!I28,7)</f>
        <v>1.14E-2</v>
      </c>
      <c r="CY25">
        <f t="shared" ref="CY25:CY30" si="16">AA25</f>
        <v>25474.25</v>
      </c>
      <c r="CZ25">
        <f t="shared" ref="CZ25:CZ30" si="17">AE25</f>
        <v>21588.35</v>
      </c>
      <c r="DA25">
        <f t="shared" ref="DA25:DA30" si="18">AI25</f>
        <v>1.18</v>
      </c>
      <c r="DB25">
        <f t="shared" si="13"/>
        <v>2461.0700000000002</v>
      </c>
      <c r="DC25">
        <f t="shared" si="14"/>
        <v>0</v>
      </c>
      <c r="DD25" t="s">
        <v>3</v>
      </c>
      <c r="DE25" t="s">
        <v>3</v>
      </c>
      <c r="DF25">
        <f>ROUND(ROUND(AE25*AI25,2)*CX25,2)</f>
        <v>290.41000000000003</v>
      </c>
      <c r="DG25">
        <f t="shared" si="15"/>
        <v>0</v>
      </c>
      <c r="DH25">
        <f t="shared" si="1"/>
        <v>0</v>
      </c>
      <c r="DI25">
        <f t="shared" si="2"/>
        <v>0</v>
      </c>
      <c r="DJ25">
        <f t="shared" ref="DJ25:DJ30" si="19">DF25</f>
        <v>290.41000000000003</v>
      </c>
      <c r="DK25">
        <v>0</v>
      </c>
      <c r="DL25" t="s">
        <v>3</v>
      </c>
      <c r="DM25">
        <v>0</v>
      </c>
      <c r="DN25" t="s">
        <v>3</v>
      </c>
      <c r="DO25">
        <v>0</v>
      </c>
    </row>
    <row r="26" spans="1:119">
      <c r="A26">
        <f>ROW(Source!A28)</f>
        <v>28</v>
      </c>
      <c r="B26">
        <v>38182922</v>
      </c>
      <c r="C26">
        <v>38182974</v>
      </c>
      <c r="D26">
        <v>35412767</v>
      </c>
      <c r="E26">
        <v>1</v>
      </c>
      <c r="F26">
        <v>1</v>
      </c>
      <c r="G26">
        <v>1</v>
      </c>
      <c r="H26">
        <v>3</v>
      </c>
      <c r="I26" t="s">
        <v>278</v>
      </c>
      <c r="J26" t="s">
        <v>279</v>
      </c>
      <c r="K26" t="s">
        <v>280</v>
      </c>
      <c r="L26">
        <v>1339</v>
      </c>
      <c r="N26">
        <v>1007</v>
      </c>
      <c r="O26" t="s">
        <v>113</v>
      </c>
      <c r="P26" t="s">
        <v>113</v>
      </c>
      <c r="Q26">
        <v>1</v>
      </c>
      <c r="W26">
        <v>0</v>
      </c>
      <c r="X26">
        <v>1964556667</v>
      </c>
      <c r="Y26">
        <f t="shared" si="12"/>
        <v>78.5</v>
      </c>
      <c r="AA26">
        <v>26.07</v>
      </c>
      <c r="AB26">
        <v>0</v>
      </c>
      <c r="AC26">
        <v>0</v>
      </c>
      <c r="AD26">
        <v>0</v>
      </c>
      <c r="AE26">
        <v>35.71</v>
      </c>
      <c r="AF26">
        <v>0</v>
      </c>
      <c r="AG26">
        <v>0</v>
      </c>
      <c r="AH26">
        <v>0</v>
      </c>
      <c r="AI26">
        <v>0.73</v>
      </c>
      <c r="AJ26">
        <v>1</v>
      </c>
      <c r="AK26">
        <v>1</v>
      </c>
      <c r="AL26">
        <v>1</v>
      </c>
      <c r="AM26">
        <v>2</v>
      </c>
      <c r="AN26">
        <v>0</v>
      </c>
      <c r="AO26">
        <v>0</v>
      </c>
      <c r="AP26">
        <v>1</v>
      </c>
      <c r="AQ26">
        <v>1</v>
      </c>
      <c r="AR26">
        <v>0</v>
      </c>
      <c r="AS26" t="s">
        <v>3</v>
      </c>
      <c r="AT26">
        <v>78.5</v>
      </c>
      <c r="AU26" t="s">
        <v>3</v>
      </c>
      <c r="AV26">
        <v>0</v>
      </c>
      <c r="AW26">
        <v>2</v>
      </c>
      <c r="AX26">
        <v>38182990</v>
      </c>
      <c r="AY26">
        <v>1</v>
      </c>
      <c r="AZ26">
        <v>0</v>
      </c>
      <c r="BA26">
        <v>26</v>
      </c>
      <c r="BB26">
        <v>1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2803.2350000000001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1</v>
      </c>
      <c r="BQ26">
        <v>2803.2350000000001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1</v>
      </c>
      <c r="CV26">
        <v>0</v>
      </c>
      <c r="CW26">
        <v>0</v>
      </c>
      <c r="CX26">
        <f>ROUND(Y26*Source!I28,7)</f>
        <v>7.85</v>
      </c>
      <c r="CY26">
        <f t="shared" si="16"/>
        <v>26.07</v>
      </c>
      <c r="CZ26">
        <f t="shared" si="17"/>
        <v>35.71</v>
      </c>
      <c r="DA26">
        <f t="shared" si="18"/>
        <v>0.73</v>
      </c>
      <c r="DB26">
        <f t="shared" si="13"/>
        <v>2803.24</v>
      </c>
      <c r="DC26">
        <f t="shared" si="14"/>
        <v>0</v>
      </c>
      <c r="DD26" t="s">
        <v>3</v>
      </c>
      <c r="DE26" t="s">
        <v>3</v>
      </c>
      <c r="DF26">
        <f>ROUND(ROUND(AE26*AI26,2)*CX26,2)</f>
        <v>204.65</v>
      </c>
      <c r="DG26">
        <f t="shared" si="15"/>
        <v>0</v>
      </c>
      <c r="DH26">
        <f t="shared" si="1"/>
        <v>0</v>
      </c>
      <c r="DI26">
        <f t="shared" si="2"/>
        <v>0</v>
      </c>
      <c r="DJ26">
        <f t="shared" si="19"/>
        <v>204.65</v>
      </c>
      <c r="DK26">
        <v>0</v>
      </c>
      <c r="DL26" t="s">
        <v>3</v>
      </c>
      <c r="DM26">
        <v>0</v>
      </c>
      <c r="DN26" t="s">
        <v>3</v>
      </c>
      <c r="DO26">
        <v>0</v>
      </c>
    </row>
    <row r="27" spans="1:119">
      <c r="A27">
        <f>ROW(Source!A28)</f>
        <v>28</v>
      </c>
      <c r="B27">
        <v>38182922</v>
      </c>
      <c r="C27">
        <v>38182974</v>
      </c>
      <c r="D27">
        <v>35413250</v>
      </c>
      <c r="E27">
        <v>1</v>
      </c>
      <c r="F27">
        <v>1</v>
      </c>
      <c r="G27">
        <v>1</v>
      </c>
      <c r="H27">
        <v>3</v>
      </c>
      <c r="I27" t="s">
        <v>281</v>
      </c>
      <c r="J27" t="s">
        <v>282</v>
      </c>
      <c r="K27" t="s">
        <v>283</v>
      </c>
      <c r="L27">
        <v>1346</v>
      </c>
      <c r="N27">
        <v>1009</v>
      </c>
      <c r="O27" t="s">
        <v>284</v>
      </c>
      <c r="P27" t="s">
        <v>284</v>
      </c>
      <c r="Q27">
        <v>1</v>
      </c>
      <c r="W27">
        <v>0</v>
      </c>
      <c r="X27">
        <v>219322737</v>
      </c>
      <c r="Y27">
        <f t="shared" si="12"/>
        <v>84</v>
      </c>
      <c r="AA27">
        <v>207.78</v>
      </c>
      <c r="AB27">
        <v>0</v>
      </c>
      <c r="AC27">
        <v>0</v>
      </c>
      <c r="AD27">
        <v>0</v>
      </c>
      <c r="AE27">
        <v>152.78</v>
      </c>
      <c r="AF27">
        <v>0</v>
      </c>
      <c r="AG27">
        <v>0</v>
      </c>
      <c r="AH27">
        <v>0</v>
      </c>
      <c r="AI27">
        <v>1.36</v>
      </c>
      <c r="AJ27">
        <v>1</v>
      </c>
      <c r="AK27">
        <v>1</v>
      </c>
      <c r="AL27">
        <v>1</v>
      </c>
      <c r="AM27">
        <v>2</v>
      </c>
      <c r="AN27">
        <v>0</v>
      </c>
      <c r="AO27">
        <v>0</v>
      </c>
      <c r="AP27">
        <v>1</v>
      </c>
      <c r="AQ27">
        <v>1</v>
      </c>
      <c r="AR27">
        <v>0</v>
      </c>
      <c r="AS27" t="s">
        <v>3</v>
      </c>
      <c r="AT27">
        <v>84</v>
      </c>
      <c r="AU27" t="s">
        <v>3</v>
      </c>
      <c r="AV27">
        <v>0</v>
      </c>
      <c r="AW27">
        <v>2</v>
      </c>
      <c r="AX27">
        <v>38182991</v>
      </c>
      <c r="AY27">
        <v>1</v>
      </c>
      <c r="AZ27">
        <v>0</v>
      </c>
      <c r="BA27">
        <v>27</v>
      </c>
      <c r="BB27">
        <v>1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12833.52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1</v>
      </c>
      <c r="BQ27">
        <v>12833.52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1</v>
      </c>
      <c r="CV27">
        <v>0</v>
      </c>
      <c r="CW27">
        <v>0</v>
      </c>
      <c r="CX27">
        <f>ROUND(Y27*Source!I28,7)</f>
        <v>8.4</v>
      </c>
      <c r="CY27">
        <f t="shared" si="16"/>
        <v>207.78</v>
      </c>
      <c r="CZ27">
        <f t="shared" si="17"/>
        <v>152.78</v>
      </c>
      <c r="DA27">
        <f t="shared" si="18"/>
        <v>1.36</v>
      </c>
      <c r="DB27">
        <f t="shared" si="13"/>
        <v>12833.52</v>
      </c>
      <c r="DC27">
        <f t="shared" si="14"/>
        <v>0</v>
      </c>
      <c r="DD27" t="s">
        <v>3</v>
      </c>
      <c r="DE27" t="s">
        <v>3</v>
      </c>
      <c r="DF27">
        <f>ROUND(ROUND(AE27*AI27,2)*CX27,2)</f>
        <v>1745.35</v>
      </c>
      <c r="DG27">
        <f t="shared" si="15"/>
        <v>0</v>
      </c>
      <c r="DH27">
        <f t="shared" si="1"/>
        <v>0</v>
      </c>
      <c r="DI27">
        <f t="shared" si="2"/>
        <v>0</v>
      </c>
      <c r="DJ27">
        <f t="shared" si="19"/>
        <v>1745.35</v>
      </c>
      <c r="DK27">
        <v>0</v>
      </c>
      <c r="DL27" t="s">
        <v>3</v>
      </c>
      <c r="DM27">
        <v>0</v>
      </c>
      <c r="DN27" t="s">
        <v>3</v>
      </c>
      <c r="DO27">
        <v>0</v>
      </c>
    </row>
    <row r="28" spans="1:119">
      <c r="A28">
        <f>ROW(Source!A28)</f>
        <v>28</v>
      </c>
      <c r="B28">
        <v>38182922</v>
      </c>
      <c r="C28">
        <v>38182974</v>
      </c>
      <c r="D28">
        <v>35416145</v>
      </c>
      <c r="E28">
        <v>1</v>
      </c>
      <c r="F28">
        <v>1</v>
      </c>
      <c r="G28">
        <v>1</v>
      </c>
      <c r="H28">
        <v>3</v>
      </c>
      <c r="I28" t="s">
        <v>285</v>
      </c>
      <c r="J28" t="s">
        <v>286</v>
      </c>
      <c r="K28" t="s">
        <v>287</v>
      </c>
      <c r="L28">
        <v>1348</v>
      </c>
      <c r="N28">
        <v>1009</v>
      </c>
      <c r="O28" t="s">
        <v>84</v>
      </c>
      <c r="P28" t="s">
        <v>84</v>
      </c>
      <c r="Q28">
        <v>1000</v>
      </c>
      <c r="W28">
        <v>0</v>
      </c>
      <c r="X28">
        <v>269049756</v>
      </c>
      <c r="Y28">
        <f t="shared" si="12"/>
        <v>0.2656</v>
      </c>
      <c r="AA28">
        <v>9073.61</v>
      </c>
      <c r="AB28">
        <v>0</v>
      </c>
      <c r="AC28">
        <v>0</v>
      </c>
      <c r="AD28">
        <v>0</v>
      </c>
      <c r="AE28">
        <v>4800.8500000000004</v>
      </c>
      <c r="AF28">
        <v>0</v>
      </c>
      <c r="AG28">
        <v>0</v>
      </c>
      <c r="AH28">
        <v>0</v>
      </c>
      <c r="AI28">
        <v>1.89</v>
      </c>
      <c r="AJ28">
        <v>1</v>
      </c>
      <c r="AK28">
        <v>1</v>
      </c>
      <c r="AL28">
        <v>1</v>
      </c>
      <c r="AM28">
        <v>2</v>
      </c>
      <c r="AN28">
        <v>0</v>
      </c>
      <c r="AO28">
        <v>0</v>
      </c>
      <c r="AP28">
        <v>1</v>
      </c>
      <c r="AQ28">
        <v>1</v>
      </c>
      <c r="AR28">
        <v>0</v>
      </c>
      <c r="AS28" t="s">
        <v>3</v>
      </c>
      <c r="AT28">
        <v>0.2656</v>
      </c>
      <c r="AU28" t="s">
        <v>3</v>
      </c>
      <c r="AV28">
        <v>0</v>
      </c>
      <c r="AW28">
        <v>2</v>
      </c>
      <c r="AX28">
        <v>38182992</v>
      </c>
      <c r="AY28">
        <v>1</v>
      </c>
      <c r="AZ28">
        <v>0</v>
      </c>
      <c r="BA28">
        <v>28</v>
      </c>
      <c r="BB28">
        <v>1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1275.1057600000001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1</v>
      </c>
      <c r="BQ28">
        <v>1275.1057600000001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1</v>
      </c>
      <c r="CV28">
        <v>0</v>
      </c>
      <c r="CW28">
        <v>0</v>
      </c>
      <c r="CX28">
        <f>ROUND(Y28*Source!I28,7)</f>
        <v>2.656E-2</v>
      </c>
      <c r="CY28">
        <f t="shared" si="16"/>
        <v>9073.61</v>
      </c>
      <c r="CZ28">
        <f t="shared" si="17"/>
        <v>4800.8500000000004</v>
      </c>
      <c r="DA28">
        <f t="shared" si="18"/>
        <v>1.89</v>
      </c>
      <c r="DB28">
        <f t="shared" si="13"/>
        <v>1275.1099999999999</v>
      </c>
      <c r="DC28">
        <f t="shared" si="14"/>
        <v>0</v>
      </c>
      <c r="DD28" t="s">
        <v>3</v>
      </c>
      <c r="DE28" t="s">
        <v>3</v>
      </c>
      <c r="DF28">
        <f>ROUND(ROUND(AE28*AI28,2)*CX28,2)</f>
        <v>241</v>
      </c>
      <c r="DG28">
        <f t="shared" si="15"/>
        <v>0</v>
      </c>
      <c r="DH28">
        <f t="shared" si="1"/>
        <v>0</v>
      </c>
      <c r="DI28">
        <f t="shared" si="2"/>
        <v>0</v>
      </c>
      <c r="DJ28">
        <f t="shared" si="19"/>
        <v>241</v>
      </c>
      <c r="DK28">
        <v>0</v>
      </c>
      <c r="DL28" t="s">
        <v>3</v>
      </c>
      <c r="DM28">
        <v>0</v>
      </c>
      <c r="DN28" t="s">
        <v>3</v>
      </c>
      <c r="DO28">
        <v>0</v>
      </c>
    </row>
    <row r="29" spans="1:119">
      <c r="A29">
        <f>ROW(Source!A28)</f>
        <v>28</v>
      </c>
      <c r="B29">
        <v>38182922</v>
      </c>
      <c r="C29">
        <v>38182974</v>
      </c>
      <c r="D29">
        <v>35416737</v>
      </c>
      <c r="E29">
        <v>1</v>
      </c>
      <c r="F29">
        <v>1</v>
      </c>
      <c r="G29">
        <v>1</v>
      </c>
      <c r="H29">
        <v>3</v>
      </c>
      <c r="I29" t="s">
        <v>288</v>
      </c>
      <c r="J29" t="s">
        <v>289</v>
      </c>
      <c r="K29" t="s">
        <v>290</v>
      </c>
      <c r="L29">
        <v>1339</v>
      </c>
      <c r="N29">
        <v>1007</v>
      </c>
      <c r="O29" t="s">
        <v>113</v>
      </c>
      <c r="P29" t="s">
        <v>113</v>
      </c>
      <c r="Q29">
        <v>1</v>
      </c>
      <c r="W29">
        <v>0</v>
      </c>
      <c r="X29">
        <v>-2089581116</v>
      </c>
      <c r="Y29">
        <f t="shared" si="12"/>
        <v>0.66</v>
      </c>
      <c r="AA29">
        <v>5769.31</v>
      </c>
      <c r="AB29">
        <v>0</v>
      </c>
      <c r="AC29">
        <v>0</v>
      </c>
      <c r="AD29">
        <v>0</v>
      </c>
      <c r="AE29">
        <v>5769.31</v>
      </c>
      <c r="AF29">
        <v>0</v>
      </c>
      <c r="AG29">
        <v>0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-2</v>
      </c>
      <c r="AN29">
        <v>0</v>
      </c>
      <c r="AO29">
        <v>0</v>
      </c>
      <c r="AP29">
        <v>1</v>
      </c>
      <c r="AQ29">
        <v>1</v>
      </c>
      <c r="AR29">
        <v>0</v>
      </c>
      <c r="AS29" t="s">
        <v>3</v>
      </c>
      <c r="AT29">
        <v>0.66</v>
      </c>
      <c r="AU29" t="s">
        <v>3</v>
      </c>
      <c r="AV29">
        <v>0</v>
      </c>
      <c r="AW29">
        <v>2</v>
      </c>
      <c r="AX29">
        <v>38182993</v>
      </c>
      <c r="AY29">
        <v>1</v>
      </c>
      <c r="AZ29">
        <v>0</v>
      </c>
      <c r="BA29">
        <v>29</v>
      </c>
      <c r="BB29">
        <v>1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3807.7446000000004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1</v>
      </c>
      <c r="BQ29">
        <v>3807.7446000000004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1</v>
      </c>
      <c r="CV29">
        <v>0</v>
      </c>
      <c r="CW29">
        <v>0</v>
      </c>
      <c r="CX29">
        <f>ROUND(Y29*Source!I28,7)</f>
        <v>6.6000000000000003E-2</v>
      </c>
      <c r="CY29">
        <f t="shared" si="16"/>
        <v>5769.31</v>
      </c>
      <c r="CZ29">
        <f t="shared" si="17"/>
        <v>5769.31</v>
      </c>
      <c r="DA29">
        <f t="shared" si="18"/>
        <v>1</v>
      </c>
      <c r="DB29">
        <f t="shared" si="13"/>
        <v>3807.74</v>
      </c>
      <c r="DC29">
        <f t="shared" si="14"/>
        <v>0</v>
      </c>
      <c r="DD29" t="s">
        <v>3</v>
      </c>
      <c r="DE29" t="s">
        <v>3</v>
      </c>
      <c r="DF29">
        <f t="shared" ref="DF29:DF39" si="20">ROUND(ROUND(AE29,2)*CX29,2)</f>
        <v>380.77</v>
      </c>
      <c r="DG29">
        <f t="shared" si="15"/>
        <v>0</v>
      </c>
      <c r="DH29">
        <f t="shared" si="1"/>
        <v>0</v>
      </c>
      <c r="DI29">
        <f t="shared" si="2"/>
        <v>0</v>
      </c>
      <c r="DJ29">
        <f t="shared" si="19"/>
        <v>380.77</v>
      </c>
      <c r="DK29">
        <v>1</v>
      </c>
      <c r="DL29" t="s">
        <v>3</v>
      </c>
      <c r="DM29">
        <v>0</v>
      </c>
      <c r="DN29" t="s">
        <v>3</v>
      </c>
      <c r="DO29">
        <v>0</v>
      </c>
    </row>
    <row r="30" spans="1:119">
      <c r="A30">
        <f>ROW(Source!A28)</f>
        <v>28</v>
      </c>
      <c r="B30">
        <v>38182922</v>
      </c>
      <c r="C30">
        <v>38182974</v>
      </c>
      <c r="D30">
        <v>35340023</v>
      </c>
      <c r="E30">
        <v>117</v>
      </c>
      <c r="F30">
        <v>1</v>
      </c>
      <c r="G30">
        <v>1</v>
      </c>
      <c r="H30">
        <v>3</v>
      </c>
      <c r="I30" t="s">
        <v>41</v>
      </c>
      <c r="J30" t="s">
        <v>3</v>
      </c>
      <c r="K30" t="s">
        <v>42</v>
      </c>
      <c r="L30">
        <v>1301</v>
      </c>
      <c r="N30">
        <v>1003</v>
      </c>
      <c r="O30" t="s">
        <v>43</v>
      </c>
      <c r="P30" t="s">
        <v>43</v>
      </c>
      <c r="Q30">
        <v>1</v>
      </c>
      <c r="W30">
        <v>0</v>
      </c>
      <c r="X30">
        <v>1219364707</v>
      </c>
      <c r="Y30">
        <f t="shared" si="12"/>
        <v>99.7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1</v>
      </c>
      <c r="AK30">
        <v>1</v>
      </c>
      <c r="AL30">
        <v>1</v>
      </c>
      <c r="AM30">
        <v>0</v>
      </c>
      <c r="AN30">
        <v>0</v>
      </c>
      <c r="AO30">
        <v>0</v>
      </c>
      <c r="AP30">
        <v>1</v>
      </c>
      <c r="AQ30">
        <v>0</v>
      </c>
      <c r="AR30">
        <v>0</v>
      </c>
      <c r="AS30" t="s">
        <v>3</v>
      </c>
      <c r="AT30">
        <v>99.7</v>
      </c>
      <c r="AU30" t="s">
        <v>3</v>
      </c>
      <c r="AV30">
        <v>0</v>
      </c>
      <c r="AW30">
        <v>2</v>
      </c>
      <c r="AX30">
        <v>38182994</v>
      </c>
      <c r="AY30">
        <v>1</v>
      </c>
      <c r="AZ30">
        <v>0</v>
      </c>
      <c r="BA30">
        <v>30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CV30">
        <v>0</v>
      </c>
      <c r="CW30">
        <v>0</v>
      </c>
      <c r="CX30">
        <f>ROUND(Y30*Source!I28,7)</f>
        <v>9.9700000000000006</v>
      </c>
      <c r="CY30">
        <f t="shared" si="16"/>
        <v>0</v>
      </c>
      <c r="CZ30">
        <f t="shared" si="17"/>
        <v>0</v>
      </c>
      <c r="DA30">
        <f t="shared" si="18"/>
        <v>1</v>
      </c>
      <c r="DB30">
        <f t="shared" si="13"/>
        <v>0</v>
      </c>
      <c r="DC30">
        <f t="shared" si="14"/>
        <v>0</v>
      </c>
      <c r="DD30" t="s">
        <v>3</v>
      </c>
      <c r="DE30" t="s">
        <v>3</v>
      </c>
      <c r="DF30">
        <f t="shared" si="20"/>
        <v>0</v>
      </c>
      <c r="DG30">
        <f t="shared" si="15"/>
        <v>0</v>
      </c>
      <c r="DH30">
        <f t="shared" si="1"/>
        <v>0</v>
      </c>
      <c r="DI30">
        <f t="shared" si="2"/>
        <v>0</v>
      </c>
      <c r="DJ30">
        <f t="shared" si="19"/>
        <v>0</v>
      </c>
      <c r="DK30">
        <v>0</v>
      </c>
      <c r="DL30" t="s">
        <v>3</v>
      </c>
      <c r="DM30">
        <v>0</v>
      </c>
      <c r="DN30" t="s">
        <v>3</v>
      </c>
      <c r="DO30">
        <v>0</v>
      </c>
    </row>
    <row r="31" spans="1:119">
      <c r="A31">
        <f>ROW(Source!A30)</f>
        <v>30</v>
      </c>
      <c r="B31">
        <v>38182922</v>
      </c>
      <c r="C31">
        <v>38183701</v>
      </c>
      <c r="D31">
        <v>35338624</v>
      </c>
      <c r="E31">
        <v>117</v>
      </c>
      <c r="F31">
        <v>1</v>
      </c>
      <c r="G31">
        <v>1</v>
      </c>
      <c r="H31">
        <v>1</v>
      </c>
      <c r="I31" t="s">
        <v>259</v>
      </c>
      <c r="J31" t="s">
        <v>3</v>
      </c>
      <c r="K31" t="s">
        <v>260</v>
      </c>
      <c r="L31">
        <v>1191</v>
      </c>
      <c r="N31">
        <v>1013</v>
      </c>
      <c r="O31" t="s">
        <v>258</v>
      </c>
      <c r="P31" t="s">
        <v>258</v>
      </c>
      <c r="Q31">
        <v>1</v>
      </c>
      <c r="W31">
        <v>0</v>
      </c>
      <c r="X31">
        <v>-1417349443</v>
      </c>
      <c r="Y31">
        <f t="shared" si="12"/>
        <v>0.9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-2</v>
      </c>
      <c r="AN31">
        <v>0</v>
      </c>
      <c r="AO31">
        <v>0</v>
      </c>
      <c r="AP31">
        <v>0</v>
      </c>
      <c r="AQ31">
        <v>1</v>
      </c>
      <c r="AR31">
        <v>0</v>
      </c>
      <c r="AS31" t="s">
        <v>3</v>
      </c>
      <c r="AT31">
        <v>0.9</v>
      </c>
      <c r="AU31" t="s">
        <v>3</v>
      </c>
      <c r="AV31">
        <v>2</v>
      </c>
      <c r="AW31">
        <v>2</v>
      </c>
      <c r="AX31">
        <v>38183702</v>
      </c>
      <c r="AY31">
        <v>1</v>
      </c>
      <c r="AZ31">
        <v>0</v>
      </c>
      <c r="BA31">
        <v>31</v>
      </c>
      <c r="BB31">
        <v>1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CV31">
        <v>0</v>
      </c>
      <c r="CW31">
        <v>0</v>
      </c>
      <c r="CX31">
        <f>ROUND(Y31*Source!I30,7)</f>
        <v>0.09</v>
      </c>
      <c r="CY31">
        <f>AD31</f>
        <v>0</v>
      </c>
      <c r="CZ31">
        <f>AH31</f>
        <v>0</v>
      </c>
      <c r="DA31">
        <f>AL31</f>
        <v>1</v>
      </c>
      <c r="DB31">
        <f t="shared" si="13"/>
        <v>0</v>
      </c>
      <c r="DC31">
        <f t="shared" si="14"/>
        <v>0</v>
      </c>
      <c r="DD31" t="s">
        <v>3</v>
      </c>
      <c r="DE31" t="s">
        <v>3</v>
      </c>
      <c r="DF31">
        <f t="shared" si="20"/>
        <v>0</v>
      </c>
      <c r="DG31">
        <f t="shared" si="15"/>
        <v>0</v>
      </c>
      <c r="DH31">
        <f t="shared" si="1"/>
        <v>0</v>
      </c>
      <c r="DI31">
        <f t="shared" si="2"/>
        <v>0</v>
      </c>
      <c r="DJ31">
        <f>DI31</f>
        <v>0</v>
      </c>
      <c r="DK31">
        <v>0</v>
      </c>
      <c r="DL31" t="s">
        <v>3</v>
      </c>
      <c r="DM31">
        <v>0</v>
      </c>
      <c r="DN31" t="s">
        <v>3</v>
      </c>
      <c r="DO31">
        <v>0</v>
      </c>
    </row>
    <row r="32" spans="1:119">
      <c r="A32">
        <f>ROW(Source!A30)</f>
        <v>30</v>
      </c>
      <c r="B32">
        <v>38182922</v>
      </c>
      <c r="C32">
        <v>38183701</v>
      </c>
      <c r="D32">
        <v>35344687</v>
      </c>
      <c r="E32">
        <v>1</v>
      </c>
      <c r="F32">
        <v>1</v>
      </c>
      <c r="G32">
        <v>1</v>
      </c>
      <c r="H32">
        <v>2</v>
      </c>
      <c r="I32" t="s">
        <v>69</v>
      </c>
      <c r="J32" t="s">
        <v>71</v>
      </c>
      <c r="K32" t="s">
        <v>70</v>
      </c>
      <c r="L32">
        <v>1368</v>
      </c>
      <c r="N32">
        <v>1011</v>
      </c>
      <c r="O32" t="s">
        <v>66</v>
      </c>
      <c r="P32" t="s">
        <v>66</v>
      </c>
      <c r="Q32">
        <v>1</v>
      </c>
      <c r="W32">
        <v>0</v>
      </c>
      <c r="X32">
        <v>626856282</v>
      </c>
      <c r="Y32">
        <f t="shared" si="12"/>
        <v>0.9</v>
      </c>
      <c r="AA32">
        <v>0</v>
      </c>
      <c r="AB32">
        <v>5605.48</v>
      </c>
      <c r="AC32">
        <v>707.35</v>
      </c>
      <c r="AD32">
        <v>0</v>
      </c>
      <c r="AE32">
        <v>0</v>
      </c>
      <c r="AF32">
        <v>5605.48</v>
      </c>
      <c r="AG32">
        <v>707.35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-2</v>
      </c>
      <c r="AN32">
        <v>0</v>
      </c>
      <c r="AO32">
        <v>0</v>
      </c>
      <c r="AP32">
        <v>0</v>
      </c>
      <c r="AQ32">
        <v>1</v>
      </c>
      <c r="AR32">
        <v>0</v>
      </c>
      <c r="AS32" t="s">
        <v>3</v>
      </c>
      <c r="AT32">
        <v>0.9</v>
      </c>
      <c r="AU32" t="s">
        <v>3</v>
      </c>
      <c r="AV32">
        <v>1</v>
      </c>
      <c r="AW32">
        <v>2</v>
      </c>
      <c r="AX32">
        <v>38183717</v>
      </c>
      <c r="AY32">
        <v>1</v>
      </c>
      <c r="AZ32">
        <v>0</v>
      </c>
      <c r="BA32">
        <v>32</v>
      </c>
      <c r="BB32">
        <v>1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5044.9319999999998</v>
      </c>
      <c r="BL32">
        <v>636.61500000000001</v>
      </c>
      <c r="BM32">
        <v>0</v>
      </c>
      <c r="BN32">
        <v>0</v>
      </c>
      <c r="BO32">
        <v>0.9</v>
      </c>
      <c r="BP32">
        <v>1</v>
      </c>
      <c r="BQ32">
        <v>0</v>
      </c>
      <c r="BR32">
        <v>5044.9319999999998</v>
      </c>
      <c r="BS32">
        <v>636.61500000000001</v>
      </c>
      <c r="BT32">
        <v>0</v>
      </c>
      <c r="BU32">
        <v>0</v>
      </c>
      <c r="BV32">
        <v>0.9</v>
      </c>
      <c r="BW32">
        <v>1</v>
      </c>
      <c r="CV32">
        <v>0</v>
      </c>
      <c r="CW32">
        <f>ROUND(Y32*Source!I30*DO32,7)</f>
        <v>0.09</v>
      </c>
      <c r="CX32">
        <f>ROUND(Y32*Source!I30,7)</f>
        <v>0.09</v>
      </c>
      <c r="CY32">
        <f>AB32</f>
        <v>5605.48</v>
      </c>
      <c r="CZ32">
        <f>AF32</f>
        <v>5605.48</v>
      </c>
      <c r="DA32">
        <f>AJ32</f>
        <v>1</v>
      </c>
      <c r="DB32">
        <f t="shared" si="13"/>
        <v>5044.93</v>
      </c>
      <c r="DC32">
        <f t="shared" si="14"/>
        <v>636.62</v>
      </c>
      <c r="DD32" t="s">
        <v>3</v>
      </c>
      <c r="DE32" t="s">
        <v>3</v>
      </c>
      <c r="DF32">
        <f t="shared" si="20"/>
        <v>0</v>
      </c>
      <c r="DG32">
        <f t="shared" si="15"/>
        <v>504.49</v>
      </c>
      <c r="DH32">
        <f t="shared" si="1"/>
        <v>63.66</v>
      </c>
      <c r="DI32">
        <f t="shared" si="2"/>
        <v>0</v>
      </c>
      <c r="DJ32">
        <f>DG32+DH32</f>
        <v>568.15</v>
      </c>
      <c r="DK32">
        <v>1</v>
      </c>
      <c r="DL32" t="s">
        <v>270</v>
      </c>
      <c r="DM32">
        <v>9</v>
      </c>
      <c r="DN32" t="s">
        <v>258</v>
      </c>
      <c r="DO32">
        <v>1</v>
      </c>
    </row>
    <row r="33" spans="1:119">
      <c r="A33">
        <f>ROW(Source!A30)</f>
        <v>30</v>
      </c>
      <c r="B33">
        <v>38182922</v>
      </c>
      <c r="C33">
        <v>38183701</v>
      </c>
      <c r="D33">
        <v>35344734</v>
      </c>
      <c r="E33">
        <v>1</v>
      </c>
      <c r="F33">
        <v>1</v>
      </c>
      <c r="G33">
        <v>1</v>
      </c>
      <c r="H33">
        <v>2</v>
      </c>
      <c r="I33" t="s">
        <v>64</v>
      </c>
      <c r="J33" t="s">
        <v>67</v>
      </c>
      <c r="K33" t="s">
        <v>65</v>
      </c>
      <c r="L33">
        <v>1368</v>
      </c>
      <c r="N33">
        <v>1011</v>
      </c>
      <c r="O33" t="s">
        <v>66</v>
      </c>
      <c r="P33" t="s">
        <v>66</v>
      </c>
      <c r="Q33">
        <v>1</v>
      </c>
      <c r="W33">
        <v>0</v>
      </c>
      <c r="X33">
        <v>-598721075</v>
      </c>
      <c r="Y33">
        <f t="shared" si="12"/>
        <v>0.9</v>
      </c>
      <c r="AA33">
        <v>0</v>
      </c>
      <c r="AB33">
        <v>1453.51</v>
      </c>
      <c r="AC33">
        <v>497.4</v>
      </c>
      <c r="AD33">
        <v>0</v>
      </c>
      <c r="AE33">
        <v>0</v>
      </c>
      <c r="AF33">
        <v>1162.81</v>
      </c>
      <c r="AG33">
        <v>497.4</v>
      </c>
      <c r="AH33">
        <v>0</v>
      </c>
      <c r="AI33">
        <v>1</v>
      </c>
      <c r="AJ33">
        <v>1.25</v>
      </c>
      <c r="AK33">
        <v>1</v>
      </c>
      <c r="AL33">
        <v>1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 t="s">
        <v>3</v>
      </c>
      <c r="AT33">
        <v>0.9</v>
      </c>
      <c r="AU33" t="s">
        <v>3</v>
      </c>
      <c r="AV33">
        <v>1</v>
      </c>
      <c r="AW33">
        <v>1</v>
      </c>
      <c r="AX33">
        <v>-1</v>
      </c>
      <c r="AY33">
        <v>0</v>
      </c>
      <c r="AZ33">
        <v>0</v>
      </c>
      <c r="BA33" t="s">
        <v>3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CV33">
        <v>0</v>
      </c>
      <c r="CW33">
        <f>ROUND(Y33*Source!I30*DO33,7)</f>
        <v>0.09</v>
      </c>
      <c r="CX33">
        <f>ROUND(Y33*Source!I30,7)</f>
        <v>0.09</v>
      </c>
      <c r="CY33">
        <f>AB33</f>
        <v>1453.51</v>
      </c>
      <c r="CZ33">
        <f>AF33</f>
        <v>1162.81</v>
      </c>
      <c r="DA33">
        <f>AJ33</f>
        <v>1.25</v>
      </c>
      <c r="DB33">
        <f t="shared" si="13"/>
        <v>1046.53</v>
      </c>
      <c r="DC33">
        <f t="shared" si="14"/>
        <v>447.66</v>
      </c>
      <c r="DD33" t="s">
        <v>3</v>
      </c>
      <c r="DE33" t="s">
        <v>3</v>
      </c>
      <c r="DF33">
        <f t="shared" si="20"/>
        <v>0</v>
      </c>
      <c r="DG33">
        <f>ROUND(ROUND(AF33*AJ33,2)*CX33,2)</f>
        <v>130.82</v>
      </c>
      <c r="DH33">
        <f t="shared" ref="DH33:DH56" si="21">ROUND(ROUND(AG33,2)*CX33,2)</f>
        <v>44.77</v>
      </c>
      <c r="DI33">
        <f t="shared" ref="DI33:DI56" si="22">ROUND(ROUND(AH33,2)*CX33,2)</f>
        <v>0</v>
      </c>
      <c r="DJ33">
        <f>DG33+DH33</f>
        <v>175.59</v>
      </c>
      <c r="DK33">
        <v>0</v>
      </c>
      <c r="DL33" t="s">
        <v>264</v>
      </c>
      <c r="DM33">
        <v>5</v>
      </c>
      <c r="DN33" t="s">
        <v>258</v>
      </c>
      <c r="DO33">
        <v>1</v>
      </c>
    </row>
    <row r="34" spans="1:119">
      <c r="A34">
        <f>ROW(Source!A32)</f>
        <v>32</v>
      </c>
      <c r="B34">
        <v>38182922</v>
      </c>
      <c r="C34">
        <v>38183714</v>
      </c>
      <c r="D34">
        <v>35338838</v>
      </c>
      <c r="E34">
        <v>117</v>
      </c>
      <c r="F34">
        <v>1</v>
      </c>
      <c r="G34">
        <v>1</v>
      </c>
      <c r="H34">
        <v>1</v>
      </c>
      <c r="I34" t="s">
        <v>270</v>
      </c>
      <c r="J34" t="s">
        <v>3</v>
      </c>
      <c r="K34" t="s">
        <v>305</v>
      </c>
      <c r="L34">
        <v>1191</v>
      </c>
      <c r="N34">
        <v>1013</v>
      </c>
      <c r="O34" t="s">
        <v>258</v>
      </c>
      <c r="P34" t="s">
        <v>258</v>
      </c>
      <c r="Q34">
        <v>1</v>
      </c>
      <c r="W34">
        <v>0</v>
      </c>
      <c r="X34">
        <v>-45074197</v>
      </c>
      <c r="Y34">
        <f t="shared" si="12"/>
        <v>1</v>
      </c>
      <c r="AA34">
        <v>0</v>
      </c>
      <c r="AB34">
        <v>0</v>
      </c>
      <c r="AC34">
        <v>0</v>
      </c>
      <c r="AD34">
        <v>707.35</v>
      </c>
      <c r="AE34">
        <v>0</v>
      </c>
      <c r="AF34">
        <v>0</v>
      </c>
      <c r="AG34">
        <v>0</v>
      </c>
      <c r="AH34">
        <v>707.35</v>
      </c>
      <c r="AI34">
        <v>1</v>
      </c>
      <c r="AJ34">
        <v>1</v>
      </c>
      <c r="AK34">
        <v>1</v>
      </c>
      <c r="AL34">
        <v>1</v>
      </c>
      <c r="AM34">
        <v>-2</v>
      </c>
      <c r="AN34">
        <v>0</v>
      </c>
      <c r="AO34">
        <v>0</v>
      </c>
      <c r="AP34">
        <v>0</v>
      </c>
      <c r="AQ34">
        <v>1</v>
      </c>
      <c r="AR34">
        <v>0</v>
      </c>
      <c r="AS34" t="s">
        <v>3</v>
      </c>
      <c r="AT34">
        <v>1</v>
      </c>
      <c r="AU34" t="s">
        <v>3</v>
      </c>
      <c r="AV34">
        <v>2</v>
      </c>
      <c r="AW34">
        <v>2</v>
      </c>
      <c r="AX34">
        <v>38183716</v>
      </c>
      <c r="AY34">
        <v>1</v>
      </c>
      <c r="AZ34">
        <v>0</v>
      </c>
      <c r="BA34">
        <v>33</v>
      </c>
      <c r="BB34">
        <v>1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CV34">
        <v>0</v>
      </c>
      <c r="CW34">
        <v>0</v>
      </c>
      <c r="CX34">
        <f>ROUND(Y34*Source!I32,7)</f>
        <v>-0.09</v>
      </c>
      <c r="CY34">
        <f>AD34</f>
        <v>707.35</v>
      </c>
      <c r="CZ34">
        <f>AH34</f>
        <v>707.35</v>
      </c>
      <c r="DA34">
        <f>AL34</f>
        <v>1</v>
      </c>
      <c r="DB34">
        <f t="shared" si="13"/>
        <v>707.35</v>
      </c>
      <c r="DC34">
        <f t="shared" si="14"/>
        <v>0</v>
      </c>
      <c r="DD34" t="s">
        <v>3</v>
      </c>
      <c r="DE34" t="s">
        <v>3</v>
      </c>
      <c r="DF34">
        <f t="shared" si="20"/>
        <v>0</v>
      </c>
      <c r="DG34">
        <f>ROUND(ROUND(AF34,2)*CX34,2)</f>
        <v>0</v>
      </c>
      <c r="DH34">
        <f t="shared" si="21"/>
        <v>0</v>
      </c>
      <c r="DI34">
        <f t="shared" si="22"/>
        <v>-63.66</v>
      </c>
      <c r="DJ34">
        <f>DI34</f>
        <v>-63.66</v>
      </c>
      <c r="DK34">
        <v>1</v>
      </c>
      <c r="DL34" t="s">
        <v>3</v>
      </c>
      <c r="DM34">
        <v>0</v>
      </c>
      <c r="DN34" t="s">
        <v>3</v>
      </c>
      <c r="DO34">
        <v>0</v>
      </c>
    </row>
    <row r="35" spans="1:119">
      <c r="A35">
        <f>ROW(Source!A33)</f>
        <v>33</v>
      </c>
      <c r="B35">
        <v>38182922</v>
      </c>
      <c r="C35">
        <v>38183769</v>
      </c>
      <c r="D35">
        <v>35338460</v>
      </c>
      <c r="E35">
        <v>117</v>
      </c>
      <c r="F35">
        <v>1</v>
      </c>
      <c r="G35">
        <v>1</v>
      </c>
      <c r="H35">
        <v>1</v>
      </c>
      <c r="I35" t="s">
        <v>306</v>
      </c>
      <c r="J35" t="s">
        <v>3</v>
      </c>
      <c r="K35" t="s">
        <v>307</v>
      </c>
      <c r="L35">
        <v>1191</v>
      </c>
      <c r="N35">
        <v>1013</v>
      </c>
      <c r="O35" t="s">
        <v>258</v>
      </c>
      <c r="P35" t="s">
        <v>258</v>
      </c>
      <c r="Q35">
        <v>1</v>
      </c>
      <c r="W35">
        <v>0</v>
      </c>
      <c r="X35">
        <v>1522950421</v>
      </c>
      <c r="Y35">
        <f t="shared" si="12"/>
        <v>140</v>
      </c>
      <c r="AA35">
        <v>0</v>
      </c>
      <c r="AB35">
        <v>0</v>
      </c>
      <c r="AC35">
        <v>0</v>
      </c>
      <c r="AD35">
        <v>445.73</v>
      </c>
      <c r="AE35">
        <v>0</v>
      </c>
      <c r="AF35">
        <v>0</v>
      </c>
      <c r="AG35">
        <v>0</v>
      </c>
      <c r="AH35">
        <v>445.73</v>
      </c>
      <c r="AI35">
        <v>1</v>
      </c>
      <c r="AJ35">
        <v>1</v>
      </c>
      <c r="AK35">
        <v>1</v>
      </c>
      <c r="AL35">
        <v>1</v>
      </c>
      <c r="AM35">
        <v>-2</v>
      </c>
      <c r="AN35">
        <v>0</v>
      </c>
      <c r="AO35">
        <v>0</v>
      </c>
      <c r="AP35">
        <v>0</v>
      </c>
      <c r="AQ35">
        <v>1</v>
      </c>
      <c r="AR35">
        <v>0</v>
      </c>
      <c r="AS35" t="s">
        <v>3</v>
      </c>
      <c r="AT35">
        <v>140</v>
      </c>
      <c r="AU35" t="s">
        <v>3</v>
      </c>
      <c r="AV35">
        <v>1</v>
      </c>
      <c r="AW35">
        <v>2</v>
      </c>
      <c r="AX35">
        <v>38183770</v>
      </c>
      <c r="AY35">
        <v>1</v>
      </c>
      <c r="AZ35">
        <v>0</v>
      </c>
      <c r="BA35">
        <v>34</v>
      </c>
      <c r="BB35">
        <v>1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62402.200000000004</v>
      </c>
      <c r="BN35">
        <v>140</v>
      </c>
      <c r="BO35">
        <v>0</v>
      </c>
      <c r="BP35">
        <v>1</v>
      </c>
      <c r="BQ35">
        <v>0</v>
      </c>
      <c r="BR35">
        <v>0</v>
      </c>
      <c r="BS35">
        <v>0</v>
      </c>
      <c r="BT35">
        <v>62402.200000000004</v>
      </c>
      <c r="BU35">
        <v>140</v>
      </c>
      <c r="BV35">
        <v>0</v>
      </c>
      <c r="BW35">
        <v>1</v>
      </c>
      <c r="CU35">
        <f>ROUND(AT35*Source!I33*AH35*AL35,2)</f>
        <v>62.4</v>
      </c>
      <c r="CV35">
        <f>ROUND(Y35*Source!I33,7)</f>
        <v>0.14000000000000001</v>
      </c>
      <c r="CW35">
        <v>0</v>
      </c>
      <c r="CX35">
        <f>ROUND(Y35*Source!I33,7)</f>
        <v>0.14000000000000001</v>
      </c>
      <c r="CY35">
        <f>AD35</f>
        <v>445.73</v>
      </c>
      <c r="CZ35">
        <f>AH35</f>
        <v>445.73</v>
      </c>
      <c r="DA35">
        <f>AL35</f>
        <v>1</v>
      </c>
      <c r="DB35">
        <f t="shared" si="13"/>
        <v>62402.2</v>
      </c>
      <c r="DC35">
        <f t="shared" si="14"/>
        <v>0</v>
      </c>
      <c r="DD35" t="s">
        <v>3</v>
      </c>
      <c r="DE35" t="s">
        <v>3</v>
      </c>
      <c r="DF35">
        <f t="shared" si="20"/>
        <v>0</v>
      </c>
      <c r="DG35">
        <f>ROUND(ROUND(AF35,2)*CX35,2)</f>
        <v>0</v>
      </c>
      <c r="DH35">
        <f t="shared" si="21"/>
        <v>0</v>
      </c>
      <c r="DI35">
        <f t="shared" si="22"/>
        <v>62.4</v>
      </c>
      <c r="DJ35">
        <f>DI35</f>
        <v>62.4</v>
      </c>
      <c r="DK35">
        <v>1</v>
      </c>
      <c r="DL35" t="s">
        <v>3</v>
      </c>
      <c r="DM35">
        <v>0</v>
      </c>
      <c r="DN35" t="s">
        <v>3</v>
      </c>
      <c r="DO35">
        <v>0</v>
      </c>
    </row>
    <row r="36" spans="1:119">
      <c r="A36">
        <f>ROW(Source!A33)</f>
        <v>33</v>
      </c>
      <c r="B36">
        <v>38182922</v>
      </c>
      <c r="C36">
        <v>38183769</v>
      </c>
      <c r="D36">
        <v>35338624</v>
      </c>
      <c r="E36">
        <v>117</v>
      </c>
      <c r="F36">
        <v>1</v>
      </c>
      <c r="G36">
        <v>1</v>
      </c>
      <c r="H36">
        <v>1</v>
      </c>
      <c r="I36" t="s">
        <v>259</v>
      </c>
      <c r="J36" t="s">
        <v>3</v>
      </c>
      <c r="K36" t="s">
        <v>260</v>
      </c>
      <c r="L36">
        <v>1191</v>
      </c>
      <c r="N36">
        <v>1013</v>
      </c>
      <c r="O36" t="s">
        <v>258</v>
      </c>
      <c r="P36" t="s">
        <v>258</v>
      </c>
      <c r="Q36">
        <v>1</v>
      </c>
      <c r="W36">
        <v>0</v>
      </c>
      <c r="X36">
        <v>-1417349443</v>
      </c>
      <c r="Y36">
        <f t="shared" si="12"/>
        <v>23.17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1</v>
      </c>
      <c r="AK36">
        <v>1</v>
      </c>
      <c r="AL36">
        <v>1</v>
      </c>
      <c r="AM36">
        <v>-2</v>
      </c>
      <c r="AN36">
        <v>0</v>
      </c>
      <c r="AO36">
        <v>0</v>
      </c>
      <c r="AP36">
        <v>0</v>
      </c>
      <c r="AQ36">
        <v>1</v>
      </c>
      <c r="AR36">
        <v>0</v>
      </c>
      <c r="AS36" t="s">
        <v>3</v>
      </c>
      <c r="AT36">
        <v>23.17</v>
      </c>
      <c r="AU36" t="s">
        <v>3</v>
      </c>
      <c r="AV36">
        <v>2</v>
      </c>
      <c r="AW36">
        <v>2</v>
      </c>
      <c r="AX36">
        <v>38183771</v>
      </c>
      <c r="AY36">
        <v>1</v>
      </c>
      <c r="AZ36">
        <v>0</v>
      </c>
      <c r="BA36">
        <v>35</v>
      </c>
      <c r="BB36">
        <v>1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CV36">
        <v>0</v>
      </c>
      <c r="CW36">
        <v>0</v>
      </c>
      <c r="CX36">
        <f>ROUND(Y36*Source!I33,7)</f>
        <v>2.317E-2</v>
      </c>
      <c r="CY36">
        <f>AD36</f>
        <v>0</v>
      </c>
      <c r="CZ36">
        <f>AH36</f>
        <v>0</v>
      </c>
      <c r="DA36">
        <f>AL36</f>
        <v>1</v>
      </c>
      <c r="DB36">
        <f t="shared" si="13"/>
        <v>0</v>
      </c>
      <c r="DC36">
        <f t="shared" si="14"/>
        <v>0</v>
      </c>
      <c r="DD36" t="s">
        <v>3</v>
      </c>
      <c r="DE36" t="s">
        <v>3</v>
      </c>
      <c r="DF36">
        <f t="shared" si="20"/>
        <v>0</v>
      </c>
      <c r="DG36">
        <f>ROUND(ROUND(AF36,2)*CX36,2)</f>
        <v>0</v>
      </c>
      <c r="DH36">
        <f t="shared" si="21"/>
        <v>0</v>
      </c>
      <c r="DI36">
        <f t="shared" si="22"/>
        <v>0</v>
      </c>
      <c r="DJ36">
        <f>DI36</f>
        <v>0</v>
      </c>
      <c r="DK36">
        <v>0</v>
      </c>
      <c r="DL36" t="s">
        <v>3</v>
      </c>
      <c r="DM36">
        <v>0</v>
      </c>
      <c r="DN36" t="s">
        <v>3</v>
      </c>
      <c r="DO36">
        <v>0</v>
      </c>
    </row>
    <row r="37" spans="1:119">
      <c r="A37">
        <f>ROW(Source!A33)</f>
        <v>33</v>
      </c>
      <c r="B37">
        <v>38182922</v>
      </c>
      <c r="C37">
        <v>38183769</v>
      </c>
      <c r="D37">
        <v>35345762</v>
      </c>
      <c r="E37">
        <v>1</v>
      </c>
      <c r="F37">
        <v>1</v>
      </c>
      <c r="G37">
        <v>1</v>
      </c>
      <c r="H37">
        <v>2</v>
      </c>
      <c r="I37" t="s">
        <v>267</v>
      </c>
      <c r="J37" t="s">
        <v>268</v>
      </c>
      <c r="K37" t="s">
        <v>269</v>
      </c>
      <c r="L37">
        <v>1368</v>
      </c>
      <c r="N37">
        <v>1011</v>
      </c>
      <c r="O37" t="s">
        <v>66</v>
      </c>
      <c r="P37" t="s">
        <v>66</v>
      </c>
      <c r="Q37">
        <v>1</v>
      </c>
      <c r="W37">
        <v>0</v>
      </c>
      <c r="X37">
        <v>-1505731505</v>
      </c>
      <c r="Y37">
        <f t="shared" si="12"/>
        <v>12.18</v>
      </c>
      <c r="AA37">
        <v>0</v>
      </c>
      <c r="AB37">
        <v>4931.99</v>
      </c>
      <c r="AC37">
        <v>707.35</v>
      </c>
      <c r="AD37">
        <v>0</v>
      </c>
      <c r="AE37">
        <v>0</v>
      </c>
      <c r="AF37">
        <v>4403.5600000000004</v>
      </c>
      <c r="AG37">
        <v>707.35</v>
      </c>
      <c r="AH37">
        <v>0</v>
      </c>
      <c r="AI37">
        <v>1</v>
      </c>
      <c r="AJ37">
        <v>1.1200000000000001</v>
      </c>
      <c r="AK37">
        <v>1</v>
      </c>
      <c r="AL37">
        <v>1</v>
      </c>
      <c r="AM37">
        <v>2</v>
      </c>
      <c r="AN37">
        <v>0</v>
      </c>
      <c r="AO37">
        <v>0</v>
      </c>
      <c r="AP37">
        <v>0</v>
      </c>
      <c r="AQ37">
        <v>1</v>
      </c>
      <c r="AR37">
        <v>0</v>
      </c>
      <c r="AS37" t="s">
        <v>3</v>
      </c>
      <c r="AT37">
        <v>12.18</v>
      </c>
      <c r="AU37" t="s">
        <v>3</v>
      </c>
      <c r="AV37">
        <v>1</v>
      </c>
      <c r="AW37">
        <v>2</v>
      </c>
      <c r="AX37">
        <v>38183772</v>
      </c>
      <c r="AY37">
        <v>1</v>
      </c>
      <c r="AZ37">
        <v>0</v>
      </c>
      <c r="BA37">
        <v>36</v>
      </c>
      <c r="BB37">
        <v>1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53635.360800000002</v>
      </c>
      <c r="BL37">
        <v>8615.5229999999992</v>
      </c>
      <c r="BM37">
        <v>0</v>
      </c>
      <c r="BN37">
        <v>0</v>
      </c>
      <c r="BO37">
        <v>12.18</v>
      </c>
      <c r="BP37">
        <v>1</v>
      </c>
      <c r="BQ37">
        <v>0</v>
      </c>
      <c r="BR37">
        <v>53635.360800000002</v>
      </c>
      <c r="BS37">
        <v>8615.5229999999992</v>
      </c>
      <c r="BT37">
        <v>0</v>
      </c>
      <c r="BU37">
        <v>0</v>
      </c>
      <c r="BV37">
        <v>12.18</v>
      </c>
      <c r="BW37">
        <v>1</v>
      </c>
      <c r="CV37">
        <v>0</v>
      </c>
      <c r="CW37">
        <f>ROUND(Y37*Source!I33*DO37,7)</f>
        <v>1.218E-2</v>
      </c>
      <c r="CX37">
        <f>ROUND(Y37*Source!I33,7)</f>
        <v>1.218E-2</v>
      </c>
      <c r="CY37">
        <f>AB37</f>
        <v>4931.99</v>
      </c>
      <c r="CZ37">
        <f>AF37</f>
        <v>4403.5600000000004</v>
      </c>
      <c r="DA37">
        <f>AJ37</f>
        <v>1.1200000000000001</v>
      </c>
      <c r="DB37">
        <f t="shared" si="13"/>
        <v>53635.360000000001</v>
      </c>
      <c r="DC37">
        <f t="shared" si="14"/>
        <v>8615.52</v>
      </c>
      <c r="DD37" t="s">
        <v>3</v>
      </c>
      <c r="DE37" t="s">
        <v>3</v>
      </c>
      <c r="DF37">
        <f t="shared" si="20"/>
        <v>0</v>
      </c>
      <c r="DG37">
        <f>ROUND(ROUND(AF37*AJ37,2)*CX37,2)</f>
        <v>60.07</v>
      </c>
      <c r="DH37">
        <f t="shared" si="21"/>
        <v>8.6199999999999992</v>
      </c>
      <c r="DI37">
        <f t="shared" si="22"/>
        <v>0</v>
      </c>
      <c r="DJ37">
        <f>DG37+DH37</f>
        <v>68.69</v>
      </c>
      <c r="DK37">
        <v>0</v>
      </c>
      <c r="DL37" t="s">
        <v>270</v>
      </c>
      <c r="DM37">
        <v>9</v>
      </c>
      <c r="DN37" t="s">
        <v>258</v>
      </c>
      <c r="DO37">
        <v>1</v>
      </c>
    </row>
    <row r="38" spans="1:119">
      <c r="A38">
        <f>ROW(Source!A33)</f>
        <v>33</v>
      </c>
      <c r="B38">
        <v>38182922</v>
      </c>
      <c r="C38">
        <v>38183769</v>
      </c>
      <c r="D38">
        <v>35346009</v>
      </c>
      <c r="E38">
        <v>1</v>
      </c>
      <c r="F38">
        <v>1</v>
      </c>
      <c r="G38">
        <v>1</v>
      </c>
      <c r="H38">
        <v>2</v>
      </c>
      <c r="I38" t="s">
        <v>271</v>
      </c>
      <c r="J38" t="s">
        <v>272</v>
      </c>
      <c r="K38" t="s">
        <v>273</v>
      </c>
      <c r="L38">
        <v>1368</v>
      </c>
      <c r="N38">
        <v>1011</v>
      </c>
      <c r="O38" t="s">
        <v>66</v>
      </c>
      <c r="P38" t="s">
        <v>66</v>
      </c>
      <c r="Q38">
        <v>1</v>
      </c>
      <c r="W38">
        <v>0</v>
      </c>
      <c r="X38">
        <v>-849950259</v>
      </c>
      <c r="Y38">
        <f t="shared" si="12"/>
        <v>1.06</v>
      </c>
      <c r="AA38">
        <v>0</v>
      </c>
      <c r="AB38">
        <v>652.84</v>
      </c>
      <c r="AC38">
        <v>432.81</v>
      </c>
      <c r="AD38">
        <v>0</v>
      </c>
      <c r="AE38">
        <v>0</v>
      </c>
      <c r="AF38">
        <v>652.84</v>
      </c>
      <c r="AG38">
        <v>432.81</v>
      </c>
      <c r="AH38">
        <v>0</v>
      </c>
      <c r="AI38">
        <v>1</v>
      </c>
      <c r="AJ38">
        <v>1</v>
      </c>
      <c r="AK38">
        <v>1</v>
      </c>
      <c r="AL38">
        <v>1</v>
      </c>
      <c r="AM38">
        <v>-2</v>
      </c>
      <c r="AN38">
        <v>0</v>
      </c>
      <c r="AO38">
        <v>0</v>
      </c>
      <c r="AP38">
        <v>0</v>
      </c>
      <c r="AQ38">
        <v>1</v>
      </c>
      <c r="AR38">
        <v>0</v>
      </c>
      <c r="AS38" t="s">
        <v>3</v>
      </c>
      <c r="AT38">
        <v>1.06</v>
      </c>
      <c r="AU38" t="s">
        <v>3</v>
      </c>
      <c r="AV38">
        <v>1</v>
      </c>
      <c r="AW38">
        <v>2</v>
      </c>
      <c r="AX38">
        <v>38183773</v>
      </c>
      <c r="AY38">
        <v>1</v>
      </c>
      <c r="AZ38">
        <v>0</v>
      </c>
      <c r="BA38">
        <v>37</v>
      </c>
      <c r="BB38">
        <v>1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692.01040000000012</v>
      </c>
      <c r="BL38">
        <v>458.77860000000004</v>
      </c>
      <c r="BM38">
        <v>0</v>
      </c>
      <c r="BN38">
        <v>0</v>
      </c>
      <c r="BO38">
        <v>1.06</v>
      </c>
      <c r="BP38">
        <v>1</v>
      </c>
      <c r="BQ38">
        <v>0</v>
      </c>
      <c r="BR38">
        <v>692.01040000000012</v>
      </c>
      <c r="BS38">
        <v>458.77860000000004</v>
      </c>
      <c r="BT38">
        <v>0</v>
      </c>
      <c r="BU38">
        <v>0</v>
      </c>
      <c r="BV38">
        <v>1.06</v>
      </c>
      <c r="BW38">
        <v>1</v>
      </c>
      <c r="CV38">
        <v>0</v>
      </c>
      <c r="CW38">
        <f>ROUND(Y38*Source!I33*DO38,7)</f>
        <v>1.06E-3</v>
      </c>
      <c r="CX38">
        <f>ROUND(Y38*Source!I33,7)</f>
        <v>1.06E-3</v>
      </c>
      <c r="CY38">
        <f>AB38</f>
        <v>652.84</v>
      </c>
      <c r="CZ38">
        <f>AF38</f>
        <v>652.84</v>
      </c>
      <c r="DA38">
        <f>AJ38</f>
        <v>1</v>
      </c>
      <c r="DB38">
        <f t="shared" si="13"/>
        <v>692.01</v>
      </c>
      <c r="DC38">
        <f t="shared" si="14"/>
        <v>458.78</v>
      </c>
      <c r="DD38" t="s">
        <v>3</v>
      </c>
      <c r="DE38" t="s">
        <v>3</v>
      </c>
      <c r="DF38">
        <f t="shared" si="20"/>
        <v>0</v>
      </c>
      <c r="DG38">
        <f t="shared" ref="DG38:DG47" si="23">ROUND(ROUND(AF38,2)*CX38,2)</f>
        <v>0.69</v>
      </c>
      <c r="DH38">
        <f t="shared" si="21"/>
        <v>0.46</v>
      </c>
      <c r="DI38">
        <f t="shared" si="22"/>
        <v>0</v>
      </c>
      <c r="DJ38">
        <f>DG38+DH38</f>
        <v>1.1499999999999999</v>
      </c>
      <c r="DK38">
        <v>1</v>
      </c>
      <c r="DL38" t="s">
        <v>274</v>
      </c>
      <c r="DM38">
        <v>4</v>
      </c>
      <c r="DN38" t="s">
        <v>258</v>
      </c>
      <c r="DO38">
        <v>1</v>
      </c>
    </row>
    <row r="39" spans="1:119">
      <c r="A39">
        <f>ROW(Source!A33)</f>
        <v>33</v>
      </c>
      <c r="B39">
        <v>38182922</v>
      </c>
      <c r="C39">
        <v>38183769</v>
      </c>
      <c r="D39">
        <v>35346101</v>
      </c>
      <c r="E39">
        <v>1</v>
      </c>
      <c r="F39">
        <v>1</v>
      </c>
      <c r="G39">
        <v>1</v>
      </c>
      <c r="H39">
        <v>2</v>
      </c>
      <c r="I39" t="s">
        <v>308</v>
      </c>
      <c r="J39" t="s">
        <v>309</v>
      </c>
      <c r="K39" t="s">
        <v>310</v>
      </c>
      <c r="L39">
        <v>1368</v>
      </c>
      <c r="N39">
        <v>1011</v>
      </c>
      <c r="O39" t="s">
        <v>66</v>
      </c>
      <c r="P39" t="s">
        <v>66</v>
      </c>
      <c r="Q39">
        <v>1</v>
      </c>
      <c r="W39">
        <v>0</v>
      </c>
      <c r="X39">
        <v>-245244677</v>
      </c>
      <c r="Y39">
        <f t="shared" si="12"/>
        <v>9.93</v>
      </c>
      <c r="AA39">
        <v>0</v>
      </c>
      <c r="AB39">
        <v>130.38999999999999</v>
      </c>
      <c r="AC39">
        <v>432.81</v>
      </c>
      <c r="AD39">
        <v>0</v>
      </c>
      <c r="AE39">
        <v>0</v>
      </c>
      <c r="AF39">
        <v>130.38999999999999</v>
      </c>
      <c r="AG39">
        <v>432.81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-2</v>
      </c>
      <c r="AN39">
        <v>0</v>
      </c>
      <c r="AO39">
        <v>0</v>
      </c>
      <c r="AP39">
        <v>0</v>
      </c>
      <c r="AQ39">
        <v>1</v>
      </c>
      <c r="AR39">
        <v>0</v>
      </c>
      <c r="AS39" t="s">
        <v>3</v>
      </c>
      <c r="AT39">
        <v>9.93</v>
      </c>
      <c r="AU39" t="s">
        <v>3</v>
      </c>
      <c r="AV39">
        <v>1</v>
      </c>
      <c r="AW39">
        <v>2</v>
      </c>
      <c r="AX39">
        <v>38183774</v>
      </c>
      <c r="AY39">
        <v>1</v>
      </c>
      <c r="AZ39">
        <v>0</v>
      </c>
      <c r="BA39">
        <v>38</v>
      </c>
      <c r="BB39">
        <v>1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1294.7726999999998</v>
      </c>
      <c r="BL39">
        <v>4297.8032999999996</v>
      </c>
      <c r="BM39">
        <v>0</v>
      </c>
      <c r="BN39">
        <v>0</v>
      </c>
      <c r="BO39">
        <v>9.93</v>
      </c>
      <c r="BP39">
        <v>1</v>
      </c>
      <c r="BQ39">
        <v>0</v>
      </c>
      <c r="BR39">
        <v>1294.7726999999998</v>
      </c>
      <c r="BS39">
        <v>4297.8032999999996</v>
      </c>
      <c r="BT39">
        <v>0</v>
      </c>
      <c r="BU39">
        <v>0</v>
      </c>
      <c r="BV39">
        <v>9.93</v>
      </c>
      <c r="BW39">
        <v>1</v>
      </c>
      <c r="CV39">
        <v>0</v>
      </c>
      <c r="CW39">
        <f>ROUND(Y39*Source!I33*DO39,7)</f>
        <v>9.9299999999999996E-3</v>
      </c>
      <c r="CX39">
        <f>ROUND(Y39*Source!I33,7)</f>
        <v>9.9299999999999996E-3</v>
      </c>
      <c r="CY39">
        <f>AB39</f>
        <v>130.38999999999999</v>
      </c>
      <c r="CZ39">
        <f>AF39</f>
        <v>130.38999999999999</v>
      </c>
      <c r="DA39">
        <f>AJ39</f>
        <v>1</v>
      </c>
      <c r="DB39">
        <f t="shared" si="13"/>
        <v>1294.77</v>
      </c>
      <c r="DC39">
        <f t="shared" si="14"/>
        <v>4297.8</v>
      </c>
      <c r="DD39" t="s">
        <v>3</v>
      </c>
      <c r="DE39" t="s">
        <v>3</v>
      </c>
      <c r="DF39">
        <f t="shared" si="20"/>
        <v>0</v>
      </c>
      <c r="DG39">
        <f t="shared" si="23"/>
        <v>1.29</v>
      </c>
      <c r="DH39">
        <f t="shared" si="21"/>
        <v>4.3</v>
      </c>
      <c r="DI39">
        <f t="shared" si="22"/>
        <v>0</v>
      </c>
      <c r="DJ39">
        <f>DG39+DH39</f>
        <v>5.59</v>
      </c>
      <c r="DK39">
        <v>1</v>
      </c>
      <c r="DL39" t="s">
        <v>274</v>
      </c>
      <c r="DM39">
        <v>4</v>
      </c>
      <c r="DN39" t="s">
        <v>258</v>
      </c>
      <c r="DO39">
        <v>1</v>
      </c>
    </row>
    <row r="40" spans="1:119">
      <c r="A40">
        <f>ROW(Source!A33)</f>
        <v>33</v>
      </c>
      <c r="B40">
        <v>38182922</v>
      </c>
      <c r="C40">
        <v>38183769</v>
      </c>
      <c r="D40">
        <v>35412918</v>
      </c>
      <c r="E40">
        <v>1</v>
      </c>
      <c r="F40">
        <v>1</v>
      </c>
      <c r="G40">
        <v>1</v>
      </c>
      <c r="H40">
        <v>3</v>
      </c>
      <c r="I40" t="s">
        <v>311</v>
      </c>
      <c r="J40" t="s">
        <v>312</v>
      </c>
      <c r="K40" t="s">
        <v>313</v>
      </c>
      <c r="L40">
        <v>1327</v>
      </c>
      <c r="N40">
        <v>1005</v>
      </c>
      <c r="O40" t="s">
        <v>89</v>
      </c>
      <c r="P40" t="s">
        <v>89</v>
      </c>
      <c r="Q40">
        <v>1</v>
      </c>
      <c r="W40">
        <v>0</v>
      </c>
      <c r="X40">
        <v>1711398520</v>
      </c>
      <c r="Y40">
        <f t="shared" si="12"/>
        <v>478</v>
      </c>
      <c r="AA40">
        <v>123.6</v>
      </c>
      <c r="AB40">
        <v>0</v>
      </c>
      <c r="AC40">
        <v>0</v>
      </c>
      <c r="AD40">
        <v>0</v>
      </c>
      <c r="AE40">
        <v>62.74</v>
      </c>
      <c r="AF40">
        <v>0</v>
      </c>
      <c r="AG40">
        <v>0</v>
      </c>
      <c r="AH40">
        <v>0</v>
      </c>
      <c r="AI40">
        <v>1.97</v>
      </c>
      <c r="AJ40">
        <v>1</v>
      </c>
      <c r="AK40">
        <v>1</v>
      </c>
      <c r="AL40">
        <v>1</v>
      </c>
      <c r="AM40">
        <v>2</v>
      </c>
      <c r="AN40">
        <v>0</v>
      </c>
      <c r="AO40">
        <v>0</v>
      </c>
      <c r="AP40">
        <v>0</v>
      </c>
      <c r="AQ40">
        <v>1</v>
      </c>
      <c r="AR40">
        <v>0</v>
      </c>
      <c r="AS40" t="s">
        <v>3</v>
      </c>
      <c r="AT40">
        <v>478</v>
      </c>
      <c r="AU40" t="s">
        <v>3</v>
      </c>
      <c r="AV40">
        <v>0</v>
      </c>
      <c r="AW40">
        <v>2</v>
      </c>
      <c r="AX40">
        <v>38183776</v>
      </c>
      <c r="AY40">
        <v>1</v>
      </c>
      <c r="AZ40">
        <v>0</v>
      </c>
      <c r="BA40">
        <v>40</v>
      </c>
      <c r="BB40">
        <v>1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29989.72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1</v>
      </c>
      <c r="BQ40">
        <v>29989.72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1</v>
      </c>
      <c r="CV40">
        <v>0</v>
      </c>
      <c r="CW40">
        <v>0</v>
      </c>
      <c r="CX40">
        <f>ROUND(Y40*Source!I33,7)</f>
        <v>0.47799999999999998</v>
      </c>
      <c r="CY40">
        <f t="shared" ref="CY40:CY45" si="24">AA40</f>
        <v>123.6</v>
      </c>
      <c r="CZ40">
        <f t="shared" ref="CZ40:CZ45" si="25">AE40</f>
        <v>62.74</v>
      </c>
      <c r="DA40">
        <f t="shared" ref="DA40:DA45" si="26">AI40</f>
        <v>1.97</v>
      </c>
      <c r="DB40">
        <f t="shared" si="13"/>
        <v>29989.72</v>
      </c>
      <c r="DC40">
        <f t="shared" si="14"/>
        <v>0</v>
      </c>
      <c r="DD40" t="s">
        <v>3</v>
      </c>
      <c r="DE40" t="s">
        <v>3</v>
      </c>
      <c r="DF40">
        <f t="shared" ref="DF40:DF45" si="27">ROUND(ROUND(AE40*AI40,2)*CX40,2)</f>
        <v>59.08</v>
      </c>
      <c r="DG40">
        <f t="shared" si="23"/>
        <v>0</v>
      </c>
      <c r="DH40">
        <f t="shared" si="21"/>
        <v>0</v>
      </c>
      <c r="DI40">
        <f t="shared" si="22"/>
        <v>0</v>
      </c>
      <c r="DJ40">
        <f t="shared" ref="DJ40:DJ45" si="28">DF40</f>
        <v>59.08</v>
      </c>
      <c r="DK40">
        <v>0</v>
      </c>
      <c r="DL40" t="s">
        <v>3</v>
      </c>
      <c r="DM40">
        <v>0</v>
      </c>
      <c r="DN40" t="s">
        <v>3</v>
      </c>
      <c r="DO40">
        <v>0</v>
      </c>
    </row>
    <row r="41" spans="1:119">
      <c r="A41">
        <f>ROW(Source!A33)</f>
        <v>33</v>
      </c>
      <c r="B41">
        <v>38182922</v>
      </c>
      <c r="C41">
        <v>38183769</v>
      </c>
      <c r="D41">
        <v>35415424</v>
      </c>
      <c r="E41">
        <v>1</v>
      </c>
      <c r="F41">
        <v>1</v>
      </c>
      <c r="G41">
        <v>1</v>
      </c>
      <c r="H41">
        <v>3</v>
      </c>
      <c r="I41" t="s">
        <v>314</v>
      </c>
      <c r="J41" t="s">
        <v>315</v>
      </c>
      <c r="K41" t="s">
        <v>316</v>
      </c>
      <c r="L41">
        <v>1327</v>
      </c>
      <c r="N41">
        <v>1005</v>
      </c>
      <c r="O41" t="s">
        <v>89</v>
      </c>
      <c r="P41" t="s">
        <v>89</v>
      </c>
      <c r="Q41">
        <v>1</v>
      </c>
      <c r="W41">
        <v>0</v>
      </c>
      <c r="X41">
        <v>2050518453</v>
      </c>
      <c r="Y41">
        <f t="shared" si="12"/>
        <v>0.8</v>
      </c>
      <c r="AA41">
        <v>174.97</v>
      </c>
      <c r="AB41">
        <v>0</v>
      </c>
      <c r="AC41">
        <v>0</v>
      </c>
      <c r="AD41">
        <v>0</v>
      </c>
      <c r="AE41">
        <v>108.68</v>
      </c>
      <c r="AF41">
        <v>0</v>
      </c>
      <c r="AG41">
        <v>0</v>
      </c>
      <c r="AH41">
        <v>0</v>
      </c>
      <c r="AI41">
        <v>1.61</v>
      </c>
      <c r="AJ41">
        <v>1</v>
      </c>
      <c r="AK41">
        <v>1</v>
      </c>
      <c r="AL41">
        <v>1</v>
      </c>
      <c r="AM41">
        <v>2</v>
      </c>
      <c r="AN41">
        <v>0</v>
      </c>
      <c r="AO41">
        <v>0</v>
      </c>
      <c r="AP41">
        <v>0</v>
      </c>
      <c r="AQ41">
        <v>1</v>
      </c>
      <c r="AR41">
        <v>0</v>
      </c>
      <c r="AS41" t="s">
        <v>3</v>
      </c>
      <c r="AT41">
        <v>0.8</v>
      </c>
      <c r="AU41" t="s">
        <v>3</v>
      </c>
      <c r="AV41">
        <v>0</v>
      </c>
      <c r="AW41">
        <v>2</v>
      </c>
      <c r="AX41">
        <v>38183777</v>
      </c>
      <c r="AY41">
        <v>1</v>
      </c>
      <c r="AZ41">
        <v>0</v>
      </c>
      <c r="BA41">
        <v>41</v>
      </c>
      <c r="BB41">
        <v>1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86.944000000000017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1</v>
      </c>
      <c r="BQ41">
        <v>86.944000000000017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1</v>
      </c>
      <c r="CV41">
        <v>0</v>
      </c>
      <c r="CW41">
        <v>0</v>
      </c>
      <c r="CX41">
        <f>ROUND(Y41*Source!I33,7)</f>
        <v>8.0000000000000004E-4</v>
      </c>
      <c r="CY41">
        <f t="shared" si="24"/>
        <v>174.97</v>
      </c>
      <c r="CZ41">
        <f t="shared" si="25"/>
        <v>108.68</v>
      </c>
      <c r="DA41">
        <f t="shared" si="26"/>
        <v>1.61</v>
      </c>
      <c r="DB41">
        <f t="shared" si="13"/>
        <v>86.94</v>
      </c>
      <c r="DC41">
        <f t="shared" si="14"/>
        <v>0</v>
      </c>
      <c r="DD41" t="s">
        <v>3</v>
      </c>
      <c r="DE41" t="s">
        <v>3</v>
      </c>
      <c r="DF41">
        <f t="shared" si="27"/>
        <v>0.14000000000000001</v>
      </c>
      <c r="DG41">
        <f t="shared" si="23"/>
        <v>0</v>
      </c>
      <c r="DH41">
        <f t="shared" si="21"/>
        <v>0</v>
      </c>
      <c r="DI41">
        <f t="shared" si="22"/>
        <v>0</v>
      </c>
      <c r="DJ41">
        <f t="shared" si="28"/>
        <v>0.14000000000000001</v>
      </c>
      <c r="DK41">
        <v>0</v>
      </c>
      <c r="DL41" t="s">
        <v>3</v>
      </c>
      <c r="DM41">
        <v>0</v>
      </c>
      <c r="DN41" t="s">
        <v>3</v>
      </c>
      <c r="DO41">
        <v>0</v>
      </c>
    </row>
    <row r="42" spans="1:119">
      <c r="A42">
        <f>ROW(Source!A33)</f>
        <v>33</v>
      </c>
      <c r="B42">
        <v>38182922</v>
      </c>
      <c r="C42">
        <v>38183769</v>
      </c>
      <c r="D42">
        <v>35415437</v>
      </c>
      <c r="E42">
        <v>1</v>
      </c>
      <c r="F42">
        <v>1</v>
      </c>
      <c r="G42">
        <v>1</v>
      </c>
      <c r="H42">
        <v>3</v>
      </c>
      <c r="I42" t="s">
        <v>317</v>
      </c>
      <c r="J42" t="s">
        <v>318</v>
      </c>
      <c r="K42" t="s">
        <v>319</v>
      </c>
      <c r="L42">
        <v>1330</v>
      </c>
      <c r="N42">
        <v>1005</v>
      </c>
      <c r="O42" t="s">
        <v>320</v>
      </c>
      <c r="P42" t="s">
        <v>320</v>
      </c>
      <c r="Q42">
        <v>10</v>
      </c>
      <c r="W42">
        <v>0</v>
      </c>
      <c r="X42">
        <v>-1756344661</v>
      </c>
      <c r="Y42">
        <f t="shared" si="12"/>
        <v>0.1</v>
      </c>
      <c r="AA42">
        <v>953.18</v>
      </c>
      <c r="AB42">
        <v>0</v>
      </c>
      <c r="AC42">
        <v>0</v>
      </c>
      <c r="AD42">
        <v>0</v>
      </c>
      <c r="AE42">
        <v>592.04</v>
      </c>
      <c r="AF42">
        <v>0</v>
      </c>
      <c r="AG42">
        <v>0</v>
      </c>
      <c r="AH42">
        <v>0</v>
      </c>
      <c r="AI42">
        <v>1.61</v>
      </c>
      <c r="AJ42">
        <v>1</v>
      </c>
      <c r="AK42">
        <v>1</v>
      </c>
      <c r="AL42">
        <v>1</v>
      </c>
      <c r="AM42">
        <v>2</v>
      </c>
      <c r="AN42">
        <v>0</v>
      </c>
      <c r="AO42">
        <v>0</v>
      </c>
      <c r="AP42">
        <v>0</v>
      </c>
      <c r="AQ42">
        <v>1</v>
      </c>
      <c r="AR42">
        <v>0</v>
      </c>
      <c r="AS42" t="s">
        <v>3</v>
      </c>
      <c r="AT42">
        <v>0.1</v>
      </c>
      <c r="AU42" t="s">
        <v>3</v>
      </c>
      <c r="AV42">
        <v>0</v>
      </c>
      <c r="AW42">
        <v>2</v>
      </c>
      <c r="AX42">
        <v>38183778</v>
      </c>
      <c r="AY42">
        <v>1</v>
      </c>
      <c r="AZ42">
        <v>0</v>
      </c>
      <c r="BA42">
        <v>42</v>
      </c>
      <c r="BB42">
        <v>1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59.204000000000001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1</v>
      </c>
      <c r="BQ42">
        <v>59.204000000000001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1</v>
      </c>
      <c r="CV42">
        <v>0</v>
      </c>
      <c r="CW42">
        <v>0</v>
      </c>
      <c r="CX42">
        <f>ROUND(Y42*Source!I33,7)</f>
        <v>1E-4</v>
      </c>
      <c r="CY42">
        <f t="shared" si="24"/>
        <v>953.18</v>
      </c>
      <c r="CZ42">
        <f t="shared" si="25"/>
        <v>592.04</v>
      </c>
      <c r="DA42">
        <f t="shared" si="26"/>
        <v>1.61</v>
      </c>
      <c r="DB42">
        <f t="shared" si="13"/>
        <v>59.2</v>
      </c>
      <c r="DC42">
        <f t="shared" si="14"/>
        <v>0</v>
      </c>
      <c r="DD42" t="s">
        <v>3</v>
      </c>
      <c r="DE42" t="s">
        <v>3</v>
      </c>
      <c r="DF42">
        <f t="shared" si="27"/>
        <v>0.1</v>
      </c>
      <c r="DG42">
        <f t="shared" si="23"/>
        <v>0</v>
      </c>
      <c r="DH42">
        <f t="shared" si="21"/>
        <v>0</v>
      </c>
      <c r="DI42">
        <f t="shared" si="22"/>
        <v>0</v>
      </c>
      <c r="DJ42">
        <f t="shared" si="28"/>
        <v>0.1</v>
      </c>
      <c r="DK42">
        <v>0</v>
      </c>
      <c r="DL42" t="s">
        <v>3</v>
      </c>
      <c r="DM42">
        <v>0</v>
      </c>
      <c r="DN42" t="s">
        <v>3</v>
      </c>
      <c r="DO42">
        <v>0</v>
      </c>
    </row>
    <row r="43" spans="1:119">
      <c r="A43">
        <f>ROW(Source!A33)</f>
        <v>33</v>
      </c>
      <c r="B43">
        <v>38182922</v>
      </c>
      <c r="C43">
        <v>38183769</v>
      </c>
      <c r="D43">
        <v>35425233</v>
      </c>
      <c r="E43">
        <v>1</v>
      </c>
      <c r="F43">
        <v>1</v>
      </c>
      <c r="G43">
        <v>1</v>
      </c>
      <c r="H43">
        <v>3</v>
      </c>
      <c r="I43" t="s">
        <v>87</v>
      </c>
      <c r="J43" t="s">
        <v>90</v>
      </c>
      <c r="K43" t="s">
        <v>88</v>
      </c>
      <c r="L43">
        <v>1327</v>
      </c>
      <c r="N43">
        <v>1005</v>
      </c>
      <c r="O43" t="s">
        <v>89</v>
      </c>
      <c r="P43" t="s">
        <v>89</v>
      </c>
      <c r="Q43">
        <v>1</v>
      </c>
      <c r="W43">
        <v>0</v>
      </c>
      <c r="X43">
        <v>-848550540</v>
      </c>
      <c r="Y43">
        <f t="shared" si="12"/>
        <v>850</v>
      </c>
      <c r="AA43">
        <v>172.81</v>
      </c>
      <c r="AB43">
        <v>0</v>
      </c>
      <c r="AC43">
        <v>0</v>
      </c>
      <c r="AD43">
        <v>0</v>
      </c>
      <c r="AE43">
        <v>126.14</v>
      </c>
      <c r="AF43">
        <v>0</v>
      </c>
      <c r="AG43">
        <v>0</v>
      </c>
      <c r="AH43">
        <v>0</v>
      </c>
      <c r="AI43">
        <v>1.37</v>
      </c>
      <c r="AJ43">
        <v>1</v>
      </c>
      <c r="AK43">
        <v>1</v>
      </c>
      <c r="AL43">
        <v>1</v>
      </c>
      <c r="AM43">
        <v>0</v>
      </c>
      <c r="AN43">
        <v>0</v>
      </c>
      <c r="AO43">
        <v>0</v>
      </c>
      <c r="AP43">
        <v>1</v>
      </c>
      <c r="AQ43">
        <v>0</v>
      </c>
      <c r="AR43">
        <v>0</v>
      </c>
      <c r="AS43" t="s">
        <v>3</v>
      </c>
      <c r="AT43">
        <v>850</v>
      </c>
      <c r="AU43" t="s">
        <v>3</v>
      </c>
      <c r="AV43">
        <v>0</v>
      </c>
      <c r="AW43">
        <v>1</v>
      </c>
      <c r="AX43">
        <v>-1</v>
      </c>
      <c r="AY43">
        <v>0</v>
      </c>
      <c r="AZ43">
        <v>0</v>
      </c>
      <c r="BA43" t="s">
        <v>3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CV43">
        <v>0</v>
      </c>
      <c r="CW43">
        <v>0</v>
      </c>
      <c r="CX43">
        <f>ROUND(Y43*Source!I33,7)</f>
        <v>0.85</v>
      </c>
      <c r="CY43">
        <f t="shared" si="24"/>
        <v>172.81</v>
      </c>
      <c r="CZ43">
        <f t="shared" si="25"/>
        <v>126.14</v>
      </c>
      <c r="DA43">
        <f t="shared" si="26"/>
        <v>1.37</v>
      </c>
      <c r="DB43">
        <f t="shared" si="13"/>
        <v>107219</v>
      </c>
      <c r="DC43">
        <f t="shared" si="14"/>
        <v>0</v>
      </c>
      <c r="DD43" t="s">
        <v>3</v>
      </c>
      <c r="DE43" t="s">
        <v>3</v>
      </c>
      <c r="DF43">
        <f t="shared" si="27"/>
        <v>146.88999999999999</v>
      </c>
      <c r="DG43">
        <f t="shared" si="23"/>
        <v>0</v>
      </c>
      <c r="DH43">
        <f t="shared" si="21"/>
        <v>0</v>
      </c>
      <c r="DI43">
        <f t="shared" si="22"/>
        <v>0</v>
      </c>
      <c r="DJ43">
        <f t="shared" si="28"/>
        <v>146.88999999999999</v>
      </c>
      <c r="DK43">
        <v>0</v>
      </c>
      <c r="DL43" t="s">
        <v>3</v>
      </c>
      <c r="DM43">
        <v>0</v>
      </c>
      <c r="DN43" t="s">
        <v>3</v>
      </c>
      <c r="DO43">
        <v>0</v>
      </c>
    </row>
    <row r="44" spans="1:119">
      <c r="A44">
        <f>ROW(Source!A33)</f>
        <v>33</v>
      </c>
      <c r="B44">
        <v>38182922</v>
      </c>
      <c r="C44">
        <v>38183769</v>
      </c>
      <c r="D44">
        <v>35431024</v>
      </c>
      <c r="E44">
        <v>1</v>
      </c>
      <c r="F44">
        <v>1</v>
      </c>
      <c r="G44">
        <v>1</v>
      </c>
      <c r="H44">
        <v>3</v>
      </c>
      <c r="I44" t="s">
        <v>321</v>
      </c>
      <c r="J44" t="s">
        <v>322</v>
      </c>
      <c r="K44" t="s">
        <v>323</v>
      </c>
      <c r="L44">
        <v>1348</v>
      </c>
      <c r="N44">
        <v>1009</v>
      </c>
      <c r="O44" t="s">
        <v>84</v>
      </c>
      <c r="P44" t="s">
        <v>84</v>
      </c>
      <c r="Q44">
        <v>1000</v>
      </c>
      <c r="W44">
        <v>0</v>
      </c>
      <c r="X44">
        <v>1435964893</v>
      </c>
      <c r="Y44">
        <f t="shared" si="12"/>
        <v>1.2500000000000001E-2</v>
      </c>
      <c r="AA44">
        <v>686020.2</v>
      </c>
      <c r="AB44">
        <v>0</v>
      </c>
      <c r="AC44">
        <v>0</v>
      </c>
      <c r="AD44">
        <v>0</v>
      </c>
      <c r="AE44">
        <v>442593.68</v>
      </c>
      <c r="AF44">
        <v>0</v>
      </c>
      <c r="AG44">
        <v>0</v>
      </c>
      <c r="AH44">
        <v>0</v>
      </c>
      <c r="AI44">
        <v>1.55</v>
      </c>
      <c r="AJ44">
        <v>1</v>
      </c>
      <c r="AK44">
        <v>1</v>
      </c>
      <c r="AL44">
        <v>1</v>
      </c>
      <c r="AM44">
        <v>2</v>
      </c>
      <c r="AN44">
        <v>0</v>
      </c>
      <c r="AO44">
        <v>0</v>
      </c>
      <c r="AP44">
        <v>0</v>
      </c>
      <c r="AQ44">
        <v>1</v>
      </c>
      <c r="AR44">
        <v>0</v>
      </c>
      <c r="AS44" t="s">
        <v>3</v>
      </c>
      <c r="AT44">
        <v>1.2500000000000001E-2</v>
      </c>
      <c r="AU44" t="s">
        <v>3</v>
      </c>
      <c r="AV44">
        <v>0</v>
      </c>
      <c r="AW44">
        <v>2</v>
      </c>
      <c r="AX44">
        <v>38183780</v>
      </c>
      <c r="AY44">
        <v>1</v>
      </c>
      <c r="AZ44">
        <v>0</v>
      </c>
      <c r="BA44">
        <v>44</v>
      </c>
      <c r="BB44">
        <v>1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5532.4210000000003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1</v>
      </c>
      <c r="BQ44">
        <v>5532.4210000000003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1</v>
      </c>
      <c r="CV44">
        <v>0</v>
      </c>
      <c r="CW44">
        <v>0</v>
      </c>
      <c r="CX44">
        <f>ROUND(Y44*Source!I33,7)</f>
        <v>1.2500000000000001E-5</v>
      </c>
      <c r="CY44">
        <f t="shared" si="24"/>
        <v>686020.2</v>
      </c>
      <c r="CZ44">
        <f t="shared" si="25"/>
        <v>442593.68</v>
      </c>
      <c r="DA44">
        <f t="shared" si="26"/>
        <v>1.55</v>
      </c>
      <c r="DB44">
        <f t="shared" si="13"/>
        <v>5532.42</v>
      </c>
      <c r="DC44">
        <f t="shared" si="14"/>
        <v>0</v>
      </c>
      <c r="DD44" t="s">
        <v>3</v>
      </c>
      <c r="DE44" t="s">
        <v>3</v>
      </c>
      <c r="DF44">
        <f t="shared" si="27"/>
        <v>8.58</v>
      </c>
      <c r="DG44">
        <f t="shared" si="23"/>
        <v>0</v>
      </c>
      <c r="DH44">
        <f t="shared" si="21"/>
        <v>0</v>
      </c>
      <c r="DI44">
        <f t="shared" si="22"/>
        <v>0</v>
      </c>
      <c r="DJ44">
        <f t="shared" si="28"/>
        <v>8.58</v>
      </c>
      <c r="DK44">
        <v>0</v>
      </c>
      <c r="DL44" t="s">
        <v>3</v>
      </c>
      <c r="DM44">
        <v>0</v>
      </c>
      <c r="DN44" t="s">
        <v>3</v>
      </c>
      <c r="DO44">
        <v>0</v>
      </c>
    </row>
    <row r="45" spans="1:119">
      <c r="A45">
        <f>ROW(Source!A33)</f>
        <v>33</v>
      </c>
      <c r="B45">
        <v>38182922</v>
      </c>
      <c r="C45">
        <v>38183769</v>
      </c>
      <c r="D45">
        <v>35431433</v>
      </c>
      <c r="E45">
        <v>1</v>
      </c>
      <c r="F45">
        <v>1</v>
      </c>
      <c r="G45">
        <v>1</v>
      </c>
      <c r="H45">
        <v>3</v>
      </c>
      <c r="I45" t="s">
        <v>82</v>
      </c>
      <c r="J45" t="s">
        <v>85</v>
      </c>
      <c r="K45" t="s">
        <v>83</v>
      </c>
      <c r="L45">
        <v>1348</v>
      </c>
      <c r="N45">
        <v>1009</v>
      </c>
      <c r="O45" t="s">
        <v>84</v>
      </c>
      <c r="P45" t="s">
        <v>84</v>
      </c>
      <c r="Q45">
        <v>1000</v>
      </c>
      <c r="W45">
        <v>0</v>
      </c>
      <c r="X45">
        <v>7353553</v>
      </c>
      <c r="Y45">
        <f t="shared" si="12"/>
        <v>1</v>
      </c>
      <c r="AA45">
        <v>522975.76</v>
      </c>
      <c r="AB45">
        <v>0</v>
      </c>
      <c r="AC45">
        <v>0</v>
      </c>
      <c r="AD45">
        <v>0</v>
      </c>
      <c r="AE45">
        <v>411791.94</v>
      </c>
      <c r="AF45">
        <v>0</v>
      </c>
      <c r="AG45">
        <v>0</v>
      </c>
      <c r="AH45">
        <v>0</v>
      </c>
      <c r="AI45">
        <v>1.27</v>
      </c>
      <c r="AJ45">
        <v>1</v>
      </c>
      <c r="AK45">
        <v>1</v>
      </c>
      <c r="AL45">
        <v>1</v>
      </c>
      <c r="AM45">
        <v>0</v>
      </c>
      <c r="AN45">
        <v>1</v>
      </c>
      <c r="AO45">
        <v>0</v>
      </c>
      <c r="AP45">
        <v>1</v>
      </c>
      <c r="AQ45">
        <v>0</v>
      </c>
      <c r="AR45">
        <v>0</v>
      </c>
      <c r="AS45" t="s">
        <v>3</v>
      </c>
      <c r="AT45">
        <v>1</v>
      </c>
      <c r="AU45" t="s">
        <v>3</v>
      </c>
      <c r="AV45">
        <v>0</v>
      </c>
      <c r="AW45">
        <v>1</v>
      </c>
      <c r="AX45">
        <v>-1</v>
      </c>
      <c r="AY45">
        <v>0</v>
      </c>
      <c r="AZ45">
        <v>0</v>
      </c>
      <c r="BA45" t="s">
        <v>3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CV45">
        <v>0</v>
      </c>
      <c r="CW45">
        <v>0</v>
      </c>
      <c r="CX45">
        <f>ROUND(Y45*Source!I33,7)</f>
        <v>1E-3</v>
      </c>
      <c r="CY45">
        <f t="shared" si="24"/>
        <v>522975.76</v>
      </c>
      <c r="CZ45">
        <f t="shared" si="25"/>
        <v>411791.94</v>
      </c>
      <c r="DA45">
        <f t="shared" si="26"/>
        <v>1.27</v>
      </c>
      <c r="DB45">
        <f t="shared" si="13"/>
        <v>411791.94</v>
      </c>
      <c r="DC45">
        <f t="shared" si="14"/>
        <v>0</v>
      </c>
      <c r="DD45" t="s">
        <v>3</v>
      </c>
      <c r="DE45" t="s">
        <v>3</v>
      </c>
      <c r="DF45">
        <f t="shared" si="27"/>
        <v>522.98</v>
      </c>
      <c r="DG45">
        <f t="shared" si="23"/>
        <v>0</v>
      </c>
      <c r="DH45">
        <f t="shared" si="21"/>
        <v>0</v>
      </c>
      <c r="DI45">
        <f t="shared" si="22"/>
        <v>0</v>
      </c>
      <c r="DJ45">
        <f t="shared" si="28"/>
        <v>522.98</v>
      </c>
      <c r="DK45">
        <v>0</v>
      </c>
      <c r="DL45" t="s">
        <v>3</v>
      </c>
      <c r="DM45">
        <v>0</v>
      </c>
      <c r="DN45" t="s">
        <v>3</v>
      </c>
      <c r="DO45">
        <v>0</v>
      </c>
    </row>
    <row r="46" spans="1:119">
      <c r="A46">
        <f>ROW(Source!A36)</f>
        <v>36</v>
      </c>
      <c r="B46">
        <v>38182922</v>
      </c>
      <c r="C46">
        <v>38183809</v>
      </c>
      <c r="D46">
        <v>35338430</v>
      </c>
      <c r="E46">
        <v>117</v>
      </c>
      <c r="F46">
        <v>1</v>
      </c>
      <c r="G46">
        <v>1</v>
      </c>
      <c r="H46">
        <v>1</v>
      </c>
      <c r="I46" t="s">
        <v>324</v>
      </c>
      <c r="J46" t="s">
        <v>3</v>
      </c>
      <c r="K46" t="s">
        <v>325</v>
      </c>
      <c r="L46">
        <v>1191</v>
      </c>
      <c r="N46">
        <v>1013</v>
      </c>
      <c r="O46" t="s">
        <v>258</v>
      </c>
      <c r="P46" t="s">
        <v>258</v>
      </c>
      <c r="Q46">
        <v>1</v>
      </c>
      <c r="W46">
        <v>0</v>
      </c>
      <c r="X46">
        <v>-1833565283</v>
      </c>
      <c r="Y46">
        <f t="shared" si="12"/>
        <v>12.53</v>
      </c>
      <c r="AA46">
        <v>0</v>
      </c>
      <c r="AB46">
        <v>0</v>
      </c>
      <c r="AC46">
        <v>0</v>
      </c>
      <c r="AD46">
        <v>384.36</v>
      </c>
      <c r="AE46">
        <v>0</v>
      </c>
      <c r="AF46">
        <v>0</v>
      </c>
      <c r="AG46">
        <v>0</v>
      </c>
      <c r="AH46">
        <v>384.36</v>
      </c>
      <c r="AI46">
        <v>1</v>
      </c>
      <c r="AJ46">
        <v>1</v>
      </c>
      <c r="AK46">
        <v>1</v>
      </c>
      <c r="AL46">
        <v>1</v>
      </c>
      <c r="AM46">
        <v>-2</v>
      </c>
      <c r="AN46">
        <v>0</v>
      </c>
      <c r="AO46">
        <v>0</v>
      </c>
      <c r="AP46">
        <v>0</v>
      </c>
      <c r="AQ46">
        <v>1</v>
      </c>
      <c r="AR46">
        <v>0</v>
      </c>
      <c r="AS46" t="s">
        <v>3</v>
      </c>
      <c r="AT46">
        <v>12.53</v>
      </c>
      <c r="AU46" t="s">
        <v>3</v>
      </c>
      <c r="AV46">
        <v>1</v>
      </c>
      <c r="AW46">
        <v>2</v>
      </c>
      <c r="AX46">
        <v>38183810</v>
      </c>
      <c r="AY46">
        <v>1</v>
      </c>
      <c r="AZ46">
        <v>0</v>
      </c>
      <c r="BA46">
        <v>45</v>
      </c>
      <c r="BB46">
        <v>1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4816.0307999999995</v>
      </c>
      <c r="BN46">
        <v>12.53</v>
      </c>
      <c r="BO46">
        <v>0</v>
      </c>
      <c r="BP46">
        <v>1</v>
      </c>
      <c r="BQ46">
        <v>0</v>
      </c>
      <c r="BR46">
        <v>0</v>
      </c>
      <c r="BS46">
        <v>0</v>
      </c>
      <c r="BT46">
        <v>4816.0307999999995</v>
      </c>
      <c r="BU46">
        <v>12.53</v>
      </c>
      <c r="BV46">
        <v>0</v>
      </c>
      <c r="BW46">
        <v>1</v>
      </c>
      <c r="CU46">
        <f>ROUND(AT46*Source!I36*AH46*AL46,2)</f>
        <v>2167.21</v>
      </c>
      <c r="CV46">
        <f>ROUND(Y46*Source!I36,7)</f>
        <v>5.6384999999999996</v>
      </c>
      <c r="CW46">
        <v>0</v>
      </c>
      <c r="CX46">
        <f>ROUND(Y46*Source!I36,7)</f>
        <v>5.6384999999999996</v>
      </c>
      <c r="CY46">
        <f>AD46</f>
        <v>384.36</v>
      </c>
      <c r="CZ46">
        <f>AH46</f>
        <v>384.36</v>
      </c>
      <c r="DA46">
        <f>AL46</f>
        <v>1</v>
      </c>
      <c r="DB46">
        <f t="shared" si="13"/>
        <v>4816.03</v>
      </c>
      <c r="DC46">
        <f t="shared" si="14"/>
        <v>0</v>
      </c>
      <c r="DD46" t="s">
        <v>3</v>
      </c>
      <c r="DE46" t="s">
        <v>3</v>
      </c>
      <c r="DF46">
        <f t="shared" ref="DF46:DF56" si="29">ROUND(ROUND(AE46,2)*CX46,2)</f>
        <v>0</v>
      </c>
      <c r="DG46">
        <f t="shared" si="23"/>
        <v>0</v>
      </c>
      <c r="DH46">
        <f t="shared" si="21"/>
        <v>0</v>
      </c>
      <c r="DI46">
        <f t="shared" si="22"/>
        <v>2167.21</v>
      </c>
      <c r="DJ46">
        <f>DI46</f>
        <v>2167.21</v>
      </c>
      <c r="DK46">
        <v>1</v>
      </c>
      <c r="DL46" t="s">
        <v>3</v>
      </c>
      <c r="DM46">
        <v>0</v>
      </c>
      <c r="DN46" t="s">
        <v>3</v>
      </c>
      <c r="DO46">
        <v>0</v>
      </c>
    </row>
    <row r="47" spans="1:119">
      <c r="A47">
        <f>ROW(Source!A36)</f>
        <v>36</v>
      </c>
      <c r="B47">
        <v>38182922</v>
      </c>
      <c r="C47">
        <v>38183809</v>
      </c>
      <c r="D47">
        <v>35338624</v>
      </c>
      <c r="E47">
        <v>117</v>
      </c>
      <c r="F47">
        <v>1</v>
      </c>
      <c r="G47">
        <v>1</v>
      </c>
      <c r="H47">
        <v>1</v>
      </c>
      <c r="I47" t="s">
        <v>259</v>
      </c>
      <c r="J47" t="s">
        <v>3</v>
      </c>
      <c r="K47" t="s">
        <v>260</v>
      </c>
      <c r="L47">
        <v>1191</v>
      </c>
      <c r="N47">
        <v>1013</v>
      </c>
      <c r="O47" t="s">
        <v>258</v>
      </c>
      <c r="P47" t="s">
        <v>258</v>
      </c>
      <c r="Q47">
        <v>1</v>
      </c>
      <c r="W47">
        <v>0</v>
      </c>
      <c r="X47">
        <v>-1417349443</v>
      </c>
      <c r="Y47">
        <f t="shared" si="12"/>
        <v>2.62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1</v>
      </c>
      <c r="AK47">
        <v>1</v>
      </c>
      <c r="AL47">
        <v>1</v>
      </c>
      <c r="AM47">
        <v>-2</v>
      </c>
      <c r="AN47">
        <v>0</v>
      </c>
      <c r="AO47">
        <v>0</v>
      </c>
      <c r="AP47">
        <v>0</v>
      </c>
      <c r="AQ47">
        <v>1</v>
      </c>
      <c r="AR47">
        <v>0</v>
      </c>
      <c r="AS47" t="s">
        <v>3</v>
      </c>
      <c r="AT47">
        <v>2.62</v>
      </c>
      <c r="AU47" t="s">
        <v>3</v>
      </c>
      <c r="AV47">
        <v>2</v>
      </c>
      <c r="AW47">
        <v>2</v>
      </c>
      <c r="AX47">
        <v>38183811</v>
      </c>
      <c r="AY47">
        <v>1</v>
      </c>
      <c r="AZ47">
        <v>0</v>
      </c>
      <c r="BA47">
        <v>46</v>
      </c>
      <c r="BB47">
        <v>1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CV47">
        <v>0</v>
      </c>
      <c r="CW47">
        <v>0</v>
      </c>
      <c r="CX47">
        <f>ROUND(Y47*Source!I36,7)</f>
        <v>1.179</v>
      </c>
      <c r="CY47">
        <f>AD47</f>
        <v>0</v>
      </c>
      <c r="CZ47">
        <f>AH47</f>
        <v>0</v>
      </c>
      <c r="DA47">
        <f>AL47</f>
        <v>1</v>
      </c>
      <c r="DB47">
        <f t="shared" si="13"/>
        <v>0</v>
      </c>
      <c r="DC47">
        <f t="shared" si="14"/>
        <v>0</v>
      </c>
      <c r="DD47" t="s">
        <v>3</v>
      </c>
      <c r="DE47" t="s">
        <v>3</v>
      </c>
      <c r="DF47">
        <f t="shared" si="29"/>
        <v>0</v>
      </c>
      <c r="DG47">
        <f t="shared" si="23"/>
        <v>0</v>
      </c>
      <c r="DH47">
        <f t="shared" si="21"/>
        <v>0</v>
      </c>
      <c r="DI47">
        <f t="shared" si="22"/>
        <v>0</v>
      </c>
      <c r="DJ47">
        <f>DI47</f>
        <v>0</v>
      </c>
      <c r="DK47">
        <v>0</v>
      </c>
      <c r="DL47" t="s">
        <v>3</v>
      </c>
      <c r="DM47">
        <v>0</v>
      </c>
      <c r="DN47" t="s">
        <v>3</v>
      </c>
      <c r="DO47">
        <v>0</v>
      </c>
    </row>
    <row r="48" spans="1:119">
      <c r="A48">
        <f>ROW(Source!A36)</f>
        <v>36</v>
      </c>
      <c r="B48">
        <v>38182922</v>
      </c>
      <c r="C48">
        <v>38183809</v>
      </c>
      <c r="D48">
        <v>35345545</v>
      </c>
      <c r="E48">
        <v>1</v>
      </c>
      <c r="F48">
        <v>1</v>
      </c>
      <c r="G48">
        <v>1</v>
      </c>
      <c r="H48">
        <v>2</v>
      </c>
      <c r="I48" t="s">
        <v>326</v>
      </c>
      <c r="J48" t="s">
        <v>327</v>
      </c>
      <c r="K48" t="s">
        <v>328</v>
      </c>
      <c r="L48">
        <v>1368</v>
      </c>
      <c r="N48">
        <v>1011</v>
      </c>
      <c r="O48" t="s">
        <v>66</v>
      </c>
      <c r="P48" t="s">
        <v>66</v>
      </c>
      <c r="Q48">
        <v>1</v>
      </c>
      <c r="W48">
        <v>0</v>
      </c>
      <c r="X48">
        <v>4789874</v>
      </c>
      <c r="Y48">
        <f t="shared" si="12"/>
        <v>10.5</v>
      </c>
      <c r="AA48">
        <v>0</v>
      </c>
      <c r="AB48">
        <v>2.7</v>
      </c>
      <c r="AC48">
        <v>0</v>
      </c>
      <c r="AD48">
        <v>0</v>
      </c>
      <c r="AE48">
        <v>0</v>
      </c>
      <c r="AF48">
        <v>2.41</v>
      </c>
      <c r="AG48">
        <v>0</v>
      </c>
      <c r="AH48">
        <v>0</v>
      </c>
      <c r="AI48">
        <v>1</v>
      </c>
      <c r="AJ48">
        <v>1.1200000000000001</v>
      </c>
      <c r="AK48">
        <v>1</v>
      </c>
      <c r="AL48">
        <v>1</v>
      </c>
      <c r="AM48">
        <v>2</v>
      </c>
      <c r="AN48">
        <v>0</v>
      </c>
      <c r="AO48">
        <v>0</v>
      </c>
      <c r="AP48">
        <v>0</v>
      </c>
      <c r="AQ48">
        <v>1</v>
      </c>
      <c r="AR48">
        <v>0</v>
      </c>
      <c r="AS48" t="s">
        <v>3</v>
      </c>
      <c r="AT48">
        <v>10.5</v>
      </c>
      <c r="AU48" t="s">
        <v>3</v>
      </c>
      <c r="AV48">
        <v>1</v>
      </c>
      <c r="AW48">
        <v>2</v>
      </c>
      <c r="AX48">
        <v>38183812</v>
      </c>
      <c r="AY48">
        <v>1</v>
      </c>
      <c r="AZ48">
        <v>0</v>
      </c>
      <c r="BA48">
        <v>47</v>
      </c>
      <c r="BB48">
        <v>1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25.305</v>
      </c>
      <c r="BL48">
        <v>0</v>
      </c>
      <c r="BM48">
        <v>0</v>
      </c>
      <c r="BN48">
        <v>0</v>
      </c>
      <c r="BO48">
        <v>0</v>
      </c>
      <c r="BP48">
        <v>1</v>
      </c>
      <c r="BQ48">
        <v>0</v>
      </c>
      <c r="BR48">
        <v>25.305</v>
      </c>
      <c r="BS48">
        <v>0</v>
      </c>
      <c r="BT48">
        <v>0</v>
      </c>
      <c r="BU48">
        <v>0</v>
      </c>
      <c r="BV48">
        <v>0</v>
      </c>
      <c r="BW48">
        <v>1</v>
      </c>
      <c r="CV48">
        <v>0</v>
      </c>
      <c r="CW48">
        <f>ROUND(Y48*Source!I36*DO48,7)</f>
        <v>0</v>
      </c>
      <c r="CX48">
        <f>ROUND(Y48*Source!I36,7)</f>
        <v>4.7249999999999996</v>
      </c>
      <c r="CY48">
        <f>AB48</f>
        <v>2.7</v>
      </c>
      <c r="CZ48">
        <f>AF48</f>
        <v>2.41</v>
      </c>
      <c r="DA48">
        <f>AJ48</f>
        <v>1.1200000000000001</v>
      </c>
      <c r="DB48">
        <f t="shared" si="13"/>
        <v>25.31</v>
      </c>
      <c r="DC48">
        <f t="shared" si="14"/>
        <v>0</v>
      </c>
      <c r="DD48" t="s">
        <v>3</v>
      </c>
      <c r="DE48" t="s">
        <v>3</v>
      </c>
      <c r="DF48">
        <f t="shared" si="29"/>
        <v>0</v>
      </c>
      <c r="DG48">
        <f>ROUND(ROUND(AF48*AJ48,2)*CX48,2)</f>
        <v>12.76</v>
      </c>
      <c r="DH48">
        <f t="shared" si="21"/>
        <v>0</v>
      </c>
      <c r="DI48">
        <f t="shared" si="22"/>
        <v>0</v>
      </c>
      <c r="DJ48">
        <f>DG48+DH48</f>
        <v>12.76</v>
      </c>
      <c r="DK48">
        <v>0</v>
      </c>
      <c r="DL48" t="s">
        <v>3</v>
      </c>
      <c r="DM48">
        <v>0</v>
      </c>
      <c r="DN48" t="s">
        <v>3</v>
      </c>
      <c r="DO48">
        <v>0</v>
      </c>
    </row>
    <row r="49" spans="1:119">
      <c r="A49">
        <f>ROW(Source!A36)</f>
        <v>36</v>
      </c>
      <c r="B49">
        <v>38182922</v>
      </c>
      <c r="C49">
        <v>38183809</v>
      </c>
      <c r="D49">
        <v>35346217</v>
      </c>
      <c r="E49">
        <v>1</v>
      </c>
      <c r="F49">
        <v>1</v>
      </c>
      <c r="G49">
        <v>1</v>
      </c>
      <c r="H49">
        <v>2</v>
      </c>
      <c r="I49" t="s">
        <v>329</v>
      </c>
      <c r="J49" t="s">
        <v>330</v>
      </c>
      <c r="K49" t="s">
        <v>331</v>
      </c>
      <c r="L49">
        <v>1368</v>
      </c>
      <c r="N49">
        <v>1011</v>
      </c>
      <c r="O49" t="s">
        <v>66</v>
      </c>
      <c r="P49" t="s">
        <v>66</v>
      </c>
      <c r="Q49">
        <v>1</v>
      </c>
      <c r="W49">
        <v>0</v>
      </c>
      <c r="X49">
        <v>1282244495</v>
      </c>
      <c r="Y49">
        <f t="shared" si="12"/>
        <v>2.62</v>
      </c>
      <c r="AA49">
        <v>0</v>
      </c>
      <c r="AB49">
        <v>411.37</v>
      </c>
      <c r="AC49">
        <v>432.81</v>
      </c>
      <c r="AD49">
        <v>0</v>
      </c>
      <c r="AE49">
        <v>0</v>
      </c>
      <c r="AF49">
        <v>411.37</v>
      </c>
      <c r="AG49">
        <v>432.81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-2</v>
      </c>
      <c r="AN49">
        <v>0</v>
      </c>
      <c r="AO49">
        <v>0</v>
      </c>
      <c r="AP49">
        <v>0</v>
      </c>
      <c r="AQ49">
        <v>1</v>
      </c>
      <c r="AR49">
        <v>0</v>
      </c>
      <c r="AS49" t="s">
        <v>3</v>
      </c>
      <c r="AT49">
        <v>2.62</v>
      </c>
      <c r="AU49" t="s">
        <v>3</v>
      </c>
      <c r="AV49">
        <v>1</v>
      </c>
      <c r="AW49">
        <v>2</v>
      </c>
      <c r="AX49">
        <v>38183813</v>
      </c>
      <c r="AY49">
        <v>1</v>
      </c>
      <c r="AZ49">
        <v>0</v>
      </c>
      <c r="BA49">
        <v>48</v>
      </c>
      <c r="BB49">
        <v>1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1077.7894000000001</v>
      </c>
      <c r="BL49">
        <v>1133.9621999999999</v>
      </c>
      <c r="BM49">
        <v>0</v>
      </c>
      <c r="BN49">
        <v>0</v>
      </c>
      <c r="BO49">
        <v>2.62</v>
      </c>
      <c r="BP49">
        <v>1</v>
      </c>
      <c r="BQ49">
        <v>0</v>
      </c>
      <c r="BR49">
        <v>1077.7894000000001</v>
      </c>
      <c r="BS49">
        <v>1133.9621999999999</v>
      </c>
      <c r="BT49">
        <v>0</v>
      </c>
      <c r="BU49">
        <v>0</v>
      </c>
      <c r="BV49">
        <v>2.62</v>
      </c>
      <c r="BW49">
        <v>1</v>
      </c>
      <c r="CV49">
        <v>0</v>
      </c>
      <c r="CW49">
        <f>ROUND(Y49*Source!I36*DO49,7)</f>
        <v>1.179</v>
      </c>
      <c r="CX49">
        <f>ROUND(Y49*Source!I36,7)</f>
        <v>1.179</v>
      </c>
      <c r="CY49">
        <f>AB49</f>
        <v>411.37</v>
      </c>
      <c r="CZ49">
        <f>AF49</f>
        <v>411.37</v>
      </c>
      <c r="DA49">
        <f>AJ49</f>
        <v>1</v>
      </c>
      <c r="DB49">
        <f t="shared" si="13"/>
        <v>1077.79</v>
      </c>
      <c r="DC49">
        <f t="shared" si="14"/>
        <v>1133.96</v>
      </c>
      <c r="DD49" t="s">
        <v>3</v>
      </c>
      <c r="DE49" t="s">
        <v>3</v>
      </c>
      <c r="DF49">
        <f t="shared" si="29"/>
        <v>0</v>
      </c>
      <c r="DG49">
        <f>ROUND(ROUND(AF49,2)*CX49,2)</f>
        <v>485.01</v>
      </c>
      <c r="DH49">
        <f t="shared" si="21"/>
        <v>510.28</v>
      </c>
      <c r="DI49">
        <f t="shared" si="22"/>
        <v>0</v>
      </c>
      <c r="DJ49">
        <f>DG49+DH49</f>
        <v>995.29</v>
      </c>
      <c r="DK49">
        <v>1</v>
      </c>
      <c r="DL49" t="s">
        <v>274</v>
      </c>
      <c r="DM49">
        <v>4</v>
      </c>
      <c r="DN49" t="s">
        <v>258</v>
      </c>
      <c r="DO49">
        <v>1</v>
      </c>
    </row>
    <row r="50" spans="1:119">
      <c r="A50">
        <f>ROW(Source!A37)</f>
        <v>37</v>
      </c>
      <c r="B50">
        <v>38182922</v>
      </c>
      <c r="C50">
        <v>38183842</v>
      </c>
      <c r="D50">
        <v>20031423</v>
      </c>
      <c r="E50">
        <v>117</v>
      </c>
      <c r="F50">
        <v>1</v>
      </c>
      <c r="G50">
        <v>1</v>
      </c>
      <c r="H50">
        <v>1</v>
      </c>
      <c r="I50" t="s">
        <v>324</v>
      </c>
      <c r="J50" t="s">
        <v>3</v>
      </c>
      <c r="K50" t="s">
        <v>325</v>
      </c>
      <c r="L50">
        <v>1191</v>
      </c>
      <c r="N50">
        <v>1013</v>
      </c>
      <c r="O50" t="s">
        <v>258</v>
      </c>
      <c r="P50" t="s">
        <v>258</v>
      </c>
      <c r="Q50">
        <v>1</v>
      </c>
      <c r="W50">
        <v>0</v>
      </c>
      <c r="X50">
        <v>-1833565283</v>
      </c>
      <c r="Y50">
        <f t="shared" si="12"/>
        <v>1.86</v>
      </c>
      <c r="AA50">
        <v>0</v>
      </c>
      <c r="AB50">
        <v>0</v>
      </c>
      <c r="AC50">
        <v>0</v>
      </c>
      <c r="AD50">
        <v>384.36</v>
      </c>
      <c r="AE50">
        <v>0</v>
      </c>
      <c r="AF50">
        <v>0</v>
      </c>
      <c r="AG50">
        <v>0</v>
      </c>
      <c r="AH50">
        <v>384.36</v>
      </c>
      <c r="AI50">
        <v>1</v>
      </c>
      <c r="AJ50">
        <v>1</v>
      </c>
      <c r="AK50">
        <v>1</v>
      </c>
      <c r="AL50">
        <v>1</v>
      </c>
      <c r="AM50">
        <v>-2</v>
      </c>
      <c r="AN50">
        <v>0</v>
      </c>
      <c r="AO50">
        <v>0</v>
      </c>
      <c r="AP50">
        <v>0</v>
      </c>
      <c r="AQ50">
        <v>1</v>
      </c>
      <c r="AR50">
        <v>0</v>
      </c>
      <c r="AS50" t="s">
        <v>3</v>
      </c>
      <c r="AT50">
        <v>1.86</v>
      </c>
      <c r="AU50" t="s">
        <v>3</v>
      </c>
      <c r="AV50">
        <v>1</v>
      </c>
      <c r="AW50">
        <v>2</v>
      </c>
      <c r="AX50">
        <v>38183848</v>
      </c>
      <c r="AY50">
        <v>1</v>
      </c>
      <c r="AZ50">
        <v>0</v>
      </c>
      <c r="BA50">
        <v>49</v>
      </c>
      <c r="BB50">
        <v>1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714.90960000000007</v>
      </c>
      <c r="BN50">
        <v>1.86</v>
      </c>
      <c r="BO50">
        <v>0</v>
      </c>
      <c r="BP50">
        <v>1</v>
      </c>
      <c r="BQ50">
        <v>0</v>
      </c>
      <c r="BR50">
        <v>0</v>
      </c>
      <c r="BS50">
        <v>0</v>
      </c>
      <c r="BT50">
        <v>714.90960000000007</v>
      </c>
      <c r="BU50">
        <v>1.86</v>
      </c>
      <c r="BV50">
        <v>0</v>
      </c>
      <c r="BW50">
        <v>1</v>
      </c>
      <c r="CU50">
        <f>ROUND(AT50*Source!I37*AH50*AL50,2)</f>
        <v>3217.09</v>
      </c>
      <c r="CV50">
        <f>ROUND(Y50*Source!I37,7)</f>
        <v>8.3699999999999992</v>
      </c>
      <c r="CW50">
        <v>0</v>
      </c>
      <c r="CX50">
        <f>ROUND(Y50*Source!I37,7)</f>
        <v>8.3699999999999992</v>
      </c>
      <c r="CY50">
        <f>AD50</f>
        <v>384.36</v>
      </c>
      <c r="CZ50">
        <f>AH50</f>
        <v>384.36</v>
      </c>
      <c r="DA50">
        <f>AL50</f>
        <v>1</v>
      </c>
      <c r="DB50">
        <f t="shared" si="13"/>
        <v>714.91</v>
      </c>
      <c r="DC50">
        <f t="shared" si="14"/>
        <v>0</v>
      </c>
      <c r="DD50" t="s">
        <v>3</v>
      </c>
      <c r="DE50" t="s">
        <v>3</v>
      </c>
      <c r="DF50">
        <f t="shared" si="29"/>
        <v>0</v>
      </c>
      <c r="DG50">
        <f>ROUND(ROUND(AF50,2)*CX50,2)</f>
        <v>0</v>
      </c>
      <c r="DH50">
        <f t="shared" si="21"/>
        <v>0</v>
      </c>
      <c r="DI50">
        <f t="shared" si="22"/>
        <v>3217.09</v>
      </c>
      <c r="DJ50">
        <f>DI50</f>
        <v>3217.09</v>
      </c>
      <c r="DK50">
        <v>1</v>
      </c>
      <c r="DL50" t="s">
        <v>3</v>
      </c>
      <c r="DM50">
        <v>0</v>
      </c>
      <c r="DN50" t="s">
        <v>3</v>
      </c>
      <c r="DO50">
        <v>0</v>
      </c>
    </row>
    <row r="51" spans="1:119">
      <c r="A51">
        <f>ROW(Source!A37)</f>
        <v>37</v>
      </c>
      <c r="B51">
        <v>38182922</v>
      </c>
      <c r="C51">
        <v>38183842</v>
      </c>
      <c r="D51">
        <v>20031379</v>
      </c>
      <c r="E51">
        <v>117</v>
      </c>
      <c r="F51">
        <v>1</v>
      </c>
      <c r="G51">
        <v>1</v>
      </c>
      <c r="H51">
        <v>1</v>
      </c>
      <c r="I51" t="s">
        <v>259</v>
      </c>
      <c r="J51" t="s">
        <v>3</v>
      </c>
      <c r="K51" t="s">
        <v>260</v>
      </c>
      <c r="L51">
        <v>1191</v>
      </c>
      <c r="N51">
        <v>1013</v>
      </c>
      <c r="O51" t="s">
        <v>258</v>
      </c>
      <c r="P51" t="s">
        <v>258</v>
      </c>
      <c r="Q51">
        <v>1</v>
      </c>
      <c r="W51">
        <v>0</v>
      </c>
      <c r="X51">
        <v>-1417349443</v>
      </c>
      <c r="Y51">
        <f t="shared" si="12"/>
        <v>0.76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1</v>
      </c>
      <c r="AK51">
        <v>1</v>
      </c>
      <c r="AL51">
        <v>1</v>
      </c>
      <c r="AM51">
        <v>-2</v>
      </c>
      <c r="AN51">
        <v>0</v>
      </c>
      <c r="AO51">
        <v>0</v>
      </c>
      <c r="AP51">
        <v>0</v>
      </c>
      <c r="AQ51">
        <v>1</v>
      </c>
      <c r="AR51">
        <v>0</v>
      </c>
      <c r="AS51" t="s">
        <v>3</v>
      </c>
      <c r="AT51">
        <v>0.76</v>
      </c>
      <c r="AU51" t="s">
        <v>3</v>
      </c>
      <c r="AV51">
        <v>2</v>
      </c>
      <c r="AW51">
        <v>2</v>
      </c>
      <c r="AX51">
        <v>38183849</v>
      </c>
      <c r="AY51">
        <v>1</v>
      </c>
      <c r="AZ51">
        <v>0</v>
      </c>
      <c r="BA51">
        <v>50</v>
      </c>
      <c r="BB51">
        <v>1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CV51">
        <v>0</v>
      </c>
      <c r="CW51">
        <v>0</v>
      </c>
      <c r="CX51">
        <f>ROUND(Y51*Source!I37,7)</f>
        <v>3.42</v>
      </c>
      <c r="CY51">
        <f>AD51</f>
        <v>0</v>
      </c>
      <c r="CZ51">
        <f>AH51</f>
        <v>0</v>
      </c>
      <c r="DA51">
        <f>AL51</f>
        <v>1</v>
      </c>
      <c r="DB51">
        <f t="shared" si="13"/>
        <v>0</v>
      </c>
      <c r="DC51">
        <f t="shared" si="14"/>
        <v>0</v>
      </c>
      <c r="DD51" t="s">
        <v>3</v>
      </c>
      <c r="DE51" t="s">
        <v>3</v>
      </c>
      <c r="DF51">
        <f t="shared" si="29"/>
        <v>0</v>
      </c>
      <c r="DG51">
        <f>ROUND(ROUND(AF51,2)*CX51,2)</f>
        <v>0</v>
      </c>
      <c r="DH51">
        <f t="shared" si="21"/>
        <v>0</v>
      </c>
      <c r="DI51">
        <f t="shared" si="22"/>
        <v>0</v>
      </c>
      <c r="DJ51">
        <f>DI51</f>
        <v>0</v>
      </c>
      <c r="DK51">
        <v>0</v>
      </c>
      <c r="DL51" t="s">
        <v>3</v>
      </c>
      <c r="DM51">
        <v>0</v>
      </c>
      <c r="DN51" t="s">
        <v>3</v>
      </c>
      <c r="DO51">
        <v>0</v>
      </c>
    </row>
    <row r="52" spans="1:119">
      <c r="A52">
        <f>ROW(Source!A37)</f>
        <v>37</v>
      </c>
      <c r="B52">
        <v>38182922</v>
      </c>
      <c r="C52">
        <v>38183842</v>
      </c>
      <c r="D52">
        <v>35344731</v>
      </c>
      <c r="E52">
        <v>1</v>
      </c>
      <c r="F52">
        <v>1</v>
      </c>
      <c r="G52">
        <v>1</v>
      </c>
      <c r="H52">
        <v>2</v>
      </c>
      <c r="I52" t="s">
        <v>107</v>
      </c>
      <c r="J52" t="s">
        <v>109</v>
      </c>
      <c r="K52" t="s">
        <v>108</v>
      </c>
      <c r="L52">
        <v>1368</v>
      </c>
      <c r="N52">
        <v>1011</v>
      </c>
      <c r="O52" t="s">
        <v>66</v>
      </c>
      <c r="P52" t="s">
        <v>66</v>
      </c>
      <c r="Q52">
        <v>1</v>
      </c>
      <c r="W52">
        <v>0</v>
      </c>
      <c r="X52">
        <v>-972071566</v>
      </c>
      <c r="Y52">
        <f t="shared" si="12"/>
        <v>0.76</v>
      </c>
      <c r="AA52">
        <v>0</v>
      </c>
      <c r="AB52">
        <v>2012.63</v>
      </c>
      <c r="AC52">
        <v>620.14</v>
      </c>
      <c r="AD52">
        <v>0</v>
      </c>
      <c r="AE52">
        <v>0</v>
      </c>
      <c r="AF52">
        <v>1524.72</v>
      </c>
      <c r="AG52">
        <v>620.14</v>
      </c>
      <c r="AH52">
        <v>0</v>
      </c>
      <c r="AI52">
        <v>1</v>
      </c>
      <c r="AJ52">
        <v>1.32</v>
      </c>
      <c r="AK52">
        <v>1</v>
      </c>
      <c r="AL52">
        <v>1</v>
      </c>
      <c r="AM52">
        <v>2</v>
      </c>
      <c r="AN52">
        <v>0</v>
      </c>
      <c r="AO52">
        <v>0</v>
      </c>
      <c r="AP52">
        <v>0</v>
      </c>
      <c r="AQ52">
        <v>1</v>
      </c>
      <c r="AR52">
        <v>0</v>
      </c>
      <c r="AS52" t="s">
        <v>3</v>
      </c>
      <c r="AT52">
        <v>0.76</v>
      </c>
      <c r="AU52" t="s">
        <v>3</v>
      </c>
      <c r="AV52">
        <v>1</v>
      </c>
      <c r="AW52">
        <v>2</v>
      </c>
      <c r="AX52">
        <v>38183858</v>
      </c>
      <c r="AY52">
        <v>1</v>
      </c>
      <c r="AZ52">
        <v>0</v>
      </c>
      <c r="BA52">
        <v>51</v>
      </c>
      <c r="BB52">
        <v>1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1158.7872</v>
      </c>
      <c r="BL52">
        <v>471.3064</v>
      </c>
      <c r="BM52">
        <v>0</v>
      </c>
      <c r="BN52">
        <v>0</v>
      </c>
      <c r="BO52">
        <v>0.76</v>
      </c>
      <c r="BP52">
        <v>1</v>
      </c>
      <c r="BQ52">
        <v>0</v>
      </c>
      <c r="BR52">
        <v>1158.7872</v>
      </c>
      <c r="BS52">
        <v>471.3064</v>
      </c>
      <c r="BT52">
        <v>0</v>
      </c>
      <c r="BU52">
        <v>0</v>
      </c>
      <c r="BV52">
        <v>0.76</v>
      </c>
      <c r="BW52">
        <v>1</v>
      </c>
      <c r="CV52">
        <v>0</v>
      </c>
      <c r="CW52">
        <f>ROUND(Y52*Source!I37*DO52,7)</f>
        <v>3.42</v>
      </c>
      <c r="CX52">
        <f>ROUND(Y52*Source!I37,7)</f>
        <v>3.42</v>
      </c>
      <c r="CY52">
        <f>AB52</f>
        <v>2012.63</v>
      </c>
      <c r="CZ52">
        <f>AF52</f>
        <v>1524.72</v>
      </c>
      <c r="DA52">
        <f>AJ52</f>
        <v>1.32</v>
      </c>
      <c r="DB52">
        <f t="shared" si="13"/>
        <v>1158.79</v>
      </c>
      <c r="DC52">
        <f t="shared" si="14"/>
        <v>471.31</v>
      </c>
      <c r="DD52" t="s">
        <v>3</v>
      </c>
      <c r="DE52" t="s">
        <v>3</v>
      </c>
      <c r="DF52">
        <f t="shared" si="29"/>
        <v>0</v>
      </c>
      <c r="DG52">
        <f>ROUND(ROUND(AF52*AJ52,2)*CX52,2)</f>
        <v>6883.19</v>
      </c>
      <c r="DH52">
        <f t="shared" si="21"/>
        <v>2120.88</v>
      </c>
      <c r="DI52">
        <f t="shared" si="22"/>
        <v>0</v>
      </c>
      <c r="DJ52">
        <f>DG52+DH52</f>
        <v>9004.07</v>
      </c>
      <c r="DK52">
        <v>0</v>
      </c>
      <c r="DL52" t="s">
        <v>332</v>
      </c>
      <c r="DM52">
        <v>7</v>
      </c>
      <c r="DN52" t="s">
        <v>258</v>
      </c>
      <c r="DO52">
        <v>1</v>
      </c>
    </row>
    <row r="53" spans="1:119">
      <c r="A53">
        <f>ROW(Source!A37)</f>
        <v>37</v>
      </c>
      <c r="B53">
        <v>38182922</v>
      </c>
      <c r="C53">
        <v>38183842</v>
      </c>
      <c r="D53">
        <v>35344734</v>
      </c>
      <c r="E53">
        <v>1</v>
      </c>
      <c r="F53">
        <v>1</v>
      </c>
      <c r="G53">
        <v>1</v>
      </c>
      <c r="H53">
        <v>2</v>
      </c>
      <c r="I53" t="s">
        <v>64</v>
      </c>
      <c r="J53" t="s">
        <v>67</v>
      </c>
      <c r="K53" t="s">
        <v>65</v>
      </c>
      <c r="L53">
        <v>1368</v>
      </c>
      <c r="N53">
        <v>1011</v>
      </c>
      <c r="O53" t="s">
        <v>66</v>
      </c>
      <c r="P53" t="s">
        <v>66</v>
      </c>
      <c r="Q53">
        <v>1</v>
      </c>
      <c r="W53">
        <v>0</v>
      </c>
      <c r="X53">
        <v>-598721075</v>
      </c>
      <c r="Y53">
        <f t="shared" si="12"/>
        <v>0.76</v>
      </c>
      <c r="AA53">
        <v>0</v>
      </c>
      <c r="AB53">
        <v>1453.51</v>
      </c>
      <c r="AC53">
        <v>497.4</v>
      </c>
      <c r="AD53">
        <v>0</v>
      </c>
      <c r="AE53">
        <v>0</v>
      </c>
      <c r="AF53">
        <v>1162.81</v>
      </c>
      <c r="AG53">
        <v>497.4</v>
      </c>
      <c r="AH53">
        <v>0</v>
      </c>
      <c r="AI53">
        <v>1</v>
      </c>
      <c r="AJ53">
        <v>1.25</v>
      </c>
      <c r="AK53">
        <v>1</v>
      </c>
      <c r="AL53">
        <v>1</v>
      </c>
      <c r="AM53">
        <v>0</v>
      </c>
      <c r="AN53">
        <v>0</v>
      </c>
      <c r="AO53">
        <v>0</v>
      </c>
      <c r="AP53">
        <v>1</v>
      </c>
      <c r="AQ53">
        <v>0</v>
      </c>
      <c r="AR53">
        <v>0</v>
      </c>
      <c r="AS53" t="s">
        <v>3</v>
      </c>
      <c r="AT53">
        <v>0.76</v>
      </c>
      <c r="AU53" t="s">
        <v>3</v>
      </c>
      <c r="AV53">
        <v>1</v>
      </c>
      <c r="AW53">
        <v>1</v>
      </c>
      <c r="AX53">
        <v>-1</v>
      </c>
      <c r="AY53">
        <v>0</v>
      </c>
      <c r="AZ53">
        <v>0</v>
      </c>
      <c r="BA53" t="s">
        <v>3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CV53">
        <v>0</v>
      </c>
      <c r="CW53">
        <f>ROUND(Y53*Source!I37*DO53,7)</f>
        <v>3.42</v>
      </c>
      <c r="CX53">
        <f>ROUND(Y53*Source!I37,7)</f>
        <v>3.42</v>
      </c>
      <c r="CY53">
        <f>AB53</f>
        <v>1453.51</v>
      </c>
      <c r="CZ53">
        <f>AF53</f>
        <v>1162.81</v>
      </c>
      <c r="DA53">
        <f>AJ53</f>
        <v>1.25</v>
      </c>
      <c r="DB53">
        <f t="shared" si="13"/>
        <v>883.74</v>
      </c>
      <c r="DC53">
        <f t="shared" si="14"/>
        <v>378.02</v>
      </c>
      <c r="DD53" t="s">
        <v>3</v>
      </c>
      <c r="DE53" t="s">
        <v>3</v>
      </c>
      <c r="DF53">
        <f t="shared" si="29"/>
        <v>0</v>
      </c>
      <c r="DG53">
        <f>ROUND(ROUND(AF53*AJ53,2)*CX53,2)</f>
        <v>4971</v>
      </c>
      <c r="DH53">
        <f t="shared" si="21"/>
        <v>1701.11</v>
      </c>
      <c r="DI53">
        <f t="shared" si="22"/>
        <v>0</v>
      </c>
      <c r="DJ53">
        <f>DG53+DH53</f>
        <v>6672.11</v>
      </c>
      <c r="DK53">
        <v>0</v>
      </c>
      <c r="DL53" t="s">
        <v>264</v>
      </c>
      <c r="DM53">
        <v>5</v>
      </c>
      <c r="DN53" t="s">
        <v>258</v>
      </c>
      <c r="DO53">
        <v>1</v>
      </c>
    </row>
    <row r="54" spans="1:119">
      <c r="A54">
        <f>ROW(Source!A37)</f>
        <v>37</v>
      </c>
      <c r="B54">
        <v>38182922</v>
      </c>
      <c r="C54">
        <v>38183842</v>
      </c>
      <c r="D54">
        <v>35345541</v>
      </c>
      <c r="E54">
        <v>1</v>
      </c>
      <c r="F54">
        <v>1</v>
      </c>
      <c r="G54">
        <v>1</v>
      </c>
      <c r="H54">
        <v>2</v>
      </c>
      <c r="I54" t="s">
        <v>333</v>
      </c>
      <c r="J54" t="s">
        <v>334</v>
      </c>
      <c r="K54" t="s">
        <v>335</v>
      </c>
      <c r="L54">
        <v>1368</v>
      </c>
      <c r="N54">
        <v>1011</v>
      </c>
      <c r="O54" t="s">
        <v>66</v>
      </c>
      <c r="P54" t="s">
        <v>66</v>
      </c>
      <c r="Q54">
        <v>1</v>
      </c>
      <c r="W54">
        <v>0</v>
      </c>
      <c r="X54">
        <v>-1355227874</v>
      </c>
      <c r="Y54">
        <f t="shared" si="12"/>
        <v>1.05</v>
      </c>
      <c r="AA54">
        <v>0</v>
      </c>
      <c r="AB54">
        <v>53.19</v>
      </c>
      <c r="AC54">
        <v>0</v>
      </c>
      <c r="AD54">
        <v>0</v>
      </c>
      <c r="AE54">
        <v>0</v>
      </c>
      <c r="AF54">
        <v>53.19</v>
      </c>
      <c r="AG54">
        <v>0</v>
      </c>
      <c r="AH54">
        <v>0</v>
      </c>
      <c r="AI54">
        <v>1</v>
      </c>
      <c r="AJ54">
        <v>1</v>
      </c>
      <c r="AK54">
        <v>1</v>
      </c>
      <c r="AL54">
        <v>1</v>
      </c>
      <c r="AM54">
        <v>-2</v>
      </c>
      <c r="AN54">
        <v>0</v>
      </c>
      <c r="AO54">
        <v>0</v>
      </c>
      <c r="AP54">
        <v>0</v>
      </c>
      <c r="AQ54">
        <v>1</v>
      </c>
      <c r="AR54">
        <v>0</v>
      </c>
      <c r="AS54" t="s">
        <v>3</v>
      </c>
      <c r="AT54">
        <v>1.05</v>
      </c>
      <c r="AU54" t="s">
        <v>3</v>
      </c>
      <c r="AV54">
        <v>1</v>
      </c>
      <c r="AW54">
        <v>2</v>
      </c>
      <c r="AX54">
        <v>38183851</v>
      </c>
      <c r="AY54">
        <v>1</v>
      </c>
      <c r="AZ54">
        <v>0</v>
      </c>
      <c r="BA54">
        <v>52</v>
      </c>
      <c r="BB54">
        <v>1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55.849499999999999</v>
      </c>
      <c r="BL54">
        <v>0</v>
      </c>
      <c r="BM54">
        <v>0</v>
      </c>
      <c r="BN54">
        <v>0</v>
      </c>
      <c r="BO54">
        <v>0</v>
      </c>
      <c r="BP54">
        <v>1</v>
      </c>
      <c r="BQ54">
        <v>0</v>
      </c>
      <c r="BR54">
        <v>55.849499999999999</v>
      </c>
      <c r="BS54">
        <v>0</v>
      </c>
      <c r="BT54">
        <v>0</v>
      </c>
      <c r="BU54">
        <v>0</v>
      </c>
      <c r="BV54">
        <v>0</v>
      </c>
      <c r="BW54">
        <v>1</v>
      </c>
      <c r="CV54">
        <v>0</v>
      </c>
      <c r="CW54">
        <f>ROUND(Y54*Source!I37*DO54,7)</f>
        <v>0</v>
      </c>
      <c r="CX54">
        <f>ROUND(Y54*Source!I37,7)</f>
        <v>4.7249999999999996</v>
      </c>
      <c r="CY54">
        <f>AB54</f>
        <v>53.19</v>
      </c>
      <c r="CZ54">
        <f>AF54</f>
        <v>53.19</v>
      </c>
      <c r="DA54">
        <f>AJ54</f>
        <v>1</v>
      </c>
      <c r="DB54">
        <f t="shared" si="13"/>
        <v>55.85</v>
      </c>
      <c r="DC54">
        <f t="shared" si="14"/>
        <v>0</v>
      </c>
      <c r="DD54" t="s">
        <v>3</v>
      </c>
      <c r="DE54" t="s">
        <v>3</v>
      </c>
      <c r="DF54">
        <f t="shared" si="29"/>
        <v>0</v>
      </c>
      <c r="DG54">
        <f>ROUND(ROUND(AF54,2)*CX54,2)</f>
        <v>251.32</v>
      </c>
      <c r="DH54">
        <f t="shared" si="21"/>
        <v>0</v>
      </c>
      <c r="DI54">
        <f t="shared" si="22"/>
        <v>0</v>
      </c>
      <c r="DJ54">
        <f>DG54+DH54</f>
        <v>251.32</v>
      </c>
      <c r="DK54">
        <v>1</v>
      </c>
      <c r="DL54" t="s">
        <v>3</v>
      </c>
      <c r="DM54">
        <v>0</v>
      </c>
      <c r="DN54" t="s">
        <v>3</v>
      </c>
      <c r="DO54">
        <v>0</v>
      </c>
    </row>
    <row r="55" spans="1:119">
      <c r="A55">
        <f>ROW(Source!A37)</f>
        <v>37</v>
      </c>
      <c r="B55">
        <v>38182922</v>
      </c>
      <c r="C55">
        <v>38183842</v>
      </c>
      <c r="D55">
        <v>35415851</v>
      </c>
      <c r="E55">
        <v>1</v>
      </c>
      <c r="F55">
        <v>1</v>
      </c>
      <c r="G55">
        <v>1</v>
      </c>
      <c r="H55">
        <v>3</v>
      </c>
      <c r="I55" t="s">
        <v>111</v>
      </c>
      <c r="J55" t="s">
        <v>114</v>
      </c>
      <c r="K55" t="s">
        <v>112</v>
      </c>
      <c r="L55">
        <v>1339</v>
      </c>
      <c r="N55">
        <v>1007</v>
      </c>
      <c r="O55" t="s">
        <v>113</v>
      </c>
      <c r="P55" t="s">
        <v>113</v>
      </c>
      <c r="Q55">
        <v>1</v>
      </c>
      <c r="W55">
        <v>0</v>
      </c>
      <c r="X55">
        <v>318135557</v>
      </c>
      <c r="Y55">
        <f t="shared" si="12"/>
        <v>12.74</v>
      </c>
      <c r="AA55">
        <v>757.36</v>
      </c>
      <c r="AB55">
        <v>0</v>
      </c>
      <c r="AC55">
        <v>0</v>
      </c>
      <c r="AD55">
        <v>0</v>
      </c>
      <c r="AE55">
        <v>757.36</v>
      </c>
      <c r="AF55">
        <v>0</v>
      </c>
      <c r="AG55">
        <v>0</v>
      </c>
      <c r="AH55">
        <v>0</v>
      </c>
      <c r="AI55">
        <v>1</v>
      </c>
      <c r="AJ55">
        <v>1</v>
      </c>
      <c r="AK55">
        <v>1</v>
      </c>
      <c r="AL55">
        <v>1</v>
      </c>
      <c r="AM55">
        <v>-2</v>
      </c>
      <c r="AN55">
        <v>0</v>
      </c>
      <c r="AO55">
        <v>0</v>
      </c>
      <c r="AP55">
        <v>0</v>
      </c>
      <c r="AQ55">
        <v>1</v>
      </c>
      <c r="AR55">
        <v>0</v>
      </c>
      <c r="AS55" t="s">
        <v>3</v>
      </c>
      <c r="AT55">
        <v>12.74</v>
      </c>
      <c r="AU55" t="s">
        <v>3</v>
      </c>
      <c r="AV55">
        <v>0</v>
      </c>
      <c r="AW55">
        <v>2</v>
      </c>
      <c r="AX55">
        <v>38183854</v>
      </c>
      <c r="AY55">
        <v>1</v>
      </c>
      <c r="AZ55">
        <v>0</v>
      </c>
      <c r="BA55">
        <v>53</v>
      </c>
      <c r="BB55">
        <v>1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9648.7664000000004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1</v>
      </c>
      <c r="BQ55">
        <v>9648.7664000000004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1</v>
      </c>
      <c r="CV55">
        <v>0</v>
      </c>
      <c r="CW55">
        <v>0</v>
      </c>
      <c r="CX55">
        <f>ROUND(Y55*Source!I37,7)</f>
        <v>57.33</v>
      </c>
      <c r="CY55">
        <f>AA55</f>
        <v>757.36</v>
      </c>
      <c r="CZ55">
        <f>AE55</f>
        <v>757.36</v>
      </c>
      <c r="DA55">
        <f>AI55</f>
        <v>1</v>
      </c>
      <c r="DB55">
        <f t="shared" si="13"/>
        <v>9648.77</v>
      </c>
      <c r="DC55">
        <f t="shared" si="14"/>
        <v>0</v>
      </c>
      <c r="DD55" t="s">
        <v>3</v>
      </c>
      <c r="DE55" t="s">
        <v>3</v>
      </c>
      <c r="DF55">
        <f t="shared" si="29"/>
        <v>43419.45</v>
      </c>
      <c r="DG55">
        <f>ROUND(ROUND(AF55,2)*CX55,2)</f>
        <v>0</v>
      </c>
      <c r="DH55">
        <f t="shared" si="21"/>
        <v>0</v>
      </c>
      <c r="DI55">
        <f t="shared" si="22"/>
        <v>0</v>
      </c>
      <c r="DJ55">
        <f>DF55</f>
        <v>43419.45</v>
      </c>
      <c r="DK55">
        <v>1</v>
      </c>
      <c r="DL55" t="s">
        <v>3</v>
      </c>
      <c r="DM55">
        <v>0</v>
      </c>
      <c r="DN55" t="s">
        <v>3</v>
      </c>
      <c r="DO55">
        <v>0</v>
      </c>
    </row>
    <row r="56" spans="1:119">
      <c r="A56">
        <f>ROW(Source!A39)</f>
        <v>39</v>
      </c>
      <c r="B56">
        <v>38182922</v>
      </c>
      <c r="C56">
        <v>38183855</v>
      </c>
      <c r="D56">
        <v>35338785</v>
      </c>
      <c r="E56">
        <v>117</v>
      </c>
      <c r="F56">
        <v>1</v>
      </c>
      <c r="G56">
        <v>1</v>
      </c>
      <c r="H56">
        <v>1</v>
      </c>
      <c r="I56" t="s">
        <v>332</v>
      </c>
      <c r="J56" t="s">
        <v>3</v>
      </c>
      <c r="K56" t="s">
        <v>336</v>
      </c>
      <c r="L56">
        <v>1191</v>
      </c>
      <c r="N56">
        <v>1013</v>
      </c>
      <c r="O56" t="s">
        <v>258</v>
      </c>
      <c r="P56" t="s">
        <v>258</v>
      </c>
      <c r="Q56">
        <v>1</v>
      </c>
      <c r="W56">
        <v>0</v>
      </c>
      <c r="X56">
        <v>544407225</v>
      </c>
      <c r="Y56">
        <f t="shared" si="12"/>
        <v>1</v>
      </c>
      <c r="AA56">
        <v>0</v>
      </c>
      <c r="AB56">
        <v>0</v>
      </c>
      <c r="AC56">
        <v>0</v>
      </c>
      <c r="AD56">
        <v>620.14</v>
      </c>
      <c r="AE56">
        <v>0</v>
      </c>
      <c r="AF56">
        <v>0</v>
      </c>
      <c r="AG56">
        <v>0</v>
      </c>
      <c r="AH56">
        <v>620.14</v>
      </c>
      <c r="AI56">
        <v>1</v>
      </c>
      <c r="AJ56">
        <v>1</v>
      </c>
      <c r="AK56">
        <v>1</v>
      </c>
      <c r="AL56">
        <v>1</v>
      </c>
      <c r="AM56">
        <v>-2</v>
      </c>
      <c r="AN56">
        <v>0</v>
      </c>
      <c r="AO56">
        <v>0</v>
      </c>
      <c r="AP56">
        <v>0</v>
      </c>
      <c r="AQ56">
        <v>1</v>
      </c>
      <c r="AR56">
        <v>0</v>
      </c>
      <c r="AS56" t="s">
        <v>3</v>
      </c>
      <c r="AT56">
        <v>1</v>
      </c>
      <c r="AU56" t="s">
        <v>3</v>
      </c>
      <c r="AV56">
        <v>2</v>
      </c>
      <c r="AW56">
        <v>2</v>
      </c>
      <c r="AX56">
        <v>38183857</v>
      </c>
      <c r="AY56">
        <v>1</v>
      </c>
      <c r="AZ56">
        <v>0</v>
      </c>
      <c r="BA56">
        <v>54</v>
      </c>
      <c r="BB56">
        <v>1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CV56">
        <v>0</v>
      </c>
      <c r="CW56">
        <v>0</v>
      </c>
      <c r="CX56">
        <f>ROUND(Y56*Source!I39,7)</f>
        <v>-3.42</v>
      </c>
      <c r="CY56">
        <f>AD56</f>
        <v>620.14</v>
      </c>
      <c r="CZ56">
        <f>AH56</f>
        <v>620.14</v>
      </c>
      <c r="DA56">
        <f>AL56</f>
        <v>1</v>
      </c>
      <c r="DB56">
        <f t="shared" si="13"/>
        <v>620.14</v>
      </c>
      <c r="DC56">
        <f t="shared" si="14"/>
        <v>0</v>
      </c>
      <c r="DD56" t="s">
        <v>3</v>
      </c>
      <c r="DE56" t="s">
        <v>3</v>
      </c>
      <c r="DF56">
        <f t="shared" si="29"/>
        <v>0</v>
      </c>
      <c r="DG56">
        <f>ROUND(ROUND(AF56,2)*CX56,2)</f>
        <v>0</v>
      </c>
      <c r="DH56">
        <f t="shared" si="21"/>
        <v>0</v>
      </c>
      <c r="DI56">
        <f t="shared" si="22"/>
        <v>-2120.88</v>
      </c>
      <c r="DJ56">
        <f>DI56</f>
        <v>-2120.88</v>
      </c>
      <c r="DK56">
        <v>1</v>
      </c>
      <c r="DL56" t="s">
        <v>3</v>
      </c>
      <c r="DM56">
        <v>0</v>
      </c>
      <c r="DN56" t="s">
        <v>3</v>
      </c>
      <c r="DO56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AR54"/>
  <sheetViews>
    <sheetView workbookViewId="0"/>
  </sheetViews>
  <sheetFormatPr defaultColWidth="9.140625" defaultRowHeight="12.75"/>
  <cols>
    <col min="1" max="256" width="9.140625" customWidth="1"/>
  </cols>
  <sheetData>
    <row r="1" spans="1:44">
      <c r="A1">
        <f>ROW(Source!A24)</f>
        <v>24</v>
      </c>
      <c r="B1">
        <v>38182941</v>
      </c>
      <c r="C1">
        <v>38182940</v>
      </c>
      <c r="D1">
        <v>35338390</v>
      </c>
      <c r="E1">
        <v>117</v>
      </c>
      <c r="F1">
        <v>1</v>
      </c>
      <c r="G1">
        <v>1</v>
      </c>
      <c r="H1">
        <v>1</v>
      </c>
      <c r="I1" t="s">
        <v>256</v>
      </c>
      <c r="J1" t="s">
        <v>3</v>
      </c>
      <c r="K1" t="s">
        <v>257</v>
      </c>
      <c r="L1">
        <v>1191</v>
      </c>
      <c r="N1">
        <v>1013</v>
      </c>
      <c r="O1" t="s">
        <v>258</v>
      </c>
      <c r="P1" t="s">
        <v>258</v>
      </c>
      <c r="Q1">
        <v>1</v>
      </c>
      <c r="X1">
        <v>5.9</v>
      </c>
      <c r="Y1">
        <v>0</v>
      </c>
      <c r="Z1">
        <v>0</v>
      </c>
      <c r="AA1">
        <v>0</v>
      </c>
      <c r="AB1">
        <v>352.06</v>
      </c>
      <c r="AC1">
        <v>0</v>
      </c>
      <c r="AD1">
        <v>1</v>
      </c>
      <c r="AE1">
        <v>1</v>
      </c>
      <c r="AF1" t="s">
        <v>3</v>
      </c>
      <c r="AG1">
        <v>5.9</v>
      </c>
      <c r="AH1">
        <v>2</v>
      </c>
      <c r="AI1">
        <v>38182941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>
      <c r="A2">
        <f>ROW(Source!A24)</f>
        <v>24</v>
      </c>
      <c r="B2">
        <v>38182942</v>
      </c>
      <c r="C2">
        <v>38182940</v>
      </c>
      <c r="D2">
        <v>35338624</v>
      </c>
      <c r="E2">
        <v>117</v>
      </c>
      <c r="F2">
        <v>1</v>
      </c>
      <c r="G2">
        <v>1</v>
      </c>
      <c r="H2">
        <v>1</v>
      </c>
      <c r="I2" t="s">
        <v>259</v>
      </c>
      <c r="J2" t="s">
        <v>3</v>
      </c>
      <c r="K2" t="s">
        <v>260</v>
      </c>
      <c r="L2">
        <v>1191</v>
      </c>
      <c r="N2">
        <v>1013</v>
      </c>
      <c r="O2" t="s">
        <v>258</v>
      </c>
      <c r="P2" t="s">
        <v>258</v>
      </c>
      <c r="Q2">
        <v>1</v>
      </c>
      <c r="X2">
        <v>29.39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2</v>
      </c>
      <c r="AF2" t="s">
        <v>3</v>
      </c>
      <c r="AG2">
        <v>29.39</v>
      </c>
      <c r="AH2">
        <v>2</v>
      </c>
      <c r="AI2">
        <v>38182942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>
      <c r="A3">
        <f>ROW(Source!A24)</f>
        <v>24</v>
      </c>
      <c r="B3">
        <v>38182943</v>
      </c>
      <c r="C3">
        <v>38182940</v>
      </c>
      <c r="D3">
        <v>35344726</v>
      </c>
      <c r="E3">
        <v>1</v>
      </c>
      <c r="F3">
        <v>1</v>
      </c>
      <c r="G3">
        <v>1</v>
      </c>
      <c r="H3">
        <v>2</v>
      </c>
      <c r="I3" t="s">
        <v>261</v>
      </c>
      <c r="J3" t="s">
        <v>262</v>
      </c>
      <c r="K3" t="s">
        <v>263</v>
      </c>
      <c r="L3">
        <v>1368</v>
      </c>
      <c r="N3">
        <v>1011</v>
      </c>
      <c r="O3" t="s">
        <v>66</v>
      </c>
      <c r="P3" t="s">
        <v>66</v>
      </c>
      <c r="Q3">
        <v>1</v>
      </c>
      <c r="X3">
        <v>29.39</v>
      </c>
      <c r="Y3">
        <v>0</v>
      </c>
      <c r="Z3">
        <v>947.64</v>
      </c>
      <c r="AA3">
        <v>497.4</v>
      </c>
      <c r="AB3">
        <v>0</v>
      </c>
      <c r="AC3">
        <v>0</v>
      </c>
      <c r="AD3">
        <v>1</v>
      </c>
      <c r="AE3">
        <v>0</v>
      </c>
      <c r="AF3" t="s">
        <v>3</v>
      </c>
      <c r="AG3">
        <v>29.39</v>
      </c>
      <c r="AH3">
        <v>2</v>
      </c>
      <c r="AI3">
        <v>38182943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>
      <c r="A4">
        <f>ROW(Source!A25)</f>
        <v>25</v>
      </c>
      <c r="B4">
        <v>38182947</v>
      </c>
      <c r="C4">
        <v>38182946</v>
      </c>
      <c r="D4">
        <v>35338454</v>
      </c>
      <c r="E4">
        <v>117</v>
      </c>
      <c r="F4">
        <v>1</v>
      </c>
      <c r="G4">
        <v>1</v>
      </c>
      <c r="H4">
        <v>1</v>
      </c>
      <c r="I4" t="s">
        <v>265</v>
      </c>
      <c r="J4" t="s">
        <v>3</v>
      </c>
      <c r="K4" t="s">
        <v>266</v>
      </c>
      <c r="L4">
        <v>1191</v>
      </c>
      <c r="N4">
        <v>1013</v>
      </c>
      <c r="O4" t="s">
        <v>258</v>
      </c>
      <c r="P4" t="s">
        <v>258</v>
      </c>
      <c r="Q4">
        <v>1</v>
      </c>
      <c r="X4">
        <v>187.6</v>
      </c>
      <c r="Y4">
        <v>0</v>
      </c>
      <c r="Z4">
        <v>0</v>
      </c>
      <c r="AA4">
        <v>0</v>
      </c>
      <c r="AB4">
        <v>432.81</v>
      </c>
      <c r="AC4">
        <v>0</v>
      </c>
      <c r="AD4">
        <v>1</v>
      </c>
      <c r="AE4">
        <v>1</v>
      </c>
      <c r="AF4" t="s">
        <v>34</v>
      </c>
      <c r="AG4">
        <v>150.08000000000001</v>
      </c>
      <c r="AH4">
        <v>2</v>
      </c>
      <c r="AI4">
        <v>38182947</v>
      </c>
      <c r="AJ4">
        <v>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>
      <c r="A5">
        <f>ROW(Source!A25)</f>
        <v>25</v>
      </c>
      <c r="B5">
        <v>38182948</v>
      </c>
      <c r="C5">
        <v>38182946</v>
      </c>
      <c r="D5">
        <v>35338624</v>
      </c>
      <c r="E5">
        <v>117</v>
      </c>
      <c r="F5">
        <v>1</v>
      </c>
      <c r="G5">
        <v>1</v>
      </c>
      <c r="H5">
        <v>1</v>
      </c>
      <c r="I5" t="s">
        <v>259</v>
      </c>
      <c r="J5" t="s">
        <v>3</v>
      </c>
      <c r="K5" t="s">
        <v>260</v>
      </c>
      <c r="L5">
        <v>1191</v>
      </c>
      <c r="N5">
        <v>1013</v>
      </c>
      <c r="O5" t="s">
        <v>258</v>
      </c>
      <c r="P5" t="s">
        <v>258</v>
      </c>
      <c r="Q5">
        <v>1</v>
      </c>
      <c r="X5">
        <v>12.88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2</v>
      </c>
      <c r="AF5" t="s">
        <v>34</v>
      </c>
      <c r="AG5">
        <v>10.304000000000002</v>
      </c>
      <c r="AH5">
        <v>2</v>
      </c>
      <c r="AI5">
        <v>38182948</v>
      </c>
      <c r="AJ5">
        <v>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>
      <c r="A6">
        <f>ROW(Source!A25)</f>
        <v>25</v>
      </c>
      <c r="B6">
        <v>38182949</v>
      </c>
      <c r="C6">
        <v>38182946</v>
      </c>
      <c r="D6">
        <v>35345762</v>
      </c>
      <c r="E6">
        <v>1</v>
      </c>
      <c r="F6">
        <v>1</v>
      </c>
      <c r="G6">
        <v>1</v>
      </c>
      <c r="H6">
        <v>2</v>
      </c>
      <c r="I6" t="s">
        <v>267</v>
      </c>
      <c r="J6" t="s">
        <v>268</v>
      </c>
      <c r="K6" t="s">
        <v>269</v>
      </c>
      <c r="L6">
        <v>1368</v>
      </c>
      <c r="N6">
        <v>1011</v>
      </c>
      <c r="O6" t="s">
        <v>66</v>
      </c>
      <c r="P6" t="s">
        <v>66</v>
      </c>
      <c r="Q6">
        <v>1</v>
      </c>
      <c r="X6">
        <v>12.4</v>
      </c>
      <c r="Y6">
        <v>0</v>
      </c>
      <c r="Z6">
        <v>4403.5600000000004</v>
      </c>
      <c r="AA6">
        <v>707.35</v>
      </c>
      <c r="AB6">
        <v>0</v>
      </c>
      <c r="AC6">
        <v>0</v>
      </c>
      <c r="AD6">
        <v>1</v>
      </c>
      <c r="AE6">
        <v>0</v>
      </c>
      <c r="AF6" t="s">
        <v>34</v>
      </c>
      <c r="AG6">
        <v>9.9200000000000017</v>
      </c>
      <c r="AH6">
        <v>2</v>
      </c>
      <c r="AI6">
        <v>38182949</v>
      </c>
      <c r="AJ6">
        <v>6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>
      <c r="A7">
        <f>ROW(Source!A25)</f>
        <v>25</v>
      </c>
      <c r="B7">
        <v>38182950</v>
      </c>
      <c r="C7">
        <v>38182946</v>
      </c>
      <c r="D7">
        <v>35346009</v>
      </c>
      <c r="E7">
        <v>1</v>
      </c>
      <c r="F7">
        <v>1</v>
      </c>
      <c r="G7">
        <v>1</v>
      </c>
      <c r="H7">
        <v>2</v>
      </c>
      <c r="I7" t="s">
        <v>271</v>
      </c>
      <c r="J7" t="s">
        <v>272</v>
      </c>
      <c r="K7" t="s">
        <v>273</v>
      </c>
      <c r="L7">
        <v>1368</v>
      </c>
      <c r="N7">
        <v>1011</v>
      </c>
      <c r="O7" t="s">
        <v>66</v>
      </c>
      <c r="P7" t="s">
        <v>66</v>
      </c>
      <c r="Q7">
        <v>1</v>
      </c>
      <c r="X7">
        <v>0.48</v>
      </c>
      <c r="Y7">
        <v>0</v>
      </c>
      <c r="Z7">
        <v>652.84</v>
      </c>
      <c r="AA7">
        <v>432.81</v>
      </c>
      <c r="AB7">
        <v>0</v>
      </c>
      <c r="AC7">
        <v>0</v>
      </c>
      <c r="AD7">
        <v>1</v>
      </c>
      <c r="AE7">
        <v>0</v>
      </c>
      <c r="AF7" t="s">
        <v>34</v>
      </c>
      <c r="AG7">
        <v>0.38400000000000001</v>
      </c>
      <c r="AH7">
        <v>2</v>
      </c>
      <c r="AI7">
        <v>38182950</v>
      </c>
      <c r="AJ7">
        <v>7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>
      <c r="A8">
        <f>ROW(Source!A25)</f>
        <v>25</v>
      </c>
      <c r="B8">
        <v>38182951</v>
      </c>
      <c r="C8">
        <v>38182946</v>
      </c>
      <c r="D8">
        <v>35410630</v>
      </c>
      <c r="E8">
        <v>1</v>
      </c>
      <c r="F8">
        <v>1</v>
      </c>
      <c r="G8">
        <v>1</v>
      </c>
      <c r="H8">
        <v>3</v>
      </c>
      <c r="I8" t="s">
        <v>275</v>
      </c>
      <c r="J8" t="s">
        <v>276</v>
      </c>
      <c r="K8" t="s">
        <v>277</v>
      </c>
      <c r="L8">
        <v>1348</v>
      </c>
      <c r="N8">
        <v>1009</v>
      </c>
      <c r="O8" t="s">
        <v>84</v>
      </c>
      <c r="P8" t="s">
        <v>84</v>
      </c>
      <c r="Q8">
        <v>1000</v>
      </c>
      <c r="X8">
        <v>0.114</v>
      </c>
      <c r="Y8">
        <v>21588.35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 t="s">
        <v>33</v>
      </c>
      <c r="AG8">
        <v>0</v>
      </c>
      <c r="AH8">
        <v>2</v>
      </c>
      <c r="AI8">
        <v>38182951</v>
      </c>
      <c r="AJ8">
        <v>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>
      <c r="A9">
        <f>ROW(Source!A25)</f>
        <v>25</v>
      </c>
      <c r="B9">
        <v>38182952</v>
      </c>
      <c r="C9">
        <v>38182946</v>
      </c>
      <c r="D9">
        <v>35412767</v>
      </c>
      <c r="E9">
        <v>1</v>
      </c>
      <c r="F9">
        <v>1</v>
      </c>
      <c r="G9">
        <v>1</v>
      </c>
      <c r="H9">
        <v>3</v>
      </c>
      <c r="I9" t="s">
        <v>278</v>
      </c>
      <c r="J9" t="s">
        <v>279</v>
      </c>
      <c r="K9" t="s">
        <v>280</v>
      </c>
      <c r="L9">
        <v>1339</v>
      </c>
      <c r="N9">
        <v>1007</v>
      </c>
      <c r="O9" t="s">
        <v>113</v>
      </c>
      <c r="P9" t="s">
        <v>113</v>
      </c>
      <c r="Q9">
        <v>1</v>
      </c>
      <c r="X9">
        <v>78.5</v>
      </c>
      <c r="Y9">
        <v>35.71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 t="s">
        <v>33</v>
      </c>
      <c r="AG9">
        <v>0</v>
      </c>
      <c r="AH9">
        <v>2</v>
      </c>
      <c r="AI9">
        <v>38182952</v>
      </c>
      <c r="AJ9">
        <v>9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>
      <c r="A10">
        <f>ROW(Source!A25)</f>
        <v>25</v>
      </c>
      <c r="B10">
        <v>38182953</v>
      </c>
      <c r="C10">
        <v>38182946</v>
      </c>
      <c r="D10">
        <v>35413250</v>
      </c>
      <c r="E10">
        <v>1</v>
      </c>
      <c r="F10">
        <v>1</v>
      </c>
      <c r="G10">
        <v>1</v>
      </c>
      <c r="H10">
        <v>3</v>
      </c>
      <c r="I10" t="s">
        <v>281</v>
      </c>
      <c r="J10" t="s">
        <v>282</v>
      </c>
      <c r="K10" t="s">
        <v>283</v>
      </c>
      <c r="L10">
        <v>1346</v>
      </c>
      <c r="N10">
        <v>1009</v>
      </c>
      <c r="O10" t="s">
        <v>284</v>
      </c>
      <c r="P10" t="s">
        <v>284</v>
      </c>
      <c r="Q10">
        <v>1</v>
      </c>
      <c r="X10">
        <v>84</v>
      </c>
      <c r="Y10">
        <v>152.78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 t="s">
        <v>33</v>
      </c>
      <c r="AG10">
        <v>0</v>
      </c>
      <c r="AH10">
        <v>2</v>
      </c>
      <c r="AI10">
        <v>38182953</v>
      </c>
      <c r="AJ10">
        <v>10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>
      <c r="A11">
        <f>ROW(Source!A25)</f>
        <v>25</v>
      </c>
      <c r="B11">
        <v>38182954</v>
      </c>
      <c r="C11">
        <v>38182946</v>
      </c>
      <c r="D11">
        <v>35416145</v>
      </c>
      <c r="E11">
        <v>1</v>
      </c>
      <c r="F11">
        <v>1</v>
      </c>
      <c r="G11">
        <v>1</v>
      </c>
      <c r="H11">
        <v>3</v>
      </c>
      <c r="I11" t="s">
        <v>285</v>
      </c>
      <c r="J11" t="s">
        <v>286</v>
      </c>
      <c r="K11" t="s">
        <v>287</v>
      </c>
      <c r="L11">
        <v>1348</v>
      </c>
      <c r="N11">
        <v>1009</v>
      </c>
      <c r="O11" t="s">
        <v>84</v>
      </c>
      <c r="P11" t="s">
        <v>84</v>
      </c>
      <c r="Q11">
        <v>1000</v>
      </c>
      <c r="X11">
        <v>0.2656</v>
      </c>
      <c r="Y11">
        <v>4800.8500000000004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 t="s">
        <v>33</v>
      </c>
      <c r="AG11">
        <v>0</v>
      </c>
      <c r="AH11">
        <v>2</v>
      </c>
      <c r="AI11">
        <v>38182954</v>
      </c>
      <c r="AJ11">
        <v>11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>
      <c r="A12">
        <f>ROW(Source!A25)</f>
        <v>25</v>
      </c>
      <c r="B12">
        <v>38182955</v>
      </c>
      <c r="C12">
        <v>38182946</v>
      </c>
      <c r="D12">
        <v>35416737</v>
      </c>
      <c r="E12">
        <v>1</v>
      </c>
      <c r="F12">
        <v>1</v>
      </c>
      <c r="G12">
        <v>1</v>
      </c>
      <c r="H12">
        <v>3</v>
      </c>
      <c r="I12" t="s">
        <v>288</v>
      </c>
      <c r="J12" t="s">
        <v>289</v>
      </c>
      <c r="K12" t="s">
        <v>290</v>
      </c>
      <c r="L12">
        <v>1339</v>
      </c>
      <c r="N12">
        <v>1007</v>
      </c>
      <c r="O12" t="s">
        <v>113</v>
      </c>
      <c r="P12" t="s">
        <v>113</v>
      </c>
      <c r="Q12">
        <v>1</v>
      </c>
      <c r="X12">
        <v>0.66</v>
      </c>
      <c r="Y12">
        <v>5769.31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 t="s">
        <v>33</v>
      </c>
      <c r="AG12">
        <v>0</v>
      </c>
      <c r="AH12">
        <v>2</v>
      </c>
      <c r="AI12">
        <v>38182955</v>
      </c>
      <c r="AJ12">
        <v>12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>
      <c r="A13">
        <f>ROW(Source!A25)</f>
        <v>25</v>
      </c>
      <c r="B13">
        <v>38182956</v>
      </c>
      <c r="C13">
        <v>38182946</v>
      </c>
      <c r="D13">
        <v>35340034</v>
      </c>
      <c r="E13">
        <v>117</v>
      </c>
      <c r="F13">
        <v>1</v>
      </c>
      <c r="G13">
        <v>1</v>
      </c>
      <c r="H13">
        <v>3</v>
      </c>
      <c r="I13" t="s">
        <v>41</v>
      </c>
      <c r="J13" t="s">
        <v>3</v>
      </c>
      <c r="K13" t="s">
        <v>42</v>
      </c>
      <c r="L13">
        <v>1301</v>
      </c>
      <c r="N13">
        <v>1003</v>
      </c>
      <c r="O13" t="s">
        <v>43</v>
      </c>
      <c r="P13" t="s">
        <v>43</v>
      </c>
      <c r="Q13">
        <v>1</v>
      </c>
      <c r="X13">
        <v>99.7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 t="s">
        <v>33</v>
      </c>
      <c r="AG13">
        <v>0</v>
      </c>
      <c r="AH13">
        <v>2</v>
      </c>
      <c r="AI13">
        <v>38182956</v>
      </c>
      <c r="AJ13">
        <v>13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>
      <c r="A14">
        <f>ROW(Source!A27)</f>
        <v>27</v>
      </c>
      <c r="B14">
        <v>38183870</v>
      </c>
      <c r="C14">
        <v>38183869</v>
      </c>
      <c r="D14">
        <v>35338476</v>
      </c>
      <c r="E14">
        <v>117</v>
      </c>
      <c r="F14">
        <v>1</v>
      </c>
      <c r="G14">
        <v>1</v>
      </c>
      <c r="H14">
        <v>1</v>
      </c>
      <c r="I14" t="s">
        <v>291</v>
      </c>
      <c r="J14" t="s">
        <v>3</v>
      </c>
      <c r="K14" t="s">
        <v>292</v>
      </c>
      <c r="L14">
        <v>1191</v>
      </c>
      <c r="N14">
        <v>1013</v>
      </c>
      <c r="O14" t="s">
        <v>258</v>
      </c>
      <c r="P14" t="s">
        <v>258</v>
      </c>
      <c r="Q14">
        <v>1</v>
      </c>
      <c r="X14">
        <v>1.59</v>
      </c>
      <c r="Y14">
        <v>0</v>
      </c>
      <c r="Z14">
        <v>0</v>
      </c>
      <c r="AA14">
        <v>0</v>
      </c>
      <c r="AB14">
        <v>478.03</v>
      </c>
      <c r="AC14">
        <v>0</v>
      </c>
      <c r="AD14">
        <v>1</v>
      </c>
      <c r="AE14">
        <v>1</v>
      </c>
      <c r="AF14" t="s">
        <v>3</v>
      </c>
      <c r="AG14">
        <v>1.59</v>
      </c>
      <c r="AH14">
        <v>2</v>
      </c>
      <c r="AI14">
        <v>38183870</v>
      </c>
      <c r="AJ14">
        <v>14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>
      <c r="A15">
        <f>ROW(Source!A27)</f>
        <v>27</v>
      </c>
      <c r="B15">
        <v>38183871</v>
      </c>
      <c r="C15">
        <v>38183869</v>
      </c>
      <c r="D15">
        <v>35338624</v>
      </c>
      <c r="E15">
        <v>117</v>
      </c>
      <c r="F15">
        <v>1</v>
      </c>
      <c r="G15">
        <v>1</v>
      </c>
      <c r="H15">
        <v>1</v>
      </c>
      <c r="I15" t="s">
        <v>259</v>
      </c>
      <c r="J15" t="s">
        <v>3</v>
      </c>
      <c r="K15" t="s">
        <v>260</v>
      </c>
      <c r="L15">
        <v>1191</v>
      </c>
      <c r="N15">
        <v>1013</v>
      </c>
      <c r="O15" t="s">
        <v>258</v>
      </c>
      <c r="P15" t="s">
        <v>258</v>
      </c>
      <c r="Q15">
        <v>1</v>
      </c>
      <c r="X15">
        <v>0.75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2</v>
      </c>
      <c r="AF15" t="s">
        <v>3</v>
      </c>
      <c r="AG15">
        <v>0.75</v>
      </c>
      <c r="AH15">
        <v>2</v>
      </c>
      <c r="AI15">
        <v>38183871</v>
      </c>
      <c r="AJ15">
        <v>15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>
      <c r="A16">
        <f>ROW(Source!A27)</f>
        <v>27</v>
      </c>
      <c r="B16">
        <v>38183872</v>
      </c>
      <c r="C16">
        <v>38183869</v>
      </c>
      <c r="D16">
        <v>35345762</v>
      </c>
      <c r="E16">
        <v>1</v>
      </c>
      <c r="F16">
        <v>1</v>
      </c>
      <c r="G16">
        <v>1</v>
      </c>
      <c r="H16">
        <v>2</v>
      </c>
      <c r="I16" t="s">
        <v>267</v>
      </c>
      <c r="J16" t="s">
        <v>268</v>
      </c>
      <c r="K16" t="s">
        <v>269</v>
      </c>
      <c r="L16">
        <v>1368</v>
      </c>
      <c r="N16">
        <v>1011</v>
      </c>
      <c r="O16" t="s">
        <v>66</v>
      </c>
      <c r="P16" t="s">
        <v>66</v>
      </c>
      <c r="Q16">
        <v>1</v>
      </c>
      <c r="X16">
        <v>0.75</v>
      </c>
      <c r="Y16">
        <v>0</v>
      </c>
      <c r="Z16">
        <v>4403.5600000000004</v>
      </c>
      <c r="AA16">
        <v>707.35</v>
      </c>
      <c r="AB16">
        <v>0</v>
      </c>
      <c r="AC16">
        <v>0</v>
      </c>
      <c r="AD16">
        <v>1</v>
      </c>
      <c r="AE16">
        <v>0</v>
      </c>
      <c r="AF16" t="s">
        <v>3</v>
      </c>
      <c r="AG16">
        <v>0.75</v>
      </c>
      <c r="AH16">
        <v>2</v>
      </c>
      <c r="AI16">
        <v>38183872</v>
      </c>
      <c r="AJ16">
        <v>16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>
      <c r="A17">
        <f>ROW(Source!A27)</f>
        <v>27</v>
      </c>
      <c r="B17">
        <v>38183873</v>
      </c>
      <c r="C17">
        <v>38183869</v>
      </c>
      <c r="D17">
        <v>35346167</v>
      </c>
      <c r="E17">
        <v>1</v>
      </c>
      <c r="F17">
        <v>1</v>
      </c>
      <c r="G17">
        <v>1</v>
      </c>
      <c r="H17">
        <v>2</v>
      </c>
      <c r="I17" t="s">
        <v>293</v>
      </c>
      <c r="J17" t="s">
        <v>294</v>
      </c>
      <c r="K17" t="s">
        <v>295</v>
      </c>
      <c r="L17">
        <v>1368</v>
      </c>
      <c r="N17">
        <v>1011</v>
      </c>
      <c r="O17" t="s">
        <v>66</v>
      </c>
      <c r="P17" t="s">
        <v>66</v>
      </c>
      <c r="Q17">
        <v>1</v>
      </c>
      <c r="X17">
        <v>0.44</v>
      </c>
      <c r="Y17">
        <v>0</v>
      </c>
      <c r="Z17">
        <v>4.3499999999999996</v>
      </c>
      <c r="AA17">
        <v>0</v>
      </c>
      <c r="AB17">
        <v>0</v>
      </c>
      <c r="AC17">
        <v>0</v>
      </c>
      <c r="AD17">
        <v>1</v>
      </c>
      <c r="AE17">
        <v>0</v>
      </c>
      <c r="AF17" t="s">
        <v>3</v>
      </c>
      <c r="AG17">
        <v>0.44</v>
      </c>
      <c r="AH17">
        <v>2</v>
      </c>
      <c r="AI17">
        <v>38183873</v>
      </c>
      <c r="AJ17">
        <v>17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>
      <c r="A18">
        <f>ROW(Source!A27)</f>
        <v>27</v>
      </c>
      <c r="B18">
        <v>38183874</v>
      </c>
      <c r="C18">
        <v>38183869</v>
      </c>
      <c r="D18">
        <v>35410783</v>
      </c>
      <c r="E18">
        <v>1</v>
      </c>
      <c r="F18">
        <v>1</v>
      </c>
      <c r="G18">
        <v>1</v>
      </c>
      <c r="H18">
        <v>3</v>
      </c>
      <c r="I18" t="s">
        <v>296</v>
      </c>
      <c r="J18" t="s">
        <v>297</v>
      </c>
      <c r="K18" t="s">
        <v>298</v>
      </c>
      <c r="L18">
        <v>1339</v>
      </c>
      <c r="N18">
        <v>1007</v>
      </c>
      <c r="O18" t="s">
        <v>113</v>
      </c>
      <c r="P18" t="s">
        <v>113</v>
      </c>
      <c r="Q18">
        <v>1</v>
      </c>
      <c r="X18">
        <v>1.59</v>
      </c>
      <c r="Y18">
        <v>89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 t="s">
        <v>3</v>
      </c>
      <c r="AG18">
        <v>1.59</v>
      </c>
      <c r="AH18">
        <v>2</v>
      </c>
      <c r="AI18">
        <v>38183874</v>
      </c>
      <c r="AJ18">
        <v>18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>
      <c r="A19">
        <f>ROW(Source!A27)</f>
        <v>27</v>
      </c>
      <c r="B19">
        <v>38183875</v>
      </c>
      <c r="C19">
        <v>38183869</v>
      </c>
      <c r="D19">
        <v>35410787</v>
      </c>
      <c r="E19">
        <v>1</v>
      </c>
      <c r="F19">
        <v>1</v>
      </c>
      <c r="G19">
        <v>1</v>
      </c>
      <c r="H19">
        <v>3</v>
      </c>
      <c r="I19" t="s">
        <v>299</v>
      </c>
      <c r="J19" t="s">
        <v>300</v>
      </c>
      <c r="K19" t="s">
        <v>301</v>
      </c>
      <c r="L19">
        <v>1346</v>
      </c>
      <c r="N19">
        <v>1009</v>
      </c>
      <c r="O19" t="s">
        <v>284</v>
      </c>
      <c r="P19" t="s">
        <v>284</v>
      </c>
      <c r="Q19">
        <v>1</v>
      </c>
      <c r="X19">
        <v>4.0655999999999999</v>
      </c>
      <c r="Y19">
        <v>41.38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 t="s">
        <v>3</v>
      </c>
      <c r="AG19">
        <v>4.0655999999999999</v>
      </c>
      <c r="AH19">
        <v>2</v>
      </c>
      <c r="AI19">
        <v>38183875</v>
      </c>
      <c r="AJ19">
        <v>19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>
      <c r="A20">
        <f>ROW(Source!A27)</f>
        <v>27</v>
      </c>
      <c r="B20">
        <v>38183876</v>
      </c>
      <c r="C20">
        <v>38183869</v>
      </c>
      <c r="D20">
        <v>35423680</v>
      </c>
      <c r="E20">
        <v>1</v>
      </c>
      <c r="F20">
        <v>1</v>
      </c>
      <c r="G20">
        <v>1</v>
      </c>
      <c r="H20">
        <v>3</v>
      </c>
      <c r="I20" t="s">
        <v>302</v>
      </c>
      <c r="J20" t="s">
        <v>303</v>
      </c>
      <c r="K20" t="s">
        <v>304</v>
      </c>
      <c r="L20">
        <v>1339</v>
      </c>
      <c r="N20">
        <v>1007</v>
      </c>
      <c r="O20" t="s">
        <v>113</v>
      </c>
      <c r="P20" t="s">
        <v>113</v>
      </c>
      <c r="Q20">
        <v>1</v>
      </c>
      <c r="X20">
        <v>2.7E-2</v>
      </c>
      <c r="Y20">
        <v>16655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 t="s">
        <v>3</v>
      </c>
      <c r="AG20">
        <v>2.7E-2</v>
      </c>
      <c r="AH20">
        <v>2</v>
      </c>
      <c r="AI20">
        <v>38183876</v>
      </c>
      <c r="AJ20">
        <v>20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>
      <c r="A21">
        <f>ROW(Source!A28)</f>
        <v>28</v>
      </c>
      <c r="B21">
        <v>38182985</v>
      </c>
      <c r="C21">
        <v>38182974</v>
      </c>
      <c r="D21">
        <v>20031442</v>
      </c>
      <c r="E21">
        <v>117</v>
      </c>
      <c r="F21">
        <v>1</v>
      </c>
      <c r="G21">
        <v>1</v>
      </c>
      <c r="H21">
        <v>1</v>
      </c>
      <c r="I21" t="s">
        <v>265</v>
      </c>
      <c r="J21" t="s">
        <v>3</v>
      </c>
      <c r="K21" t="s">
        <v>266</v>
      </c>
      <c r="L21">
        <v>1191</v>
      </c>
      <c r="N21">
        <v>1013</v>
      </c>
      <c r="O21" t="s">
        <v>258</v>
      </c>
      <c r="P21" t="s">
        <v>258</v>
      </c>
      <c r="Q21">
        <v>1</v>
      </c>
      <c r="X21">
        <v>187.6</v>
      </c>
      <c r="Y21">
        <v>0</v>
      </c>
      <c r="Z21">
        <v>0</v>
      </c>
      <c r="AA21">
        <v>0</v>
      </c>
      <c r="AB21">
        <v>432.81</v>
      </c>
      <c r="AC21">
        <v>0</v>
      </c>
      <c r="AD21">
        <v>1</v>
      </c>
      <c r="AE21">
        <v>1</v>
      </c>
      <c r="AF21" t="s">
        <v>3</v>
      </c>
      <c r="AG21">
        <v>187.6</v>
      </c>
      <c r="AH21">
        <v>2</v>
      </c>
      <c r="AI21">
        <v>38182975</v>
      </c>
      <c r="AJ21">
        <v>21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>
      <c r="A22">
        <f>ROW(Source!A28)</f>
        <v>28</v>
      </c>
      <c r="B22">
        <v>38182986</v>
      </c>
      <c r="C22">
        <v>38182974</v>
      </c>
      <c r="D22">
        <v>20031379</v>
      </c>
      <c r="E22">
        <v>117</v>
      </c>
      <c r="F22">
        <v>1</v>
      </c>
      <c r="G22">
        <v>1</v>
      </c>
      <c r="H22">
        <v>1</v>
      </c>
      <c r="I22" t="s">
        <v>259</v>
      </c>
      <c r="J22" t="s">
        <v>3</v>
      </c>
      <c r="K22" t="s">
        <v>260</v>
      </c>
      <c r="L22">
        <v>1191</v>
      </c>
      <c r="N22">
        <v>1013</v>
      </c>
      <c r="O22" t="s">
        <v>258</v>
      </c>
      <c r="P22" t="s">
        <v>258</v>
      </c>
      <c r="Q22">
        <v>1</v>
      </c>
      <c r="X22">
        <v>12.88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2</v>
      </c>
      <c r="AF22" t="s">
        <v>3</v>
      </c>
      <c r="AG22">
        <v>12.88</v>
      </c>
      <c r="AH22">
        <v>2</v>
      </c>
      <c r="AI22">
        <v>38182976</v>
      </c>
      <c r="AJ22">
        <v>22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>
      <c r="A23">
        <f>ROW(Source!A28)</f>
        <v>28</v>
      </c>
      <c r="B23">
        <v>38182987</v>
      </c>
      <c r="C23">
        <v>38182974</v>
      </c>
      <c r="D23">
        <v>35345762</v>
      </c>
      <c r="E23">
        <v>1</v>
      </c>
      <c r="F23">
        <v>1</v>
      </c>
      <c r="G23">
        <v>1</v>
      </c>
      <c r="H23">
        <v>2</v>
      </c>
      <c r="I23" t="s">
        <v>267</v>
      </c>
      <c r="J23" t="s">
        <v>268</v>
      </c>
      <c r="K23" t="s">
        <v>269</v>
      </c>
      <c r="L23">
        <v>1368</v>
      </c>
      <c r="N23">
        <v>1011</v>
      </c>
      <c r="O23" t="s">
        <v>66</v>
      </c>
      <c r="P23" t="s">
        <v>66</v>
      </c>
      <c r="Q23">
        <v>1</v>
      </c>
      <c r="X23">
        <v>12.4</v>
      </c>
      <c r="Y23">
        <v>0</v>
      </c>
      <c r="Z23">
        <v>4403.5600000000004</v>
      </c>
      <c r="AA23">
        <v>707.35</v>
      </c>
      <c r="AB23">
        <v>0</v>
      </c>
      <c r="AC23">
        <v>0</v>
      </c>
      <c r="AD23">
        <v>1</v>
      </c>
      <c r="AE23">
        <v>0</v>
      </c>
      <c r="AF23" t="s">
        <v>3</v>
      </c>
      <c r="AG23">
        <v>12.4</v>
      </c>
      <c r="AH23">
        <v>2</v>
      </c>
      <c r="AI23">
        <v>38182977</v>
      </c>
      <c r="AJ23">
        <v>23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>
      <c r="A24">
        <f>ROW(Source!A28)</f>
        <v>28</v>
      </c>
      <c r="B24">
        <v>38182988</v>
      </c>
      <c r="C24">
        <v>38182974</v>
      </c>
      <c r="D24">
        <v>35346009</v>
      </c>
      <c r="E24">
        <v>1</v>
      </c>
      <c r="F24">
        <v>1</v>
      </c>
      <c r="G24">
        <v>1</v>
      </c>
      <c r="H24">
        <v>2</v>
      </c>
      <c r="I24" t="s">
        <v>271</v>
      </c>
      <c r="J24" t="s">
        <v>272</v>
      </c>
      <c r="K24" t="s">
        <v>273</v>
      </c>
      <c r="L24">
        <v>1368</v>
      </c>
      <c r="N24">
        <v>1011</v>
      </c>
      <c r="O24" t="s">
        <v>66</v>
      </c>
      <c r="P24" t="s">
        <v>66</v>
      </c>
      <c r="Q24">
        <v>1</v>
      </c>
      <c r="X24">
        <v>0.48</v>
      </c>
      <c r="Y24">
        <v>0</v>
      </c>
      <c r="Z24">
        <v>652.84</v>
      </c>
      <c r="AA24">
        <v>432.81</v>
      </c>
      <c r="AB24">
        <v>0</v>
      </c>
      <c r="AC24">
        <v>0</v>
      </c>
      <c r="AD24">
        <v>1</v>
      </c>
      <c r="AE24">
        <v>0</v>
      </c>
      <c r="AF24" t="s">
        <v>3</v>
      </c>
      <c r="AG24">
        <v>0.48</v>
      </c>
      <c r="AH24">
        <v>2</v>
      </c>
      <c r="AI24">
        <v>38182978</v>
      </c>
      <c r="AJ24">
        <v>24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>
      <c r="A25">
        <f>ROW(Source!A28)</f>
        <v>28</v>
      </c>
      <c r="B25">
        <v>38182989</v>
      </c>
      <c r="C25">
        <v>38182974</v>
      </c>
      <c r="D25">
        <v>35410630</v>
      </c>
      <c r="E25">
        <v>1</v>
      </c>
      <c r="F25">
        <v>1</v>
      </c>
      <c r="G25">
        <v>1</v>
      </c>
      <c r="H25">
        <v>3</v>
      </c>
      <c r="I25" t="s">
        <v>275</v>
      </c>
      <c r="J25" t="s">
        <v>276</v>
      </c>
      <c r="K25" t="s">
        <v>277</v>
      </c>
      <c r="L25">
        <v>1348</v>
      </c>
      <c r="N25">
        <v>1009</v>
      </c>
      <c r="O25" t="s">
        <v>84</v>
      </c>
      <c r="P25" t="s">
        <v>84</v>
      </c>
      <c r="Q25">
        <v>1000</v>
      </c>
      <c r="X25">
        <v>0.114</v>
      </c>
      <c r="Y25">
        <v>21588.35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 t="s">
        <v>3</v>
      </c>
      <c r="AG25">
        <v>0.114</v>
      </c>
      <c r="AH25">
        <v>2</v>
      </c>
      <c r="AI25">
        <v>38182979</v>
      </c>
      <c r="AJ25">
        <v>25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>
      <c r="A26">
        <f>ROW(Source!A28)</f>
        <v>28</v>
      </c>
      <c r="B26">
        <v>38182990</v>
      </c>
      <c r="C26">
        <v>38182974</v>
      </c>
      <c r="D26">
        <v>35412767</v>
      </c>
      <c r="E26">
        <v>1</v>
      </c>
      <c r="F26">
        <v>1</v>
      </c>
      <c r="G26">
        <v>1</v>
      </c>
      <c r="H26">
        <v>3</v>
      </c>
      <c r="I26" t="s">
        <v>278</v>
      </c>
      <c r="J26" t="s">
        <v>279</v>
      </c>
      <c r="K26" t="s">
        <v>280</v>
      </c>
      <c r="L26">
        <v>1339</v>
      </c>
      <c r="N26">
        <v>1007</v>
      </c>
      <c r="O26" t="s">
        <v>113</v>
      </c>
      <c r="P26" t="s">
        <v>113</v>
      </c>
      <c r="Q26">
        <v>1</v>
      </c>
      <c r="X26">
        <v>78.5</v>
      </c>
      <c r="Y26">
        <v>35.71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 t="s">
        <v>3</v>
      </c>
      <c r="AG26">
        <v>78.5</v>
      </c>
      <c r="AH26">
        <v>2</v>
      </c>
      <c r="AI26">
        <v>38182980</v>
      </c>
      <c r="AJ26">
        <v>26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>
      <c r="A27">
        <f>ROW(Source!A28)</f>
        <v>28</v>
      </c>
      <c r="B27">
        <v>38182991</v>
      </c>
      <c r="C27">
        <v>38182974</v>
      </c>
      <c r="D27">
        <v>35413250</v>
      </c>
      <c r="E27">
        <v>1</v>
      </c>
      <c r="F27">
        <v>1</v>
      </c>
      <c r="G27">
        <v>1</v>
      </c>
      <c r="H27">
        <v>3</v>
      </c>
      <c r="I27" t="s">
        <v>281</v>
      </c>
      <c r="J27" t="s">
        <v>282</v>
      </c>
      <c r="K27" t="s">
        <v>283</v>
      </c>
      <c r="L27">
        <v>1346</v>
      </c>
      <c r="N27">
        <v>1009</v>
      </c>
      <c r="O27" t="s">
        <v>284</v>
      </c>
      <c r="P27" t="s">
        <v>284</v>
      </c>
      <c r="Q27">
        <v>1</v>
      </c>
      <c r="X27">
        <v>84</v>
      </c>
      <c r="Y27">
        <v>152.78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 t="s">
        <v>3</v>
      </c>
      <c r="AG27">
        <v>84</v>
      </c>
      <c r="AH27">
        <v>2</v>
      </c>
      <c r="AI27">
        <v>38182981</v>
      </c>
      <c r="AJ27">
        <v>27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>
      <c r="A28">
        <f>ROW(Source!A28)</f>
        <v>28</v>
      </c>
      <c r="B28">
        <v>38182992</v>
      </c>
      <c r="C28">
        <v>38182974</v>
      </c>
      <c r="D28">
        <v>35416145</v>
      </c>
      <c r="E28">
        <v>1</v>
      </c>
      <c r="F28">
        <v>1</v>
      </c>
      <c r="G28">
        <v>1</v>
      </c>
      <c r="H28">
        <v>3</v>
      </c>
      <c r="I28" t="s">
        <v>285</v>
      </c>
      <c r="J28" t="s">
        <v>286</v>
      </c>
      <c r="K28" t="s">
        <v>287</v>
      </c>
      <c r="L28">
        <v>1348</v>
      </c>
      <c r="N28">
        <v>1009</v>
      </c>
      <c r="O28" t="s">
        <v>84</v>
      </c>
      <c r="P28" t="s">
        <v>84</v>
      </c>
      <c r="Q28">
        <v>1000</v>
      </c>
      <c r="X28">
        <v>0.2656</v>
      </c>
      <c r="Y28">
        <v>4800.8500000000004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 t="s">
        <v>3</v>
      </c>
      <c r="AG28">
        <v>0.2656</v>
      </c>
      <c r="AH28">
        <v>2</v>
      </c>
      <c r="AI28">
        <v>38182982</v>
      </c>
      <c r="AJ28">
        <v>28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>
      <c r="A29">
        <f>ROW(Source!A28)</f>
        <v>28</v>
      </c>
      <c r="B29">
        <v>38182993</v>
      </c>
      <c r="C29">
        <v>38182974</v>
      </c>
      <c r="D29">
        <v>35416737</v>
      </c>
      <c r="E29">
        <v>1</v>
      </c>
      <c r="F29">
        <v>1</v>
      </c>
      <c r="G29">
        <v>1</v>
      </c>
      <c r="H29">
        <v>3</v>
      </c>
      <c r="I29" t="s">
        <v>288</v>
      </c>
      <c r="J29" t="s">
        <v>289</v>
      </c>
      <c r="K29" t="s">
        <v>290</v>
      </c>
      <c r="L29">
        <v>1339</v>
      </c>
      <c r="N29">
        <v>1007</v>
      </c>
      <c r="O29" t="s">
        <v>113</v>
      </c>
      <c r="P29" t="s">
        <v>113</v>
      </c>
      <c r="Q29">
        <v>1</v>
      </c>
      <c r="X29">
        <v>0.66</v>
      </c>
      <c r="Y29">
        <v>5769.31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 t="s">
        <v>3</v>
      </c>
      <c r="AG29">
        <v>0.66</v>
      </c>
      <c r="AH29">
        <v>2</v>
      </c>
      <c r="AI29">
        <v>38182983</v>
      </c>
      <c r="AJ29">
        <v>29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>
      <c r="A30">
        <f>ROW(Source!A28)</f>
        <v>28</v>
      </c>
      <c r="B30">
        <v>38182994</v>
      </c>
      <c r="C30">
        <v>38182974</v>
      </c>
      <c r="D30">
        <v>35340034</v>
      </c>
      <c r="E30">
        <v>117</v>
      </c>
      <c r="F30">
        <v>1</v>
      </c>
      <c r="G30">
        <v>1</v>
      </c>
      <c r="H30">
        <v>3</v>
      </c>
      <c r="I30" t="s">
        <v>41</v>
      </c>
      <c r="J30" t="s">
        <v>3</v>
      </c>
      <c r="K30" t="s">
        <v>42</v>
      </c>
      <c r="L30">
        <v>1301</v>
      </c>
      <c r="N30">
        <v>1003</v>
      </c>
      <c r="O30" t="s">
        <v>43</v>
      </c>
      <c r="P30" t="s">
        <v>43</v>
      </c>
      <c r="Q30">
        <v>1</v>
      </c>
      <c r="X30">
        <v>99.7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</v>
      </c>
      <c r="AG30">
        <v>99.7</v>
      </c>
      <c r="AH30">
        <v>2</v>
      </c>
      <c r="AI30">
        <v>38182984</v>
      </c>
      <c r="AJ30">
        <v>30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>
      <c r="A31">
        <f>ROW(Source!A30)</f>
        <v>30</v>
      </c>
      <c r="B31">
        <v>38183702</v>
      </c>
      <c r="C31">
        <v>38183701</v>
      </c>
      <c r="D31">
        <v>35338624</v>
      </c>
      <c r="E31">
        <v>117</v>
      </c>
      <c r="F31">
        <v>1</v>
      </c>
      <c r="G31">
        <v>1</v>
      </c>
      <c r="H31">
        <v>1</v>
      </c>
      <c r="I31" t="s">
        <v>259</v>
      </c>
      <c r="J31" t="s">
        <v>3</v>
      </c>
      <c r="K31" t="s">
        <v>260</v>
      </c>
      <c r="L31">
        <v>1191</v>
      </c>
      <c r="N31">
        <v>1013</v>
      </c>
      <c r="O31" t="s">
        <v>258</v>
      </c>
      <c r="P31" t="s">
        <v>258</v>
      </c>
      <c r="Q31">
        <v>1</v>
      </c>
      <c r="X31">
        <v>0.9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2</v>
      </c>
      <c r="AF31" t="s">
        <v>3</v>
      </c>
      <c r="AG31">
        <v>0.9</v>
      </c>
      <c r="AH31">
        <v>2</v>
      </c>
      <c r="AI31">
        <v>38183702</v>
      </c>
      <c r="AJ31">
        <v>31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>
      <c r="A32">
        <f>ROW(Source!A30)</f>
        <v>30</v>
      </c>
      <c r="B32">
        <v>38183717</v>
      </c>
      <c r="C32">
        <v>38183701</v>
      </c>
      <c r="D32">
        <v>35344687</v>
      </c>
      <c r="E32">
        <v>1</v>
      </c>
      <c r="F32">
        <v>1</v>
      </c>
      <c r="G32">
        <v>1</v>
      </c>
      <c r="H32">
        <v>2</v>
      </c>
      <c r="I32" t="s">
        <v>69</v>
      </c>
      <c r="J32" t="s">
        <v>71</v>
      </c>
      <c r="K32" t="s">
        <v>70</v>
      </c>
      <c r="L32">
        <v>1368</v>
      </c>
      <c r="N32">
        <v>1011</v>
      </c>
      <c r="O32" t="s">
        <v>66</v>
      </c>
      <c r="P32" t="s">
        <v>66</v>
      </c>
      <c r="Q32">
        <v>1</v>
      </c>
      <c r="X32">
        <v>0.9</v>
      </c>
      <c r="Y32">
        <v>0</v>
      </c>
      <c r="Z32">
        <v>5605.48</v>
      </c>
      <c r="AA32">
        <v>707.35</v>
      </c>
      <c r="AB32">
        <v>0</v>
      </c>
      <c r="AC32">
        <v>0</v>
      </c>
      <c r="AD32">
        <v>1</v>
      </c>
      <c r="AE32">
        <v>0</v>
      </c>
      <c r="AF32" t="s">
        <v>3</v>
      </c>
      <c r="AG32">
        <v>0.9</v>
      </c>
      <c r="AH32">
        <v>2</v>
      </c>
      <c r="AI32">
        <v>38183717</v>
      </c>
      <c r="AJ32">
        <v>32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>
      <c r="A33">
        <f>ROW(Source!A32)</f>
        <v>32</v>
      </c>
      <c r="B33">
        <v>38183716</v>
      </c>
      <c r="C33">
        <v>38183714</v>
      </c>
      <c r="D33">
        <v>35338838</v>
      </c>
      <c r="E33">
        <v>117</v>
      </c>
      <c r="F33">
        <v>1</v>
      </c>
      <c r="G33">
        <v>1</v>
      </c>
      <c r="H33">
        <v>1</v>
      </c>
      <c r="I33" t="s">
        <v>270</v>
      </c>
      <c r="J33" t="s">
        <v>3</v>
      </c>
      <c r="K33" t="s">
        <v>305</v>
      </c>
      <c r="L33">
        <v>1191</v>
      </c>
      <c r="N33">
        <v>1013</v>
      </c>
      <c r="O33" t="s">
        <v>258</v>
      </c>
      <c r="P33" t="s">
        <v>258</v>
      </c>
      <c r="Q33">
        <v>1</v>
      </c>
      <c r="X33">
        <v>1</v>
      </c>
      <c r="Y33">
        <v>0</v>
      </c>
      <c r="Z33">
        <v>0</v>
      </c>
      <c r="AA33">
        <v>0</v>
      </c>
      <c r="AB33">
        <v>707.35</v>
      </c>
      <c r="AC33">
        <v>0</v>
      </c>
      <c r="AD33">
        <v>1</v>
      </c>
      <c r="AE33">
        <v>2</v>
      </c>
      <c r="AF33" t="s">
        <v>3</v>
      </c>
      <c r="AG33">
        <v>1</v>
      </c>
      <c r="AH33">
        <v>2</v>
      </c>
      <c r="AI33">
        <v>38183715</v>
      </c>
      <c r="AJ33">
        <v>34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>
      <c r="A34">
        <f>ROW(Source!A33)</f>
        <v>33</v>
      </c>
      <c r="B34">
        <v>38183770</v>
      </c>
      <c r="C34">
        <v>38183769</v>
      </c>
      <c r="D34">
        <v>35338460</v>
      </c>
      <c r="E34">
        <v>117</v>
      </c>
      <c r="F34">
        <v>1</v>
      </c>
      <c r="G34">
        <v>1</v>
      </c>
      <c r="H34">
        <v>1</v>
      </c>
      <c r="I34" t="s">
        <v>306</v>
      </c>
      <c r="J34" t="s">
        <v>3</v>
      </c>
      <c r="K34" t="s">
        <v>307</v>
      </c>
      <c r="L34">
        <v>1191</v>
      </c>
      <c r="N34">
        <v>1013</v>
      </c>
      <c r="O34" t="s">
        <v>258</v>
      </c>
      <c r="P34" t="s">
        <v>258</v>
      </c>
      <c r="Q34">
        <v>1</v>
      </c>
      <c r="X34">
        <v>140</v>
      </c>
      <c r="Y34">
        <v>0</v>
      </c>
      <c r="Z34">
        <v>0</v>
      </c>
      <c r="AA34">
        <v>0</v>
      </c>
      <c r="AB34">
        <v>445.73</v>
      </c>
      <c r="AC34">
        <v>0</v>
      </c>
      <c r="AD34">
        <v>1</v>
      </c>
      <c r="AE34">
        <v>1</v>
      </c>
      <c r="AF34" t="s">
        <v>3</v>
      </c>
      <c r="AG34">
        <v>140</v>
      </c>
      <c r="AH34">
        <v>2</v>
      </c>
      <c r="AI34">
        <v>38183770</v>
      </c>
      <c r="AJ34">
        <v>35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>
      <c r="A35">
        <f>ROW(Source!A33)</f>
        <v>33</v>
      </c>
      <c r="B35">
        <v>38183771</v>
      </c>
      <c r="C35">
        <v>38183769</v>
      </c>
      <c r="D35">
        <v>35338624</v>
      </c>
      <c r="E35">
        <v>117</v>
      </c>
      <c r="F35">
        <v>1</v>
      </c>
      <c r="G35">
        <v>1</v>
      </c>
      <c r="H35">
        <v>1</v>
      </c>
      <c r="I35" t="s">
        <v>259</v>
      </c>
      <c r="J35" t="s">
        <v>3</v>
      </c>
      <c r="K35" t="s">
        <v>260</v>
      </c>
      <c r="L35">
        <v>1191</v>
      </c>
      <c r="N35">
        <v>1013</v>
      </c>
      <c r="O35" t="s">
        <v>258</v>
      </c>
      <c r="P35" t="s">
        <v>258</v>
      </c>
      <c r="Q35">
        <v>1</v>
      </c>
      <c r="X35">
        <v>23.17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2</v>
      </c>
      <c r="AF35" t="s">
        <v>3</v>
      </c>
      <c r="AG35">
        <v>23.17</v>
      </c>
      <c r="AH35">
        <v>2</v>
      </c>
      <c r="AI35">
        <v>38183771</v>
      </c>
      <c r="AJ35">
        <v>36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>
      <c r="A36">
        <f>ROW(Source!A33)</f>
        <v>33</v>
      </c>
      <c r="B36">
        <v>38183772</v>
      </c>
      <c r="C36">
        <v>38183769</v>
      </c>
      <c r="D36">
        <v>35345762</v>
      </c>
      <c r="E36">
        <v>1</v>
      </c>
      <c r="F36">
        <v>1</v>
      </c>
      <c r="G36">
        <v>1</v>
      </c>
      <c r="H36">
        <v>2</v>
      </c>
      <c r="I36" t="s">
        <v>267</v>
      </c>
      <c r="J36" t="s">
        <v>268</v>
      </c>
      <c r="K36" t="s">
        <v>269</v>
      </c>
      <c r="L36">
        <v>1368</v>
      </c>
      <c r="N36">
        <v>1011</v>
      </c>
      <c r="O36" t="s">
        <v>66</v>
      </c>
      <c r="P36" t="s">
        <v>66</v>
      </c>
      <c r="Q36">
        <v>1</v>
      </c>
      <c r="X36">
        <v>12.18</v>
      </c>
      <c r="Y36">
        <v>0</v>
      </c>
      <c r="Z36">
        <v>4403.5600000000004</v>
      </c>
      <c r="AA36">
        <v>707.35</v>
      </c>
      <c r="AB36">
        <v>0</v>
      </c>
      <c r="AC36">
        <v>0</v>
      </c>
      <c r="AD36">
        <v>1</v>
      </c>
      <c r="AE36">
        <v>0</v>
      </c>
      <c r="AF36" t="s">
        <v>3</v>
      </c>
      <c r="AG36">
        <v>12.18</v>
      </c>
      <c r="AH36">
        <v>2</v>
      </c>
      <c r="AI36">
        <v>38183772</v>
      </c>
      <c r="AJ36">
        <v>37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>
      <c r="A37">
        <f>ROW(Source!A33)</f>
        <v>33</v>
      </c>
      <c r="B37">
        <v>38183773</v>
      </c>
      <c r="C37">
        <v>38183769</v>
      </c>
      <c r="D37">
        <v>35346009</v>
      </c>
      <c r="E37">
        <v>1</v>
      </c>
      <c r="F37">
        <v>1</v>
      </c>
      <c r="G37">
        <v>1</v>
      </c>
      <c r="H37">
        <v>2</v>
      </c>
      <c r="I37" t="s">
        <v>271</v>
      </c>
      <c r="J37" t="s">
        <v>272</v>
      </c>
      <c r="K37" t="s">
        <v>273</v>
      </c>
      <c r="L37">
        <v>1368</v>
      </c>
      <c r="N37">
        <v>1011</v>
      </c>
      <c r="O37" t="s">
        <v>66</v>
      </c>
      <c r="P37" t="s">
        <v>66</v>
      </c>
      <c r="Q37">
        <v>1</v>
      </c>
      <c r="X37">
        <v>1.06</v>
      </c>
      <c r="Y37">
        <v>0</v>
      </c>
      <c r="Z37">
        <v>652.84</v>
      </c>
      <c r="AA37">
        <v>432.81</v>
      </c>
      <c r="AB37">
        <v>0</v>
      </c>
      <c r="AC37">
        <v>0</v>
      </c>
      <c r="AD37">
        <v>1</v>
      </c>
      <c r="AE37">
        <v>0</v>
      </c>
      <c r="AF37" t="s">
        <v>3</v>
      </c>
      <c r="AG37">
        <v>1.06</v>
      </c>
      <c r="AH37">
        <v>2</v>
      </c>
      <c r="AI37">
        <v>38183773</v>
      </c>
      <c r="AJ37">
        <v>38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>
      <c r="A38">
        <f>ROW(Source!A33)</f>
        <v>33</v>
      </c>
      <c r="B38">
        <v>38183774</v>
      </c>
      <c r="C38">
        <v>38183769</v>
      </c>
      <c r="D38">
        <v>35346101</v>
      </c>
      <c r="E38">
        <v>1</v>
      </c>
      <c r="F38">
        <v>1</v>
      </c>
      <c r="G38">
        <v>1</v>
      </c>
      <c r="H38">
        <v>2</v>
      </c>
      <c r="I38" t="s">
        <v>308</v>
      </c>
      <c r="J38" t="s">
        <v>309</v>
      </c>
      <c r="K38" t="s">
        <v>310</v>
      </c>
      <c r="L38">
        <v>1368</v>
      </c>
      <c r="N38">
        <v>1011</v>
      </c>
      <c r="O38" t="s">
        <v>66</v>
      </c>
      <c r="P38" t="s">
        <v>66</v>
      </c>
      <c r="Q38">
        <v>1</v>
      </c>
      <c r="X38">
        <v>9.93</v>
      </c>
      <c r="Y38">
        <v>0</v>
      </c>
      <c r="Z38">
        <v>130.38999999999999</v>
      </c>
      <c r="AA38">
        <v>432.81</v>
      </c>
      <c r="AB38">
        <v>0</v>
      </c>
      <c r="AC38">
        <v>0</v>
      </c>
      <c r="AD38">
        <v>1</v>
      </c>
      <c r="AE38">
        <v>0</v>
      </c>
      <c r="AF38" t="s">
        <v>3</v>
      </c>
      <c r="AG38">
        <v>9.93</v>
      </c>
      <c r="AH38">
        <v>2</v>
      </c>
      <c r="AI38">
        <v>38183774</v>
      </c>
      <c r="AJ38">
        <v>39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>
      <c r="A39">
        <f>ROW(Source!A33)</f>
        <v>33</v>
      </c>
      <c r="B39">
        <v>38183775</v>
      </c>
      <c r="C39">
        <v>38183769</v>
      </c>
      <c r="D39">
        <v>35338425</v>
      </c>
      <c r="E39">
        <v>117</v>
      </c>
      <c r="F39">
        <v>1</v>
      </c>
      <c r="G39">
        <v>1</v>
      </c>
      <c r="H39">
        <v>3</v>
      </c>
      <c r="I39" t="s">
        <v>337</v>
      </c>
      <c r="J39" t="s">
        <v>3</v>
      </c>
      <c r="K39" t="s">
        <v>338</v>
      </c>
      <c r="L39">
        <v>1348</v>
      </c>
      <c r="N39">
        <v>1009</v>
      </c>
      <c r="O39" t="s">
        <v>84</v>
      </c>
      <c r="P39" t="s">
        <v>84</v>
      </c>
      <c r="Q39">
        <v>1000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0</v>
      </c>
      <c r="AF39" t="s">
        <v>3</v>
      </c>
      <c r="AG39">
        <v>0</v>
      </c>
      <c r="AH39">
        <v>3</v>
      </c>
      <c r="AI39">
        <v>-1</v>
      </c>
      <c r="AJ39" t="s">
        <v>3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>
      <c r="A40">
        <f>ROW(Source!A33)</f>
        <v>33</v>
      </c>
      <c r="B40">
        <v>38183776</v>
      </c>
      <c r="C40">
        <v>38183769</v>
      </c>
      <c r="D40">
        <v>35412918</v>
      </c>
      <c r="E40">
        <v>1</v>
      </c>
      <c r="F40">
        <v>1</v>
      </c>
      <c r="G40">
        <v>1</v>
      </c>
      <c r="H40">
        <v>3</v>
      </c>
      <c r="I40" t="s">
        <v>311</v>
      </c>
      <c r="J40" t="s">
        <v>312</v>
      </c>
      <c r="K40" t="s">
        <v>313</v>
      </c>
      <c r="L40">
        <v>1327</v>
      </c>
      <c r="N40">
        <v>1005</v>
      </c>
      <c r="O40" t="s">
        <v>89</v>
      </c>
      <c r="P40" t="s">
        <v>89</v>
      </c>
      <c r="Q40">
        <v>1</v>
      </c>
      <c r="X40">
        <v>478</v>
      </c>
      <c r="Y40">
        <v>62.74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 t="s">
        <v>3</v>
      </c>
      <c r="AG40">
        <v>478</v>
      </c>
      <c r="AH40">
        <v>2</v>
      </c>
      <c r="AI40">
        <v>38183776</v>
      </c>
      <c r="AJ40">
        <v>40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>
      <c r="A41">
        <f>ROW(Source!A33)</f>
        <v>33</v>
      </c>
      <c r="B41">
        <v>38183777</v>
      </c>
      <c r="C41">
        <v>38183769</v>
      </c>
      <c r="D41">
        <v>35415424</v>
      </c>
      <c r="E41">
        <v>1</v>
      </c>
      <c r="F41">
        <v>1</v>
      </c>
      <c r="G41">
        <v>1</v>
      </c>
      <c r="H41">
        <v>3</v>
      </c>
      <c r="I41" t="s">
        <v>314</v>
      </c>
      <c r="J41" t="s">
        <v>315</v>
      </c>
      <c r="K41" t="s">
        <v>316</v>
      </c>
      <c r="L41">
        <v>1327</v>
      </c>
      <c r="N41">
        <v>1005</v>
      </c>
      <c r="O41" t="s">
        <v>89</v>
      </c>
      <c r="P41" t="s">
        <v>89</v>
      </c>
      <c r="Q41">
        <v>1</v>
      </c>
      <c r="X41">
        <v>0.8</v>
      </c>
      <c r="Y41">
        <v>108.68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 t="s">
        <v>3</v>
      </c>
      <c r="AG41">
        <v>0.8</v>
      </c>
      <c r="AH41">
        <v>2</v>
      </c>
      <c r="AI41">
        <v>38183777</v>
      </c>
      <c r="AJ41">
        <v>41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>
      <c r="A42">
        <f>ROW(Source!A33)</f>
        <v>33</v>
      </c>
      <c r="B42">
        <v>38183778</v>
      </c>
      <c r="C42">
        <v>38183769</v>
      </c>
      <c r="D42">
        <v>35415437</v>
      </c>
      <c r="E42">
        <v>1</v>
      </c>
      <c r="F42">
        <v>1</v>
      </c>
      <c r="G42">
        <v>1</v>
      </c>
      <c r="H42">
        <v>3</v>
      </c>
      <c r="I42" t="s">
        <v>317</v>
      </c>
      <c r="J42" t="s">
        <v>318</v>
      </c>
      <c r="K42" t="s">
        <v>319</v>
      </c>
      <c r="L42">
        <v>1330</v>
      </c>
      <c r="N42">
        <v>1005</v>
      </c>
      <c r="O42" t="s">
        <v>320</v>
      </c>
      <c r="P42" t="s">
        <v>320</v>
      </c>
      <c r="Q42">
        <v>10</v>
      </c>
      <c r="X42">
        <v>0.1</v>
      </c>
      <c r="Y42">
        <v>592.04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 t="s">
        <v>3</v>
      </c>
      <c r="AG42">
        <v>0.1</v>
      </c>
      <c r="AH42">
        <v>2</v>
      </c>
      <c r="AI42">
        <v>38183778</v>
      </c>
      <c r="AJ42">
        <v>42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>
      <c r="A43">
        <f>ROW(Source!A33)</f>
        <v>33</v>
      </c>
      <c r="B43">
        <v>38183779</v>
      </c>
      <c r="C43">
        <v>38183769</v>
      </c>
      <c r="D43">
        <v>35341894</v>
      </c>
      <c r="E43">
        <v>117</v>
      </c>
      <c r="F43">
        <v>1</v>
      </c>
      <c r="G43">
        <v>1</v>
      </c>
      <c r="H43">
        <v>3</v>
      </c>
      <c r="I43" t="s">
        <v>339</v>
      </c>
      <c r="J43" t="s">
        <v>3</v>
      </c>
      <c r="K43" t="s">
        <v>340</v>
      </c>
      <c r="L43">
        <v>1327</v>
      </c>
      <c r="N43">
        <v>1005</v>
      </c>
      <c r="O43" t="s">
        <v>89</v>
      </c>
      <c r="P43" t="s">
        <v>89</v>
      </c>
      <c r="Q43">
        <v>1</v>
      </c>
      <c r="X43">
        <v>850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 t="s">
        <v>3</v>
      </c>
      <c r="AG43">
        <v>850</v>
      </c>
      <c r="AH43">
        <v>3</v>
      </c>
      <c r="AI43">
        <v>-1</v>
      </c>
      <c r="AJ43" t="s">
        <v>3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>
      <c r="A44">
        <f>ROW(Source!A33)</f>
        <v>33</v>
      </c>
      <c r="B44">
        <v>38183780</v>
      </c>
      <c r="C44">
        <v>38183769</v>
      </c>
      <c r="D44">
        <v>35431024</v>
      </c>
      <c r="E44">
        <v>1</v>
      </c>
      <c r="F44">
        <v>1</v>
      </c>
      <c r="G44">
        <v>1</v>
      </c>
      <c r="H44">
        <v>3</v>
      </c>
      <c r="I44" t="s">
        <v>321</v>
      </c>
      <c r="J44" t="s">
        <v>322</v>
      </c>
      <c r="K44" t="s">
        <v>323</v>
      </c>
      <c r="L44">
        <v>1348</v>
      </c>
      <c r="N44">
        <v>1009</v>
      </c>
      <c r="O44" t="s">
        <v>84</v>
      </c>
      <c r="P44" t="s">
        <v>84</v>
      </c>
      <c r="Q44">
        <v>1000</v>
      </c>
      <c r="X44">
        <v>1.2500000000000001E-2</v>
      </c>
      <c r="Y44">
        <v>442593.68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 t="s">
        <v>3</v>
      </c>
      <c r="AG44">
        <v>1.2500000000000001E-2</v>
      </c>
      <c r="AH44">
        <v>2</v>
      </c>
      <c r="AI44">
        <v>38183780</v>
      </c>
      <c r="AJ44">
        <v>44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>
      <c r="A45">
        <f>ROW(Source!A36)</f>
        <v>36</v>
      </c>
      <c r="B45">
        <v>38183810</v>
      </c>
      <c r="C45">
        <v>38183809</v>
      </c>
      <c r="D45">
        <v>35338430</v>
      </c>
      <c r="E45">
        <v>117</v>
      </c>
      <c r="F45">
        <v>1</v>
      </c>
      <c r="G45">
        <v>1</v>
      </c>
      <c r="H45">
        <v>1</v>
      </c>
      <c r="I45" t="s">
        <v>324</v>
      </c>
      <c r="J45" t="s">
        <v>3</v>
      </c>
      <c r="K45" t="s">
        <v>325</v>
      </c>
      <c r="L45">
        <v>1191</v>
      </c>
      <c r="N45">
        <v>1013</v>
      </c>
      <c r="O45" t="s">
        <v>258</v>
      </c>
      <c r="P45" t="s">
        <v>258</v>
      </c>
      <c r="Q45">
        <v>1</v>
      </c>
      <c r="X45">
        <v>12.53</v>
      </c>
      <c r="Y45">
        <v>0</v>
      </c>
      <c r="Z45">
        <v>0</v>
      </c>
      <c r="AA45">
        <v>0</v>
      </c>
      <c r="AB45">
        <v>384.36</v>
      </c>
      <c r="AC45">
        <v>0</v>
      </c>
      <c r="AD45">
        <v>1</v>
      </c>
      <c r="AE45">
        <v>1</v>
      </c>
      <c r="AF45" t="s">
        <v>3</v>
      </c>
      <c r="AG45">
        <v>12.53</v>
      </c>
      <c r="AH45">
        <v>2</v>
      </c>
      <c r="AI45">
        <v>38183810</v>
      </c>
      <c r="AJ45">
        <v>46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>
      <c r="A46">
        <f>ROW(Source!A36)</f>
        <v>36</v>
      </c>
      <c r="B46">
        <v>38183811</v>
      </c>
      <c r="C46">
        <v>38183809</v>
      </c>
      <c r="D46">
        <v>35338624</v>
      </c>
      <c r="E46">
        <v>117</v>
      </c>
      <c r="F46">
        <v>1</v>
      </c>
      <c r="G46">
        <v>1</v>
      </c>
      <c r="H46">
        <v>1</v>
      </c>
      <c r="I46" t="s">
        <v>259</v>
      </c>
      <c r="J46" t="s">
        <v>3</v>
      </c>
      <c r="K46" t="s">
        <v>260</v>
      </c>
      <c r="L46">
        <v>1191</v>
      </c>
      <c r="N46">
        <v>1013</v>
      </c>
      <c r="O46" t="s">
        <v>258</v>
      </c>
      <c r="P46" t="s">
        <v>258</v>
      </c>
      <c r="Q46">
        <v>1</v>
      </c>
      <c r="X46">
        <v>2.62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2</v>
      </c>
      <c r="AF46" t="s">
        <v>3</v>
      </c>
      <c r="AG46">
        <v>2.62</v>
      </c>
      <c r="AH46">
        <v>2</v>
      </c>
      <c r="AI46">
        <v>38183811</v>
      </c>
      <c r="AJ46">
        <v>47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>
      <c r="A47">
        <f>ROW(Source!A36)</f>
        <v>36</v>
      </c>
      <c r="B47">
        <v>38183812</v>
      </c>
      <c r="C47">
        <v>38183809</v>
      </c>
      <c r="D47">
        <v>35345545</v>
      </c>
      <c r="E47">
        <v>1</v>
      </c>
      <c r="F47">
        <v>1</v>
      </c>
      <c r="G47">
        <v>1</v>
      </c>
      <c r="H47">
        <v>2</v>
      </c>
      <c r="I47" t="s">
        <v>326</v>
      </c>
      <c r="J47" t="s">
        <v>327</v>
      </c>
      <c r="K47" t="s">
        <v>328</v>
      </c>
      <c r="L47">
        <v>1368</v>
      </c>
      <c r="N47">
        <v>1011</v>
      </c>
      <c r="O47" t="s">
        <v>66</v>
      </c>
      <c r="P47" t="s">
        <v>66</v>
      </c>
      <c r="Q47">
        <v>1</v>
      </c>
      <c r="X47">
        <v>10.5</v>
      </c>
      <c r="Y47">
        <v>0</v>
      </c>
      <c r="Z47">
        <v>2.41</v>
      </c>
      <c r="AA47">
        <v>0</v>
      </c>
      <c r="AB47">
        <v>0</v>
      </c>
      <c r="AC47">
        <v>0</v>
      </c>
      <c r="AD47">
        <v>1</v>
      </c>
      <c r="AE47">
        <v>0</v>
      </c>
      <c r="AF47" t="s">
        <v>3</v>
      </c>
      <c r="AG47">
        <v>10.5</v>
      </c>
      <c r="AH47">
        <v>2</v>
      </c>
      <c r="AI47">
        <v>38183812</v>
      </c>
      <c r="AJ47">
        <v>48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>
      <c r="A48">
        <f>ROW(Source!A36)</f>
        <v>36</v>
      </c>
      <c r="B48">
        <v>38183813</v>
      </c>
      <c r="C48">
        <v>38183809</v>
      </c>
      <c r="D48">
        <v>35346217</v>
      </c>
      <c r="E48">
        <v>1</v>
      </c>
      <c r="F48">
        <v>1</v>
      </c>
      <c r="G48">
        <v>1</v>
      </c>
      <c r="H48">
        <v>2</v>
      </c>
      <c r="I48" t="s">
        <v>329</v>
      </c>
      <c r="J48" t="s">
        <v>330</v>
      </c>
      <c r="K48" t="s">
        <v>331</v>
      </c>
      <c r="L48">
        <v>1368</v>
      </c>
      <c r="N48">
        <v>1011</v>
      </c>
      <c r="O48" t="s">
        <v>66</v>
      </c>
      <c r="P48" t="s">
        <v>66</v>
      </c>
      <c r="Q48">
        <v>1</v>
      </c>
      <c r="X48">
        <v>2.62</v>
      </c>
      <c r="Y48">
        <v>0</v>
      </c>
      <c r="Z48">
        <v>411.37</v>
      </c>
      <c r="AA48">
        <v>432.81</v>
      </c>
      <c r="AB48">
        <v>0</v>
      </c>
      <c r="AC48">
        <v>0</v>
      </c>
      <c r="AD48">
        <v>1</v>
      </c>
      <c r="AE48">
        <v>0</v>
      </c>
      <c r="AF48" t="s">
        <v>3</v>
      </c>
      <c r="AG48">
        <v>2.62</v>
      </c>
      <c r="AH48">
        <v>2</v>
      </c>
      <c r="AI48">
        <v>38183813</v>
      </c>
      <c r="AJ48">
        <v>49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>
      <c r="A49">
        <f>ROW(Source!A37)</f>
        <v>37</v>
      </c>
      <c r="B49">
        <v>38183848</v>
      </c>
      <c r="C49">
        <v>38183842</v>
      </c>
      <c r="D49">
        <v>20031423</v>
      </c>
      <c r="E49">
        <v>117</v>
      </c>
      <c r="F49">
        <v>1</v>
      </c>
      <c r="G49">
        <v>1</v>
      </c>
      <c r="H49">
        <v>1</v>
      </c>
      <c r="I49" t="s">
        <v>324</v>
      </c>
      <c r="J49" t="s">
        <v>3</v>
      </c>
      <c r="K49" t="s">
        <v>325</v>
      </c>
      <c r="L49">
        <v>1191</v>
      </c>
      <c r="N49">
        <v>1013</v>
      </c>
      <c r="O49" t="s">
        <v>258</v>
      </c>
      <c r="P49" t="s">
        <v>258</v>
      </c>
      <c r="Q49">
        <v>1</v>
      </c>
      <c r="X49">
        <v>1.86</v>
      </c>
      <c r="Y49">
        <v>0</v>
      </c>
      <c r="Z49">
        <v>0</v>
      </c>
      <c r="AA49">
        <v>0</v>
      </c>
      <c r="AB49">
        <v>384.36</v>
      </c>
      <c r="AC49">
        <v>0</v>
      </c>
      <c r="AD49">
        <v>1</v>
      </c>
      <c r="AE49">
        <v>1</v>
      </c>
      <c r="AF49" t="s">
        <v>3</v>
      </c>
      <c r="AG49">
        <v>1.86</v>
      </c>
      <c r="AH49">
        <v>2</v>
      </c>
      <c r="AI49">
        <v>38183843</v>
      </c>
      <c r="AJ49">
        <v>50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>
      <c r="A50">
        <f>ROW(Source!A37)</f>
        <v>37</v>
      </c>
      <c r="B50">
        <v>38183849</v>
      </c>
      <c r="C50">
        <v>38183842</v>
      </c>
      <c r="D50">
        <v>20031379</v>
      </c>
      <c r="E50">
        <v>117</v>
      </c>
      <c r="F50">
        <v>1</v>
      </c>
      <c r="G50">
        <v>1</v>
      </c>
      <c r="H50">
        <v>1</v>
      </c>
      <c r="I50" t="s">
        <v>259</v>
      </c>
      <c r="J50" t="s">
        <v>3</v>
      </c>
      <c r="K50" t="s">
        <v>260</v>
      </c>
      <c r="L50">
        <v>1191</v>
      </c>
      <c r="N50">
        <v>1013</v>
      </c>
      <c r="O50" t="s">
        <v>258</v>
      </c>
      <c r="P50" t="s">
        <v>258</v>
      </c>
      <c r="Q50">
        <v>1</v>
      </c>
      <c r="X50">
        <v>0.76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2</v>
      </c>
      <c r="AF50" t="s">
        <v>3</v>
      </c>
      <c r="AG50">
        <v>0.76</v>
      </c>
      <c r="AH50">
        <v>2</v>
      </c>
      <c r="AI50">
        <v>38183844</v>
      </c>
      <c r="AJ50">
        <v>51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>
      <c r="A51">
        <f>ROW(Source!A37)</f>
        <v>37</v>
      </c>
      <c r="B51">
        <v>38183858</v>
      </c>
      <c r="C51">
        <v>38183842</v>
      </c>
      <c r="D51">
        <v>35344731</v>
      </c>
      <c r="E51">
        <v>1</v>
      </c>
      <c r="F51">
        <v>1</v>
      </c>
      <c r="G51">
        <v>1</v>
      </c>
      <c r="H51">
        <v>2</v>
      </c>
      <c r="I51" t="s">
        <v>107</v>
      </c>
      <c r="J51" t="s">
        <v>109</v>
      </c>
      <c r="K51" t="s">
        <v>108</v>
      </c>
      <c r="L51">
        <v>1368</v>
      </c>
      <c r="N51">
        <v>1011</v>
      </c>
      <c r="O51" t="s">
        <v>66</v>
      </c>
      <c r="P51" t="s">
        <v>66</v>
      </c>
      <c r="Q51">
        <v>1</v>
      </c>
      <c r="X51">
        <v>0.76</v>
      </c>
      <c r="Y51">
        <v>0</v>
      </c>
      <c r="Z51">
        <v>1524.72</v>
      </c>
      <c r="AA51">
        <v>620.14</v>
      </c>
      <c r="AB51">
        <v>0</v>
      </c>
      <c r="AC51">
        <v>0</v>
      </c>
      <c r="AD51">
        <v>1</v>
      </c>
      <c r="AE51">
        <v>0</v>
      </c>
      <c r="AF51" t="s">
        <v>3</v>
      </c>
      <c r="AG51">
        <v>0.76</v>
      </c>
      <c r="AH51">
        <v>2</v>
      </c>
      <c r="AI51">
        <v>38183858</v>
      </c>
      <c r="AJ51">
        <v>52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>
      <c r="A52">
        <f>ROW(Source!A37)</f>
        <v>37</v>
      </c>
      <c r="B52">
        <v>38183851</v>
      </c>
      <c r="C52">
        <v>38183842</v>
      </c>
      <c r="D52">
        <v>35345541</v>
      </c>
      <c r="E52">
        <v>1</v>
      </c>
      <c r="F52">
        <v>1</v>
      </c>
      <c r="G52">
        <v>1</v>
      </c>
      <c r="H52">
        <v>2</v>
      </c>
      <c r="I52" t="s">
        <v>333</v>
      </c>
      <c r="J52" t="s">
        <v>334</v>
      </c>
      <c r="K52" t="s">
        <v>335</v>
      </c>
      <c r="L52">
        <v>1368</v>
      </c>
      <c r="N52">
        <v>1011</v>
      </c>
      <c r="O52" t="s">
        <v>66</v>
      </c>
      <c r="P52" t="s">
        <v>66</v>
      </c>
      <c r="Q52">
        <v>1</v>
      </c>
      <c r="X52">
        <v>1.05</v>
      </c>
      <c r="Y52">
        <v>0</v>
      </c>
      <c r="Z52">
        <v>53.19</v>
      </c>
      <c r="AA52">
        <v>0</v>
      </c>
      <c r="AB52">
        <v>0</v>
      </c>
      <c r="AC52">
        <v>0</v>
      </c>
      <c r="AD52">
        <v>1</v>
      </c>
      <c r="AE52">
        <v>0</v>
      </c>
      <c r="AF52" t="s">
        <v>3</v>
      </c>
      <c r="AG52">
        <v>1.05</v>
      </c>
      <c r="AH52">
        <v>2</v>
      </c>
      <c r="AI52">
        <v>38183846</v>
      </c>
      <c r="AJ52">
        <v>54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>
      <c r="A53">
        <f>ROW(Source!A37)</f>
        <v>37</v>
      </c>
      <c r="B53">
        <v>38183854</v>
      </c>
      <c r="C53">
        <v>38183842</v>
      </c>
      <c r="D53">
        <v>35415851</v>
      </c>
      <c r="E53">
        <v>1</v>
      </c>
      <c r="F53">
        <v>1</v>
      </c>
      <c r="G53">
        <v>1</v>
      </c>
      <c r="H53">
        <v>3</v>
      </c>
      <c r="I53" t="s">
        <v>111</v>
      </c>
      <c r="J53" t="s">
        <v>114</v>
      </c>
      <c r="K53" t="s">
        <v>112</v>
      </c>
      <c r="L53">
        <v>1339</v>
      </c>
      <c r="N53">
        <v>1007</v>
      </c>
      <c r="O53" t="s">
        <v>113</v>
      </c>
      <c r="P53" t="s">
        <v>113</v>
      </c>
      <c r="Q53">
        <v>1</v>
      </c>
      <c r="X53">
        <v>12.74</v>
      </c>
      <c r="Y53">
        <v>757.36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 t="s">
        <v>3</v>
      </c>
      <c r="AG53">
        <v>12.74</v>
      </c>
      <c r="AH53">
        <v>2</v>
      </c>
      <c r="AI53">
        <v>38183854</v>
      </c>
      <c r="AJ53">
        <v>55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>
      <c r="A54">
        <f>ROW(Source!A39)</f>
        <v>39</v>
      </c>
      <c r="B54">
        <v>38183857</v>
      </c>
      <c r="C54">
        <v>38183855</v>
      </c>
      <c r="D54">
        <v>35338785</v>
      </c>
      <c r="E54">
        <v>117</v>
      </c>
      <c r="F54">
        <v>1</v>
      </c>
      <c r="G54">
        <v>1</v>
      </c>
      <c r="H54">
        <v>1</v>
      </c>
      <c r="I54" t="s">
        <v>332</v>
      </c>
      <c r="J54" t="s">
        <v>3</v>
      </c>
      <c r="K54" t="s">
        <v>336</v>
      </c>
      <c r="L54">
        <v>1191</v>
      </c>
      <c r="N54">
        <v>1013</v>
      </c>
      <c r="O54" t="s">
        <v>258</v>
      </c>
      <c r="P54" t="s">
        <v>258</v>
      </c>
      <c r="Q54">
        <v>1</v>
      </c>
      <c r="X54">
        <v>1</v>
      </c>
      <c r="Y54">
        <v>0</v>
      </c>
      <c r="Z54">
        <v>0</v>
      </c>
      <c r="AA54">
        <v>0</v>
      </c>
      <c r="AB54">
        <v>620.14</v>
      </c>
      <c r="AC54">
        <v>0</v>
      </c>
      <c r="AD54">
        <v>1</v>
      </c>
      <c r="AE54">
        <v>2</v>
      </c>
      <c r="AF54" t="s">
        <v>3</v>
      </c>
      <c r="AG54">
        <v>1</v>
      </c>
      <c r="AH54">
        <v>2</v>
      </c>
      <c r="AI54">
        <v>38183856</v>
      </c>
      <c r="AJ54">
        <v>56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U1"/>
  <sheetViews>
    <sheetView workbookViewId="0"/>
  </sheetViews>
  <sheetFormatPr defaultColWidth="9.140625" defaultRowHeight="12.75"/>
  <cols>
    <col min="1" max="256" width="9.140625" customWidth="1"/>
  </cols>
  <sheetData>
    <row r="1" spans="1:21">
      <c r="A1">
        <v>25</v>
      </c>
      <c r="B1">
        <v>1</v>
      </c>
      <c r="C1" t="s">
        <v>3</v>
      </c>
      <c r="D1" t="s">
        <v>33</v>
      </c>
      <c r="E1" t="s">
        <v>34</v>
      </c>
      <c r="F1" t="s">
        <v>34</v>
      </c>
      <c r="G1" t="s">
        <v>34</v>
      </c>
      <c r="H1" t="s">
        <v>3</v>
      </c>
      <c r="I1" t="s">
        <v>34</v>
      </c>
      <c r="J1" t="s">
        <v>34</v>
      </c>
      <c r="K1" t="s">
        <v>3</v>
      </c>
      <c r="L1" t="s">
        <v>3</v>
      </c>
      <c r="M1" t="s">
        <v>3</v>
      </c>
      <c r="N1" t="s">
        <v>33</v>
      </c>
      <c r="O1" t="s">
        <v>34</v>
      </c>
      <c r="P1" t="s">
        <v>3</v>
      </c>
      <c r="Q1" t="s">
        <v>3</v>
      </c>
      <c r="R1" t="s">
        <v>3</v>
      </c>
      <c r="S1" t="s">
        <v>341</v>
      </c>
      <c r="T1" t="s">
        <v>342</v>
      </c>
      <c r="U1" t="s">
        <v>343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CY12"/>
  <sheetViews>
    <sheetView workbookViewId="0"/>
  </sheetViews>
  <sheetFormatPr defaultColWidth="9.140625" defaultRowHeight="12.75"/>
  <cols>
    <col min="1" max="256" width="9.140625" customWidth="1"/>
  </cols>
  <sheetData>
    <row r="1" spans="1:103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28227</v>
      </c>
      <c r="M1">
        <v>38175928</v>
      </c>
      <c r="N1">
        <v>12</v>
      </c>
      <c r="O1">
        <v>1</v>
      </c>
      <c r="P1">
        <v>0</v>
      </c>
      <c r="Q1">
        <v>5</v>
      </c>
    </row>
    <row r="12" spans="1:103">
      <c r="F12" t="str">
        <f>Source!F12</f>
        <v>Новый объект строительства</v>
      </c>
      <c r="G12" t="str">
        <f>Source!G12</f>
        <v>ремонт трубы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2</vt:i4>
      </vt:variant>
    </vt:vector>
  </HeadingPairs>
  <TitlesOfParts>
    <vt:vector size="10" baseType="lpstr">
      <vt:lpstr>RV_DATA</vt:lpstr>
      <vt:lpstr>Смета по ФСНБ 421+557прРИМ</vt:lpstr>
      <vt:lpstr>Source</vt:lpstr>
      <vt:lpstr>SourceObSm</vt:lpstr>
      <vt:lpstr>SmtRes</vt:lpstr>
      <vt:lpstr>EtalonRes</vt:lpstr>
      <vt:lpstr>SrcPoprs</vt:lpstr>
      <vt:lpstr>SrcKA</vt:lpstr>
      <vt:lpstr>'Смета по ФСНБ 421+557прРИМ'!Заголовки_для_печати</vt:lpstr>
      <vt:lpstr>'Смета по ФСНБ 421+557прРИМ'!Область_печати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Резерв 6</cp:lastModifiedBy>
  <dcterms:created xsi:type="dcterms:W3CDTF">2026-08-07T06:46:37Z</dcterms:created>
  <dcterms:modified xsi:type="dcterms:W3CDTF">2026-08-07T06:49:50Z</dcterms:modified>
</cp:coreProperties>
</file>